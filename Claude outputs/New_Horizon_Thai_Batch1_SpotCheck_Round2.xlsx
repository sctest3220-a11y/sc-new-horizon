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pot check" sheetId="2" state="visible" r:id="rId4"/>
    <sheet name="Batch context" sheetId="3" state="visible" r:id="rId5"/>
    <sheet name="Decision" sheetId="4" state="visible" r:id="rId6"/>
  </sheets>
  <definedNames>
    <definedName function="false" hidden="true" localSheetId="1" name="_xlnm._FilterDatabase" vbProcedure="false">'Spot check'!$A$1:$R$21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<sst xmlns="http://schemas.openxmlformats.org/spreadsheetml/2006/main" count="356" uniqueCount="220">
  <si>
    <t xml:space="preserve">New Horizon — Thai Batch 1 Second-Reviewer Spot Check (Round 2)</t>
  </si>
  <si>
    <t xml:space="preserve">Generated 2026-09-11 after round-1 fixes (22 items corrected, batch-wide pattern sweep). A fresh, non-overlapping 20 of the 163 'reviewed' items, stratified: 9 single-choice, 3 multi-select, 2 matching, 2 free-text, 2 drag-order, 2 multi-part; all six domains; one Horizon inline item.</t>
  </si>
  <si>
    <t xml:space="preserve">PURPOSE</t>
  </si>
  <si>
    <t xml:space="preserve">A second native Thai reader independently confirms the first review before batch 1 is promoted from 'reviewed' to 'approved' and the Thai toggle leaves pilot-only status. You are checking the Thai as a user would experience it, not re-translating.</t>
  </si>
  <si>
    <t xml:space="preserve">HOW</t>
  </si>
  <si>
    <t xml:space="preserve">Sheet 'Spot check' — one row per question with the Thai exactly as the app shows it (scenario, prompt, choices with ✔ on the key, feedback EN ⇄ TH). Answer the question in Thai first, THEN look at the key. If the Thai led you to a different answer than the English key, mark 'Key still unambiguous?' = No and explain.</t>
  </si>
  <si>
    <t xml:space="preserve">Fill: Would a Thai colleague understand this on first read? (Yes / Mostly / No) · Key still unambiguous? (Yes / No) · Any wrong or unnatural term? (free text) · Verdict (Approve / Fix / Rewrite) · Comment.</t>
  </si>
  <si>
    <t xml:space="preserve">Decision rule: if 18 or more of the 20 are Approve and no item has 'Key still unambiguous? = No', batch 1 is promoted to 'approved'. Otherwise the flagged pattern is fixed across all 163 items first, and a fresh 20-item sample is drawn.</t>
  </si>
  <si>
    <t xml:space="preserve">Sheet 'Batch context' lists the first-review outcome for these items (all were 'Fix in cell', with 39/163 scenarios and 32/163 prompts reworded).</t>
  </si>
  <si>
    <t xml:space="preserve">Question ID</t>
  </si>
  <si>
    <t xml:space="preserve">Domain</t>
  </si>
  <si>
    <t xml:space="preserve">Type</t>
  </si>
  <si>
    <t xml:space="preserve">Interaction</t>
  </si>
  <si>
    <t xml:space="preserve">EN — Scenario</t>
  </si>
  <si>
    <t xml:space="preserve">EN — Prompt</t>
  </si>
  <si>
    <t xml:space="preserve">EN — Choices (✔ key)</t>
  </si>
  <si>
    <t xml:space="preserve">TH — Scenario</t>
  </si>
  <si>
    <t xml:space="preserve">TH — Prompt</t>
  </si>
  <si>
    <t xml:space="preserve">TH — Choices (✔ key)</t>
  </si>
  <si>
    <t xml:space="preserve">Feedback EN ⇄ TH</t>
  </si>
  <si>
    <t xml:space="preserve">Rubric / rationale EN | TH</t>
  </si>
  <si>
    <t xml:space="preserve">Reviewer</t>
  </si>
  <si>
    <t xml:space="preserve">Understood on first read?</t>
  </si>
  <si>
    <t xml:space="preserve">Key still unambiguous?</t>
  </si>
  <si>
    <t xml:space="preserve">Wrong or unnatural term?</t>
  </si>
  <si>
    <t xml:space="preserve">Verdict</t>
  </si>
  <si>
    <t xml:space="preserve">Comment</t>
  </si>
  <si>
    <t xml:space="preserve">REL-E-D1-005</t>
  </si>
  <si>
    <t xml:space="preserve">D1</t>
  </si>
  <si>
    <t xml:space="preserve">reliance-decision</t>
  </si>
  <si>
    <t xml:space="preserve">single</t>
  </si>
  <si>
    <t xml:space="preserve">The board asks what makes an AI agent different from a chatbot, and will probe your answer with follow-up questions in the room.</t>
  </si>
  <si>
    <t xml:space="preserve">Who should explain it?</t>
  </si>
  <si>
    <t xml:space="preserve">· Executive: explain from current understanding.
✔ Together: AI helps draft, executive validates and explains.
· AI: present directly to the board.</t>
  </si>
  <si>
    <t xml:space="preserve">คณะกรรมการบริษัทถามว่า AI agent ต่างจากแชตบอตอย่างไร และจะซักถามคำตอบของคุณต่อในที่ประชุม</t>
  </si>
  <si>
    <t xml:space="preserve">ใครควรเป็นคนอธิบาย</t>
  </si>
  <si>
    <t xml:space="preserve">· ผู้บริหาร: อธิบายจากความเข้าใจที่มีอยู่
✔ ทำร่วมกัน: ให้ AI ช่วยร่าง แล้วผู้บริหารตรวจสอบและเป็นคนอธิบายเอง
· AI: ให้ AI นำเสนอต่อคณะกรรมการโดยตรง</t>
  </si>
  <si>
    <t xml:space="preserve">· Defensible if your understanding is current. Preparing with AI simply lets you pressure-test the explanation before the board does. ⇄ อธิบายได้ ถ้าความเข้าใจของคุณยังทันสมัย การเตรียมตัวร่วมกับ AI เพียงช่วยให้คุณได้ลองซักคำอธิบายของตัวเองก่อนที่คณะกรรมการจะซัก
✔ Correct. Leaders can use AI to prepare, but must understand and own the explanation. ⇄ ถูกต้อง ผู้นำใช้ AI เตรียมตัวได้ แต่ต้องเข้าใจและรับผิดชอบคำอธิบายนั้นเอง
· Too much delegation. The board needs accountable leadership judgment. ⇄ เป็นการยกให้ AI มากเกินไป คณะกรรมการต้องการวิจารณญาณของผู้นำที่รับผิดชอบได้</t>
  </si>
  <si>
    <t xml:space="preserve">REL-G-D2-001</t>
  </si>
  <si>
    <t xml:space="preserve">D2</t>
  </si>
  <si>
    <t xml:space="preserve">You need to reply quickly to a one-line meeting request. Your calendar is synced, no attachment or commitment is involved, and a wrong time is fixed with a second email.</t>
  </si>
  <si>
    <t xml:space="preserve">Who should do the task?</t>
  </si>
  <si>
    <t xml:space="preserve">· Human-owned: keep judgment with the person.
· Shared with AI: use AI, then verify and decide.
✔ AI-led: let AI handle it end to end.</t>
  </si>
  <si>
    <t xml:space="preserve">คุณจำเป็นต้องตอบกลับอีเมลนัดประชุมสั้น ๆ ให้ทันเวลา ปฏิทินงานของคุณซิงก์ข้อมูลไว้อยู่แล้ว ไม่มีไฟล์แนบหรือข้อผูกมัดใด ๆ และหากระบุเวลาคลาดเคลื่อนก็ยังส่งอีเมลแก้ไขได้ทันที</t>
  </si>
  <si>
    <t xml:space="preserve">ใครควรเป็นผู้รับผิดชอบงานนี้</t>
  </si>
  <si>
    <t xml:space="preserve">· คุณทำเอง: ให้การตัดสินใจอยู่ที่คน
· ทำร่วมกับ AI: ใช้ AI แล้วตรวจสอบและตัดสินใจเอง
✔ ให้ AI ทำ: ปล่อยให้ AI จัดการตั้งแต่ต้นจนจบ</t>
  </si>
  <si>
    <t xml:space="preserve">· Too cautious for a trivial, reversible task. Time spent here compounds across dozens of similar emails. ⇄ ระวังมากเกินไปสำหรับงานเล็กที่แก้ไขย้อนหลังได้ เวลาที่เสียไปตรงนี้จะสะสมเมื่อคูณด้วยอีเมลลักษณะเดียวกันอีกหลายสิบฉบับ
· Fine, but heavier than needed. A glance at the time and link is all the review this task deserves. ⇄ ใช้ได้ แต่หนักเกินความจำเป็น งานระดับนี้แค่กวาดตาดูเวลากับลิงก์ก็พอแล้ว
✔ Best. Trivial, reversible, high-volume: let AI draft and send from the synced calendar. Appropriate reliance means not over-checking low-stakes work. ⇄ ดีที่สุด งานเล็ก แก้ย้อนหลังได้ และมีปริมาณมาก ให้ AI ร่างและส่งจากปฏิทินที่เชื่อมข้อมูลไว้ได้เลย การพึ่งพา AI อย่างเหมาะสมคือไม่ตรวจซ้ำเกินจำเป็นกับงานที่เดิมพันต่ำ</t>
  </si>
  <si>
    <t xml:space="preserve">EXEC-D3-006</t>
  </si>
  <si>
    <t xml:space="preserve">D3</t>
  </si>
  <si>
    <t xml:space="preserve">narrative</t>
  </si>
  <si>
    <t xml:space="preserve">An AI recommendation conflicts with expert evidence from compliance, operations, and customer research.</t>
  </si>
  <si>
    <t xml:space="preserve">What should the executive decision record show?</t>
  </si>
  <si>
    <t xml:space="preserve">· The AI recommendation won because it was quantitative.
✔ The conflict was escalated, evidence was compared, uncertainty was documented, and a human decision owner was named.
· The expert evidence was ignored to avoid delays.
· No record is needed if the decision is urgent.</t>
  </si>
  <si>
    <t xml:space="preserve">ข้อเสนอแนะจาก AI ขัดแย้งกับหลักฐานจากผู้เชี่ยวชาญด้านการปฏิบัติตามข้อกำหนด ฝ่ายปฏิบัติการ และงานวิจัยลูกค้า</t>
  </si>
  <si>
    <t xml:space="preserve">บันทึกการตัดสินใจของผู้บริหารควรแสดงอะไร</t>
  </si>
  <si>
    <t xml:space="preserve">· ข้อเสนอแนะของ AI ชนะเพราะเป็นข้อมูลเชิงตัวเลข
✔ มีการส่งต่อข้อขัดแย้งให้ผู้มีอำนาจ เทียบหลักฐานกัน บันทึกความไม่แน่นอนไว้ และระบุชื่อผู้เป็นเจ้าของการตัดสินใจที่เป็นคน
· มองข้ามหลักฐานจากผู้เชี่ยวชาญเพื่อไม่ให้งานล่าช้า
· ถ้าเรื่องเร่งด่วนก็ไม่ต้องมีบันทึกก็ได้</t>
  </si>
  <si>
    <t xml:space="preserve">· Quantitative output is not automatically stronger evidence. ⇄ ผลลัพธ์ที่เป็นตัวเลขไม่ได้เป็นหลักฐานที่หนักแน่นกว่าโดยอัตโนมัติ
✔ Correct. This is decision-quality governance. ⇄ ถูกต้อง นี่คือการกำกับดูแลที่ทำให้การตัดสินใจมีคุณภาพ
· Ignoring contrary evidence creates risk. ⇄ การเพิกเฉยต่อหลักฐานที่ขัดแย้งสร้างความเสี่ยง
· Urgency increases the need for rationale. ⇄ ยิ่งเร่งด่วน ยิ่งต้องมีเหตุผลประกอบที่บันทึกไว้</t>
  </si>
  <si>
    <t xml:space="preserve">CAL-D6-CHANGE-024</t>
  </si>
  <si>
    <t xml:space="preserve">D6</t>
  </si>
  <si>
    <t xml:space="preserve">report-review</t>
  </si>
  <si>
    <t xml:space="preserve">A company launches an AI assistant, but several teams are confused about when and how to use it.</t>
  </si>
  <si>
    <t xml:space="preserve">Which action best supports adoption?</t>
  </si>
  <si>
    <t xml:space="preserve">✔ Give managers example workflows, review routines, and a feedback channel.
· Send one announcement saying the tool is now available.
· Measure only login count and call it transformation.
· Tell teams to experiment without any guidance or guardrails.</t>
  </si>
  <si>
    <t xml:space="preserve">บริษัทเปิดตัวผู้ช่วย AI แต่หลายทีมยังสับสนว่าจะใช้เมื่อไรและใช้อย่างไร</t>
  </si>
  <si>
    <t xml:space="preserve">การดำเนินการข้อใดสนับสนุนการนำไปใช้ได้ดีที่สุด</t>
  </si>
  <si>
    <t xml:space="preserve">✔ ให้ตัวอย่าง workflow แนวทางการตรวจทาน และช่องทางรับฟีดแบ็กแก่หัวหน้างาน
· ส่งประกาศครั้งเดียวว่าเครื่องมือพร้อมใช้งานแล้ว
· วัดแค่จำนวนการเข้าสู่ระบบ แล้วเรียกว่าการเปลี่ยนแปลงองค์กร
· บอกให้แต่ละทีมลองใช้กันเอง โดยไม่มีแนวทางหรือแนวป้องกัน (guardrail)</t>
  </si>
  <si>
    <t xml:space="preserve">✔ Correct. Adoption needs practical support and learning loops. ⇄ ถูกต้อง การนำไปใช้ต้องการการสนับสนุนที่ใช้ได้จริงและวงจรการเรียนรู้
· Awareness alone rarely changes behavior. ⇄ ลำพังการรับรู้แทบไม่เปลี่ยนพฤติกรรม
· Usage alone does not prove capability or value. ⇄ ลำพังยอดการใช้งานไม่ได้พิสูจน์ความสามารถหรือคุณค่า
· Experimentation still needs safety, support, and shared learning. ⇄ การทดลองก็ยังต้องมีความปลอดภัย การสนับสนุน และการเรียนรู้ร่วมกัน</t>
  </si>
  <si>
    <t xml:space="preserve">REL-E-D4-002</t>
  </si>
  <si>
    <t xml:space="preserve">D4</t>
  </si>
  <si>
    <t xml:space="preserve">An AI workflow exposed confidential customer data to the wrong audience. The root cause is unknown, so the same AI tooling cannot yet be trusted with incident data, and the regulator notification clock has started.</t>
  </si>
  <si>
    <t xml:space="preserve">Who should lead the first 72 hours?</t>
  </si>
  <si>
    <t xml:space="preserve">✔ Executive/legal team only, with AI tooling paused.
· Together: AI supports triage, executives own response.
· AI: draft and send all incident messages.</t>
  </si>
  <si>
    <t xml:space="preserve">workflow ที่ใช้ AI ทำให้ข้อมูลลับของลูกค้าหลุดไปถึงผู้ที่ไม่ควรเห็น ยังไม่ทราบสาเหตุที่แท้จริง จึงยังไว้ใจให้เครื่องมือ AI ชุดเดิมแตะข้อมูลของเหตุการณ์นี้ไม่ได้ และนาฬิกานับถอยหลังสำหรับการแจ้งหน่วยงานกำกับดูแลเริ่มเดินแล้ว</t>
  </si>
  <si>
    <t xml:space="preserve">ใครควรนำใน 72 ชั่วโมงแรก</t>
  </si>
  <si>
    <t xml:space="preserve">✔ คุณทำเอง: ให้ผู้บริหารและทีมกฎหมายเท่านั้นเป็นผู้ดำเนินการ พร้อมหยุดใช้เครื่องมือ AI ไว้ก่อน
· ทำร่วมกับ AI: ให้ AI ช่วยคัดกรองความเร่งด่วน (triage) โดยผู้บริหารเป็นเจ้าของการรับมือ
· ให้ AI ทำ: ให้ AI ร่างและส่งข้อความแจ้งเหตุทั้งหมด</t>
  </si>
  <si>
    <t xml:space="preserve">✔ Best. Until the root cause is known, the AI system is part of the incident, not a tool for handling it. Executives and legal own containment, notification, and the audit trail. ⇄ ดีที่สุด ตราบใดที่ยังไม่รู้สาเหตุที่แท้จริง ระบบ AI คือส่วนหนึ่งของเหตุการณ์ ไม่ใช่เครื่องมือที่จะใช้จัดการมัน ผู้บริหารและฝ่ายกฎหมายเป็นเจ้าของการจำกัดความเสียหาย การแจ้งเหตุ และร่องรอยการตรวจสอบ
· Reasonable later, once the compromised workflow is isolated and a separate, controlled AI tool is cleared. In the first hours it risks feeding incident data into the failing system. ⇄ สมเหตุสมผลในภายหลัง เมื่อแยก workflow ที่ถูกเจาะออกมาได้แล้ว และมีเครื่องมือ AI อีกตัวที่ควบคุมได้ผ่านการตรวจสอบแล้ว แต่ในชั่วโมงแรก ๆ เสี่ยงที่จะป้อนข้อมูลของเหตุการณ์กลับเข้าไปในระบบที่มีปัญหา
· Unsafe. High-stakes, regulated communication must not be delegated, least of all to the system that caused the exposure. ⇄ ไม่ปลอดภัย การสื่อสารที่เดิมพันสูงและอยู่ใต้การกำกับดูแลต้องไม่ยกให้ใครทำแทน โดยเฉพาะระบบที่เป็นต้นเหตุของการรั่วไหลเอง</t>
  </si>
  <si>
    <t xml:space="preserve">D5-PRO-009</t>
  </si>
  <si>
    <t xml:space="preserve">D5</t>
  </si>
  <si>
    <t xml:space="preserve">A team wants to scale an AI support pilot because average handling time improved, but the raw ticket review shows quality risks in refund cases.</t>
  </si>
  <si>
    <t xml:space="preserve">What is the best scale decision?</t>
  </si>
  <si>
    <t xml:space="preserve">✔ Scale only after refund-case quality improves and review gates are measured.
· Scale now because faster handling time is enough evidence.
· Cancel all AI support work because one case failed.
· Hide refund cases from the pilot metrics.</t>
  </si>
  <si>
    <t xml:space="preserve">ทีมอยากขยายผล โครงการนำร่อง (Pilot) งานซัพพอร์ตด้วย AI เพราะเวลาจัดการเคสเฉลี่ยดีขึ้น แต่การตรวจ ticket ดิบพบความเสี่ยงด้านคุณภาพในเคสคืนเงิน</t>
  </si>
  <si>
    <t xml:space="preserve">การตัดสินใจเรื่องการขยายผลแบบใดดีที่สุด</t>
  </si>
  <si>
    <t xml:space="preserve">✔ ขยายผลเมื่อคุณภาพของเคสคืนเงินดีขึ้นและวัดผลจุดตรวจทานได้แล้วเท่านั้น
· ขยายผลตอนนี้เลย เพราะเวลาจัดการเคสที่เร็วขึ้นก็เป็นหลักฐานที่พอแล้ว
· ยกเลิกงาน AI ในฝ่ายซัพพอร์ตทั้งหมดเพราะมีเคสหนึ่งที่พลาด
· ตัดเคสคืนเงินออกจากตัวชี้วัดของ pilot</t>
  </si>
  <si>
    <t xml:space="preserve">✔ Correct. Value must include quality and risk, not speed alone. ⇄ ถูกต้อง การวัดคุณค่าต้องรวมคุณภาพและความเสี่ยง ไม่ใช่ดูแค่ความเร็ว
· Speed without quality can create customer and compliance risk. ⇄ ความเร็วที่ไม่มีคุณภาพรองรับอาจสร้างความเสี่ยงทั้งต่อลูกค้าและการปฏิบัติตามข้อกำหนด
· One failure should drive diagnosis and controls, not automatic cancellation. ⇄ ความผิดพลาดครั้งเดียวควรนำไปสู่การหาสาเหตุและวางมาตรการควบคุม ไม่ใช่การยกเลิกทันที
· That would distort the evidence base. ⇄ แบบนั้นคือการบิดเบือนฐานหลักฐาน</t>
  </si>
  <si>
    <t xml:space="preserve">REL-H-D2-014</t>
  </si>
  <si>
    <t xml:space="preserve">Write a best-man wedding speech that sounds like you. The wedding is in two weeks, you have real stories, and the page is still blank.</t>
  </si>
  <si>
    <t xml:space="preserve">· Human-owned: keep judgment with the person.
✔ Shared with AI: use AI, then verify and decide.
· AI-led: let AI handle it end to end.</t>
  </si>
  <si>
    <t xml:space="preserve">อีก 2 สัปดาห์จะถึงงานแต่งงานของเพื่อนสนิท คุณมีเรื่องเล่าความทรงจำอยู่แล้ว แต่ยังเริ่มเขียนไม่ออก จึงต้องการเขียนคำอวยพรเพื่อนเจ้าบ่าวให้ฟังดูเป็นตัวคุณเองอย่างแท้จริง</t>
  </si>
  <si>
    <t xml:space="preserve">· คุณทำเอง: เก็บการตัดสินใจไว้กับคน
✔ ทำร่วมกับ AI: ใช้ AI ช่วย แล้วตรวจสอบและตัดสินใจเอง
· ให้ AI ทำ: ปล่อยให้ AI จัดการตั้งแต่ต้นจนจบ</t>
  </si>
  <si>
    <t xml:space="preserve">· Owning it is right, but three days of blank page suggests AI structure would help you get the real stories flowing. ⇄ เป็นเจ้าของถูกแล้ว แต่หน้ากระดาษว่างสามวันบอกว่าโครงจาก AI จะช่วยให้เรื่องเล่าจริงไหลออกมา
✔ Best. AI gives you a structure to beat blank-page fear, but the stories and voice must be yours or the room will feel it. ⇄ ดีที่สุด AI ช่วยให้โครงเพื่อข้ามความกลัวหน้ากระดาษว่าง แต่เรื่องเล่าและน้ำเสียงต้องเป็นของคุณ ไม่งั้นคนในงานจะรู้สึกได้
· The room will feel it. Stories and voice must be yours. ⇄ คนในงานจะรู้สึกได้ เรื่องเล่าและน้ำเสียงต้องเป็นของคุณ</t>
  </si>
  <si>
    <t xml:space="preserve">EXEC-D3-002</t>
  </si>
  <si>
    <t xml:space="preserve">An AI-generated market report cites three sources, but the cited materials do not support the exact growth forecast used in the board recommendation.</t>
  </si>
  <si>
    <t xml:space="preserve">What is the strongest executive conclusion?</t>
  </si>
  <si>
    <t xml:space="preserve">· The forecast is decision-ready because sources are listed.
✔ The recommendation has a citation-support gap and needs correction before board use.
· The entire market report must be false.
· Only the citation formatting needs editing.</t>
  </si>
  <si>
    <t xml:space="preserve">รายงานตลาดที่ AI สร้างขึ้นอ้างอิงแหล่งข้อมูล 3 แหล่ง แต่เอกสารที่อ้างถึงไม่ได้สนับสนุนตัวเลขการคาดการณ์การเติบโตที่ใช้ในข้อเสนอต่อคณะกรรมการบริษัท</t>
  </si>
  <si>
    <t xml:space="preserve">ข้อสรุประดับผู้บริหารข้อใดแข็งแรงที่สุด</t>
  </si>
  <si>
    <t xml:space="preserve">· การคาดการณ์นี้พร้อมใช้ตัดสินใจแล้ว เพราะมีรายการแหล่งข้อมูลระบุไว้
✔ ข้อเสนอนี้มีช่องว่างระหว่างการอ้างอิงกับข้อมูลที่รองรับ ต้องแก้ไขก่อนนำเข้าที่ประชุมกรรมการ
· รายงานตลาดฉบับนี้ต้องเป็นเท็จทั้งฉบับ
· แค่รูปแบบการอ้างอิงที่ต้องแก้ให้ถูกต้อง</t>
  </si>
  <si>
    <t xml:space="preserve">· Sources must support the exact claim. ⇄ แหล่งข้อมูลต้องสนับสนุนข้อความที่อ้างนั้นได้จริง
✔ Correct. This identifies the evidence failure without overclaiming. ⇄ ถูกต้อง ข้อนี้ชี้จุดที่หลักฐานไม่ครบโดยไม่สรุปเกินความจริง
· The specific claim is unsupported; other content may still be valid. ⇄ เฉพาะข้อความนั้นที่ไม่มีหลักฐานรองรับ เนื้อหาส่วนอื่นอาจยังใช้ได้
· This is a substance issue, not formatting. ⇄ นี่เป็นปัญหาด้านเนื้อหา ไม่ใช่รูปแบบ</t>
  </si>
  <si>
    <t xml:space="preserve">D3-M-002</t>
  </si>
  <si>
    <t xml:space="preserve">media</t>
  </si>
  <si>
    <t xml:space="preserve">An executive-looking image and caption claim a company CEO endorsed a policy yesterday.</t>
  </si>
  <si>
    <t xml:space="preserve">Which evidence would be strongest before accepting the caption?</t>
  </si>
  <si>
    <t xml:space="preserve">· A repost from an anonymous account.
✔ Original company channel, dated statement, or reliable news source confirming it.
· The image has high resolution.
· The post has emotional wording.</t>
  </si>
  <si>
    <t xml:space="preserve">ภาพที่ดูเหมือนผู้บริหารพร้อมแคปชันอ้างว่า CEO ของบริษัทหนึ่งออกมารับรองนโยบายหนึ่งเมื่อวานนี้</t>
  </si>
  <si>
    <t xml:space="preserve">หลักฐานแบบใดหนักแน่นที่สุดก่อนจะเชื่อแคปชันนี้</t>
  </si>
  <si>
    <t xml:space="preserve">· การแชร์ต่อจากบัญชีที่ไม่ระบุตัวตน
✔ ช่องทางทางการของบริษัท แถลงการณ์ที่ระบุวันที่ หรือสำนักข่าวที่น่าเชื่อถือยืนยัน
· ภาพมีความละเอียดสูง
· โพสต์ใช้ถ้อยคำที่กระตุ้นอารมณ์</t>
  </si>
  <si>
    <t xml:space="preserve">· Anonymous reposts are weak provenance. ⇄ การแชร์ต่อจากบัญชีนิรนามเป็นที่มาของสื่อ (provenance) ที่อ่อนมาก
✔ Correct. Verify the claim through authoritative provenance. ⇄ ถูกต้อง ตรวจสอบคำกล่าวอ้างผ่านที่มาที่เชื่อถือได้
· Image quality does not validate the caption. ⇄ คุณภาพของภาพไม่ได้ยืนยันความถูกต้องของแคปชัน
· Emotion is often a manipulation signal, not evidence. ⇄ อารมณ์มักเป็นสัญญาณของการชักจูง ไม่ใช่หลักฐาน</t>
  </si>
  <si>
    <t xml:space="preserve">D3-P-004</t>
  </si>
  <si>
    <t xml:space="preserve">multi</t>
  </si>
  <si>
    <t xml:space="preserve">An AI summary of a school policy says phones are banned all day, but the quoted source says phones may be used with teacher permission.</t>
  </si>
  <si>
    <t xml:space="preserve">Select the issues you should flag before using the summary.</t>
  </si>
  <si>
    <t xml:space="preserve">✔ The summary overstates the rule.
✔ The source should be checked before action.
✔ The output needs a caveat about teacher permission.
· The summary is fine because it is shorter.</t>
  </si>
  <si>
    <t xml:space="preserve">AI สรุประเบียบของโรงเรียนว่าห้ามใช้โทรศัพท์ตลอดทั้งวัน แต่แหล่งข้อมูลที่ยกมาระบุว่าใช้ได้หากครูอนุญาต</t>
  </si>
  <si>
    <t xml:space="preserve">เลือกประเด็นที่คุณควรตั้งข้อสังเกตก่อนนำบทสรุปนี้ไปใช้</t>
  </si>
  <si>
    <t xml:space="preserve">✔ บทสรุประบุกฎเข้มกว่าที่ระเบียบกำหนดจริง
✔ ควรตรวจสอบแหล่งข้อมูลต้นทางก่อนนำไปปฏิบัติ
✔ ผลลัพธ์ต้องมีหมายเหตุเรื่องการขออนุญาตจากครู
· บทสรุปนี้ใช้ได้อยู่แล้วเพราะสั้นกว่า</t>
  </si>
  <si>
    <t xml:space="preserve">✔ Correct. The exception matters. ⇄ ถูกต้อง ข้อยกเว้นเป็นสาระสำคัญ
✔ Correct. Policy use needs source support. ⇄ ถูกต้อง การใช้ระเบียบต้องมีแหล่งข้อมูลรองรับ
✔ Correct. The summary must preserve the condition. ⇄ ถูกต้อง บทสรุปต้องคงเงื่อนไขนี้ไว้
· Shorter is not better if meaning changes. ⇄ สั้นกว่าไม่ได้แปลว่าดีกว่า ถ้าความหมายเปลี่ยนไป</t>
  </si>
  <si>
    <t xml:space="preserve">CAL-D4-RISK-019</t>
  </si>
  <si>
    <t xml:space="preserve">A finance analyst wants to upload a workbook with vendor bank details to an AI tool for a variance summary.</t>
  </si>
  <si>
    <t xml:space="preserve">Which controls should be applied before using AI?</t>
  </si>
  <si>
    <t xml:space="preserve">✔ Use only fields needed for the variance task.
✔ Remove or mask bank details and personal identifiers.
✔ Use an approved tool and policy path for financial data.
✔ Keep a record of data source, prompt, output, and review.
· Paste everything so the AI has maximum context.</t>
  </si>
  <si>
    <t xml:space="preserve">นักวิเคราะห์การเงินต้องการอัปโหลดไฟล์งานที่มีข้อมูลบัญชีธนาคารของผู้ขายขึ้นเครื่องมือ AI เพื่อสรุปผลต่าง (variance)</t>
  </si>
  <si>
    <t xml:space="preserve">ควรใช้มาตรการควบคุมข้อใดก่อนเริ่มใช้ AI</t>
  </si>
  <si>
    <t xml:space="preserve">✔ ใช้เฉพาะฟิลด์ที่จำเป็นต่อการวิเคราะห์ผลต่างเท่านั้น
✔ ลบหรือปิดบังข้อมูลบัญชีธนาคารและข้อมูลที่ระบุตัวบุคคล
✔ ใช้เครื่องมือและช่องทางที่ได้รับอนุมัติสำหรับข้อมูลทางการเงิน
✔ เก็บบันทึกแหล่งข้อมูล prompt ผลลัพธ์ และการตรวจทาน
· วางข้อมูลทั้งหมดลงไป เพื่อให้ AI มีบริบทมากที่สุด</t>
  </si>
  <si>
    <t xml:space="preserve">✔ Correct. Minimize data exposure. ⇄ ถูกต้อง จำกัดการเปิดเผยข้อมูลให้น้อยที่สุด
✔ Correct. Sensitive data should not be exposed unnecessarily. ⇄ ถูกต้อง ข้อมูลอ่อนไหวไม่ควรถูกเปิดเผยโดยไม่จำเป็น
✔ Correct. Tool approval matters. ⇄ ถูกต้อง การอนุมัติเครื่องมือเป็นเรื่องสำคัญ
✔ Correct. Audit evidence supports accountability. ⇄ ถูกต้อง หลักฐานสำหรับ audit ช่วยให้รับผิดชอบได้จริง
· More context can create unnecessary privacy and security risk. ⇄ บริบทที่มากขึ้นอาจสร้างความเสี่ยงด้านความเป็นส่วนตัวและความปลอดภัยโดยไม่จำเป็น</t>
  </si>
  <si>
    <t xml:space="preserve">EXEC-D5-002</t>
  </si>
  <si>
    <t xml:space="preserve">multi-select</t>
  </si>
  <si>
    <t xml:space="preserve">The executive committee must choose which AI opportunities enter the next-quarter portfolio.</t>
  </si>
  <si>
    <t xml:space="preserve">Select all criteria that should be used before prioritizing the portfolio.</t>
  </si>
  <si>
    <t xml:space="preserve">✔ Measurable business value and decision owner.
✔ Data readiness and integration feasibility.
✔ Risk, compliance, and human-review needs.
✔ Pilot learning value and scale path.
· Whether the idea sounds most innovative in a press release.</t>
  </si>
  <si>
    <t xml:space="preserve">คณะกรรมการบริหารต้องเลือกว่าโอกาสด้าน AI ข้อใดจะเข้าสู่พอร์ตโครงการของไตรมาสหน้า</t>
  </si>
  <si>
    <t xml:space="preserve">เลือกเกณฑ์ทั้งหมดที่ควรใช้ก่อนจัดลำดับความสำคัญของพอร์ตโครงการ</t>
  </si>
  <si>
    <t xml:space="preserve">✔ คุณค่าทางธุรกิจที่วัดได้ และผู้รับผิดชอบการตัดสินใจ
✔ ความพร้อมของข้อมูลและความเป็นไปได้ในการเชื่อมต่อระบบ
✔ ความเสี่ยง การปฏิบัติตามข้อกำหนด และความจำเป็นในการตรวจทานโดยคน
✔ คุณค่าเชิงการเรียนรู้จากโครงการนำร่อง และเส้นทางการขยายผล
· ไอเดียไหนฟังดูสร้างสรรค์ที่สุดเวลาออกข่าวประชาสัมพันธ์</t>
  </si>
  <si>
    <t xml:space="preserve">✔ Value and ownership are required. ⇄ คุณค่าและความเป็นเจ้าของเป็นสิ่งที่ต้องมี
✔ Readiness determines whether value is achievable. ⇄ ความพร้อมเป็นตัวกำหนดว่าคุณค่านั้นทำได้จริงหรือไม่
✔ Risk-adjusted value matters at executive level. ⇄ คุณค่าที่ปรับด้วยความเสี่ยงแล้วคือสิ่งที่สำคัญในระดับผู้บริหาร
✔ Learning and scale evidence prevent isolated experiments. ⇄ หลักฐานด้านการเรียนรู้และการขยายผลช่วยไม่ให้เกิดการทดลองที่โดดเดี่ยว
· Novelty is not a decision criterion. ⇄ ความแปลกใหม่ไม่ใช่เกณฑ์ในการตัดสินใจ</t>
  </si>
  <si>
    <t xml:space="preserve">EXEC-D6-007</t>
  </si>
  <si>
    <t xml:space="preserve">matching</t>
  </si>
  <si>
    <t xml:space="preserve">match</t>
  </si>
  <si>
    <t xml:space="preserve">An AI tool launched to 800 employees, but usage and confidence vary sharply by function.</t>
  </si>
  <si>
    <t xml:space="preserve">Match each adoption signal to the leadership action it should trigger.</t>
  </si>
  <si>
    <t xml:space="preserve">✔ Low use in one function → Diagnose workflow fit and manager enablement  [Diagnose workflow fit and manager enablement | Declare resistance | Remove all controls]
✔ High correction rate → Improve training and review checklist  [Improve training and review checklist | Scale immediately | Ignore quality]
✔ Unreported tool usage → Create safe disclosure and policy clarity  [Create safe disclosure and policy clarity | Punish every experiment | Stop measuring]</t>
  </si>
  <si>
    <t xml:space="preserve">เครื่องมือ AI เปิดใช้กับพนักงาน 800 คน แต่การใช้งานจริงและความมั่นใจต่างกันมากในแต่ละหน่วยงาน</t>
  </si>
  <si>
    <t xml:space="preserve">จับคู่สัญญาณการนำไปใช้แต่ละข้อกับการดำเนินการของผู้บริหารที่ควรเกิดขึ้น</t>
  </si>
  <si>
    <t xml:space="preserve">✔ การใช้งานต่ำในหน่วยงานหนึ่ง → วิเคราะห์ความเข้ากันกับขั้นตอนงานและการสนับสนุนจากหัวหน้างาน  [วิเคราะห์ความเข้ากันกับขั้นตอนงานและการสนับสนุนจากหัวหน้างาน | สรุปว่าเป็นการต่อต้าน | ยกเลิกมาตรการควบคุมทั้งหมด]
✔ อัตราการแก้ไขผลลัพธ์สูง → ปรับปรุงการอบรมและเช็กลิสต์การตรวจทาน  [ปรับปรุงการอบรมและเช็กลิสต์การตรวจทาน | ขยายผลทันที | ไม่ต้องสนใจคุณภาพ]
✔ มีการใช้เครื่องมือโดยไม่แจ้ง → สร้างช่องทางแจ้งที่ปลอดภัยและทำให้นโยบายชัดเจน  [สร้างช่องทางแจ้งที่ปลอดภัยและทำให้นโยบายชัดเจน | ลงโทษทุกการทดลองใช้ | เลิกวัดผล]</t>
  </si>
  <si>
    <t xml:space="preserve">GEN-EXP-D1-001</t>
  </si>
  <si>
    <t xml:space="preserve">A parent asks an AI assistant to summarize a school phone policy before sending it to a class chat.</t>
  </si>
  <si>
    <t xml:space="preserve">Match each AI behavior to the concept it demonstrates.</t>
  </si>
  <si>
    <t xml:space="preserve">✔ The summary drops teacher-approved exceptions. → Loss of source meaning  [Loss of source meaning | Fresh training data | Stronger privacy protection]
✔ The answer sounds final despite a thin review. → Fluent output is not proof  [Fluent output is not proof | Human approval is unnecessary | The source is automatically wrong]
✔ The user checks the handbook before sending. → Grounding against evidence  [Grounding against evidence | Delegating the decision fully | Ignoring context length]</t>
  </si>
  <si>
    <t xml:space="preserve">ผู้ปกครองคนหนึ่งให้ผู้ช่วย AI สรุปนโยบายการใช้โทรศัพท์ของโรงเรียน ก่อนส่งต่อเข้าแชตกลุ่มห้องเรียน</t>
  </si>
  <si>
    <t xml:space="preserve">จับคู่พฤติกรรมของ AI แต่ละข้อกับแนวคิดที่สะท้อนออกมา</t>
  </si>
  <si>
    <t xml:space="preserve">✔ บทสรุปตัดข้อยกเว้นที่ครูอนุมัติไว้ออก → ความหมายจากต้นทางหายไป  [ความหมายจากต้นทางหายไป | ข้อมูลฝึกโมเดลชุดใหม่ | การคุ้มครองความเป็นส่วนตัวที่แน่นขึ้น]
✔ คำตอบฟังดูเด็ดขาด ทั้งที่ตรวจทานมาเพียงผิวเผิน → ภาษาที่ลื่นไหลไม่ใช่ข้อพิสูจน์  [ภาษาที่ลื่นไหลไม่ใช่ข้อพิสูจน์ | ไม่จำเป็นต้องให้คนอนุมัติ | แหล่งข้อมูลต้นทางผิดโดยอัตโนมัติ]
✔ ผู้ใช้เปิดคู่มือโรงเรียนตรวจก่อนส่งต่อ → การอิงหลักฐานประกอบคำตอบ  [การอิงหลักฐานประกอบคำตอบ | การยกการตัดสินใจให้ AI ทั้งหมด | การไม่สนใจความยาวของบริบท]</t>
  </si>
  <si>
    <t xml:space="preserve">GEN-EXP-D3-001</t>
  </si>
  <si>
    <t xml:space="preserve">fraud-detection</t>
  </si>
  <si>
    <t xml:space="preserve">text</t>
  </si>
  <si>
    <t xml:space="preserve">A delivery text arrives while you are expecting a package. It links to a page asking for a small customs fee and full card details.</t>
  </si>
  <si>
    <t xml:space="preserve">Write 2-4 sentences naming the strongest red flags and the safest next action.</t>
  </si>
  <si>
    <t xml:space="preserve">มี SMS แจ้งพัสดุเข้ามาในช่วงที่คุณกำลังรอของอยู่พอดี ข้อความมีลิงก์ไปยังหน้าเว็บที่ขอให้จ่ายค่าภาษีศุลกากรจำนวนเล็กน้อย พร้อมขอข้อมูลบัตรเครดิตทั้งหมด</t>
  </si>
  <si>
    <t xml:space="preserve">เขียน 2-4 ประโยค ระบุสัญญาณเตือนความผิดปกติ (Red flags)ที่ชัดที่สุดและสิ่งที่ควรทำต่อไปอย่างปลอดภัยที่สุด</t>
  </si>
  <si>
    <t xml:space="preserve">EN: domain: Flags the shortened or mismatched domain — domain, link, url, shortened, trk, mismatch
pressure: Names urgency or pressure as suspicious — urgent, pressure, 30 min, today, soon, rush
payment: Questions the fee and card collection — card, payment, fee, customs, billing, bank
verify: Recommends checking through an official channel — official, carrier, app, website, tracking, verify, confirm
Exemplar: I would not pay from this link. The shortened domain, urgent countdown, tiny fee, and request for full card details are strong fraud signals. I would check the shipment only through the carrier app or official website using the original tracking number.
TH: domain: ชี้จุดที่โดเมนถูกย่อหรือไม่ตรงกับของจริง — โดเมน, ลิงก์, url, ลิงก์ย่อ, ไม่ตรงกัน
pressure: ระบุว่าความเร่งรีบหรือการกดดันเป็นเรื่องน่าสงสัย — เร่งด่วน, กดดัน, 30 นาที, วันนี้, นับถอยหลัง
payment: ตั้งคำถามกับค่าธรรมเนียมและการขอข้อมูลบัตร — บัตร, ชำระเงิน, ค่าธรรมเนียม, ศุลกากร, ธนาคาร
verify: แนะนำให้ตรวจสอบผ่านช่องทางทางการ — ทางการ, บริษัทขนส่ง, แอป, เว็บไซต์, เลขติดตามพัสดุ, ตรวจสอบ
ตัวอย่างคำตอบ: ผมจะไม่จ่ายเงินผ่านลิงก์นี้ ทั้งโดเมนแบบลิงก์ย่อ การนับถอยหลังเร่งให้รีบ ค่าธรรมเนียมจำนวนน้อย และการขอข้อมูลบัตรเครดิตทั้งหมด ล้วนเป็นสัญญาณฉ้อโกงที่ชัดเจน ผมจะตรวจสอบสถานะพัสดุผ่านแอปหรือเว็บไซต์ทางการของบริษัทขนส่งโดยใช้เลขติดตามพัสดุเดิมเท่านั้น</t>
  </si>
  <si>
    <t xml:space="preserve">COMP-D2-PROMPT-003</t>
  </si>
  <si>
    <t xml:space="preserve">A support lead wants AI to draft a reply for an angry customer with a duplicate charge and SLA breach.</t>
  </si>
  <si>
    <t xml:space="preserve">Write a better prompt for the AI assistant. Include task, context, source limits, tone, output format, and review rule.</t>
  </si>
  <si>
    <t xml:space="preserve">หัวหน้าทีมซัพพอร์ตต้องการให้ AI ร่างคำตอบถึงลูกค้าที่กำลังโกรธ จากกรณีถูกเรียกเก็บเงินซ้ำและผิด SLA</t>
  </si>
  <si>
    <t xml:space="preserve">เขียน prompt ที่ดีกว่าเดิมให้ผู้ช่วย AI โดยระบุงานที่ต้องทำ บริบท ขอบเขตแหล่งข้อมูล โทนเสียง รูปแบบผลลัพธ์ และกติกาการตรวจทาน</t>
  </si>
  <si>
    <t xml:space="preserve">EN: task: Defines the drafting task clearly — draft, reply, email, response
context: Includes customer/ticket context — customer, ticket, duplicate, sla, refund
source: Restricts answer to verified sources — only use, source, ticket, record, policy
tone: Specifies tone and format — tone, empathetic, format, subject, bullets
review: Requires human review for risky claims — review, approval, human, verify, escalate
Exemplar: 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
TH: task: ระบุงานร่างข้อความได้ชัดเจน — ร่าง, ตอบกลับ, อีเมล, ข้อความ
context: ใส่บริบทของลูกค้าและ ticket — ลูกค้า, ticket, เรียกเก็บซ้ำ, sla, คืนเงิน
source: จำกัดคำตอบให้อยู่ในแหล่งข้อมูลที่ตรวจสอบแล้ว — ใช้เฉพาะ, แหล่งข้อมูล, ticket, บันทึก, นโยบาย
tone: ระบุโทนเสียงและรูปแบบ — โทน, เห็นอกเห็นใจ, รูปแบบ, หัวเรื่อง, หัวข้อย่อย
review: กำหนดให้คนตรวจทานข้ออ้างที่มีความเสี่ยง — ตรวจทาน, อนุมัติ, คน, ตรวจสอบ, ส่งต่อ
ตัวอย่างคำตอบ: ทำหน้าที่เป็นผู้ช่วยงานบริการลูกค้า ร่างข้อความตอบกลับที่กระชับและเห็นอกเห็นใจ โดยใช้เฉพาะบันทึกใน ticket บันทึกการชำระเงิน และนโยบายการคืนเงินที่ได้รับอนุมัติเท่านั้น ห้ามกุการอนุมัติคืนเงิน กรอบเวลา หรือค่าชดเชยขึ้นมาเอง ผลลัพธ์ให้ประกอบด้วยหัวเรื่อง ข้อความถึงลูกค้า หลักฐานที่ใช้ และรายการที่ต้องให้คนอนุมัติ พร้อมทำเครื่องหมายกรณีเรียกเก็บเงินซ้ำ SLA ข้อกฎหมาย หรือข้อยกเว้นนโยบาย เพื่อให้ตรวจทานก่อนส่ง</t>
  </si>
  <si>
    <t xml:space="preserve">EXEC-D4-010</t>
  </si>
  <si>
    <t xml:space="preserve">drag-order</t>
  </si>
  <si>
    <t xml:space="preserve">rank</t>
  </si>
  <si>
    <t xml:space="preserve">An AI workflow exposed a confidential customer segment report to employees who did not need access.</t>
  </si>
  <si>
    <t xml:space="preserve">Drag or reorder the incident response actions into the best executive sequence.</t>
  </si>
  <si>
    <t xml:space="preserve">#1 Contain access and preserve audit evidence
#2 Assess impact, legal obligations, and notification needs
#3 Communicate clearly to affected stakeholders
#4 Fix permissions, monitoring, and ownership</t>
  </si>
  <si>
    <t xml:space="preserve">workflow ที่ใช้ AI ทำให้รายงานลับเกี่ยวกับกลุ่มลูกค้าหลุดไปถึงพนักงานที่ไม่จำเป็นต้องเข้าถึง</t>
  </si>
  <si>
    <t xml:space="preserve">ลากหรือจัดลำดับการรับมือเหตุการณ์ให้เป็นลำดับที่ดีที่สุดในมุมผู้บริหาร</t>
  </si>
  <si>
    <t xml:space="preserve">#1 จำกัดสิทธิ์การเข้าถึงและเก็บรักษาหลักฐานสำหรับการตรวจสอบ
#2 ประเมินผลกระทบ ภาระตามกฎหมาย และความจำเป็นในการแจ้งเหตุ
#3 สื่อสารอย่างชัดเจนกับผู้มีส่วนได้ส่วนเสียที่ได้รับผลกระทบ
#4 แก้ไขสิทธิ์ การเฝ้าติดตาม และผู้รับผิดชอบ</t>
  </si>
  <si>
    <t xml:space="preserve">EN: Why this order: Contain access and preserve evidence first; assess impact and legal obligations before communicating, so the message is accurate; communicate before fixing root causes because affected stakeholders have a right to know quickly; prevention is the last, durable step.
TH: เหตุผลของลำดับ: จำกัดสิทธิ์การเข้าถึงและเก็บหลักฐานก่อนเป็นอันดับแรก จากนั้นประเมินผลกระทบและภาระตามกฎหมายก่อนสื่อสาร เพื่อให้ข้อความที่ออกไปถูกต้อง สื่อสารก่อนแก้สาเหตุที่แท้จริง เพราะผู้ได้รับผลกระทบมีสิทธิ์รู้โดยเร็ว ส่วนการป้องกันเป็นขั้นสุดท้ายที่ให้ผลระยะยาว</t>
  </si>
  <si>
    <t xml:space="preserve">GEN-EXP-D2-001</t>
  </si>
  <si>
    <t xml:space="preserve">You want AI to turn a messy mix of school notices, meeting notes, and calendar details into a useful weekly action plan.</t>
  </si>
  <si>
    <t xml:space="preserve">Put the workflow steps in the strongest order.</t>
  </si>
  <si>
    <t xml:space="preserve">#1 Separate work, school, and personal material before upload
#2 Give the AI the task, format, constraints, and priority rules
#3 Verify names, dates, commitments, and sensitive details
#4 Use the plan after making needed human corrections</t>
  </si>
  <si>
    <t xml:space="preserve">คุณอยากให้ AI เปลี่ยนกองข้อมูลที่ปนกันอยู่ ทั้งประกาศจากโรงเรียน บันทึกการประชุม และรายละเอียดในปฏิทิน ให้กลายเป็นแผนงานรายสัปดาห์ที่ใช้ได้จริง</t>
  </si>
  <si>
    <t xml:space="preserve">จัดลำดับขั้นตอนงานให้อยู่ในลำดับที่หนักแน่นที่สุด</t>
  </si>
  <si>
    <t xml:space="preserve">#1 แยกข้อมูลงาน โรงเรียน และเรื่องส่วนตัวออกจากกันก่อนอัปโหลด
#2 บอก AI ให้ครบทั้งงานที่ต้องทำ รูปแบบ ข้อจำกัด และกติกาการจัดลำดับความสำคัญ
#3 ตรวจสอบชื่อ วันที่ ข้อผูกพัน และข้อมูลอ่อนไหว
#4 นำแผนไปใช้หลังจากที่คนแก้ไขส่วนที่จำเป็นแล้ว</t>
  </si>
  <si>
    <t xml:space="preserve">EN: Why this order: Separating personal, school, and work material before upload protects sensitive details; a clear task, format, and priority rules shape the plan; verification of names, dates, and commitments comes before use; the plan is used only after human corrections.
TH: เหตุผลของลำดับ: การแยกข้อมูลส่วนตัว โรงเรียน และงานออกจากกันก่อนอัปโหลดช่วยปกป้องข้อมูลอ่อนไหว การระบุงาน รูปแบบ และกติกาการจัดลำดับความสำคัญให้ชัดเป็นตัวกำหนดรูปร่างของแผน การตรวจสอบชื่อ วันที่ และข้อผูกพันต้องมาก่อนการนำไปใช้ และแผนจะถูกใช้ก็ต่อเมื่อคนแก้ไขเรียบร้อยแล้ว</t>
  </si>
  <si>
    <t xml:space="preserve">MULTI-CONCEPT-EXEC-001</t>
  </si>
  <si>
    <t xml:space="preserve">concept-cluster</t>
  </si>
  <si>
    <t xml:space="preserve">parts</t>
  </si>
  <si>
    <t xml:space="preserve">An executive committee is deciding whether the next AI platform should use RAG, memory, MCP-style connectors, and agents for policy, finance, and customer workflows.</t>
  </si>
  <si>
    <t xml:space="preserve">Answer the mini-parts to show executive fluency across AI architecture and operating risk.</t>
  </si>
  <si>
    <t xml:space="preserve">part Which distinction should leaders understand before approving an AI knowledge assistant?
✔ LLM fluency, RAG grounding, and memory retention solve different problems.
· A fluent answer means the system used approved company sources.
· Memory should replace document retrieval for current policy.
part What makes MCP/tool connectors strategically different from ordinary chat?
· They mainly improve tone and writing style.
✔ They let AI reach systems, files, and workflows under defined authority.
· They remove the need to map business workflows.
part What must exist before agents can trigger external messages or financial actions?
· A polished demo and a confident executive sponsor.
· A longer system prompt describing good behavior.
✔ Scoped permissions, approvals, logs, rollback, and named owners.
part How should leadership decide whether these concepts justify investment?
✔ Tie capability choices to workflows, value metrics, risk, and adoption evidence.
· Fund every concept equally to show the company is AI-forward.
· Wait until the market picks one final architecture.</t>
  </si>
  <si>
    <t xml:space="preserve">คณะกรรมการบริหารกำลังตัดสินใจว่าแพลตฟอร์ม AI ตัวถัดไปควรใช้ RAG หน่วยความจำ ตัวเชื่อมต่อแบบ MCP และ AI agent สำหรับงานด้านนโยบาย การเงิน และงานลูกค้าหรือไม่</t>
  </si>
  <si>
    <t xml:space="preserve">ตอบคำถามย่อยเพื่อแสดงความเข้าใจระดับผู้บริหาร ทั้งด้านสถาปัตยกรรม AI และความเสี่ยงในการดำเนินงาน</t>
  </si>
  <si>
    <t xml:space="preserve">part ผู้นำควรเข้าใจความแตกต่างข้อใดก่อนอนุมัติผู้ช่วย AI ด้านองค์ความรู้
✔ ความลื่นไหลของ LLM การยึดแหล่งข้อมูลด้วย RAG และการจดจำของหน่วยความจำ แก้คนละปัญหากัน
· คำตอบที่ลื่นไหลแปลว่าระบบใช้แหล่งข้อมูลของบริษัทที่อนุมัติแล้ว
· ควรใช้หน่วยความจำแทนการค้นคืนเอกสารสำหรับนโยบายฉบับปัจจุบัน
part อะไรทำให้ตัวเชื่อมต่อแบบ MCP/เครื่องมือ ต่างจากการแชตทั่วไปในเชิงกลยุทธ์
· ตัวเชื่อมต่อช่วยปรับน้ำเสียงและสไตล์การเขียนเป็นหลัก
✔ ตัวเชื่อมต่อทำให้ AI เข้าถึงระบบ ไฟล์ และ workflow ได้ ภายใต้ขอบเขตอำนาจที่กำหนดไว้
· ตัวเชื่อมต่อทำให้ไม่ต้องทำแผนผังขั้นตอนงานของธุรกิจอีกต่อไป
part ต้องมีอะไรอยู่ก่อน เอเจนต์จึงจะสั่งส่งข้อความออกภายนอกหรือทำรายการทางการเงินได้
· เดโมที่ขัดเกลามาอย่างดี และผู้บริหารผู้สนับสนุนที่มั่นใจ
· system prompt ที่ยาวขึ้นและบรรยายพฤติกรรมที่ดีไว้ละเอียด
✔ สิทธิ์ที่จำกัดขอบเขต การอนุมัติ บันทึก การย้อนกลับระบบ และผู้รับผิดชอบที่ระบุชื่อ
part ผู้นำควรตัดสินอย่างไรว่าแนวคิดเหล่านี้คุ้มค่าแก่การลงทุนหรือไม่
✔ ผูกการเลือกความสามารถเข้ากับ workflow ตัวชี้วัดคุณค่า ความเสี่ยง และหลักฐานการใช้งานจริง
· ให้งบทุกแนวคิดเท่า ๆ กัน เพื่อแสดงว่าบริษัทก้าวหน้าด้าน AI
· รอจนกว่าตลาดจะเลือกสถาปัตยกรรมสุดท้ายได้ก่อน</t>
  </si>
  <si>
    <t xml:space="preserve">✔ Correct. These are different capabilities with different risks. ⇄ ถูกต้อง ทั้งสามเป็นความสามารถคนละแบบและมีความเสี่ยงต่างกัน
· Fluency alone does not prove source grounding. ⇄ ความลื่นไหลอย่างเดียวไม่ได้พิสูจน์ว่าคำตอบยึดกับแหล่งข้อมูล
· Memory is not an authoritative policy source. ⇄ หน่วยความจำไม่ใช่แหล่งอ้างอิงนโยบายที่มีอำนาจ
· Connectors can affect data and actions, not only style. ⇄ ตัวเชื่อมต่อส่งผลต่อข้อมูลและการกระทำ ไม่ใช่แค่สไตล์
✔ Correct. Tooling changes operating capability. ⇄ ถูกต้อง เครื่องมือเปลี่ยนความสามารถในการดำเนินงาน
· Workflow mapping becomes more important. ⇄ การทำแผนผังขั้นตอนงานยิ่งสำคัญขึ้นกว่าเดิม
· Sponsorship does not replace controls. ⇄ การมีผู้สนับสนุนไม่ได้แทนที่กลไกควบคุม
· Prompting helps, but cannot carry authority control alone. ⇄ การเขียน prompt ช่วยได้ แต่แบกรับการควบคุมขอบเขตอำนาจตามลำพังไม่ได้
✔ Correct. Agent authority requires operational governance. ⇄ ถูกต้อง อำนาจของเอเจนต์ต้องมาพร้อมการกำกับดูแลเชิงปฏิบัติการ
✔ Correct. Technology choices need business evidence. ⇄ ถูกต้อง การเลือกเทคโนโลยีต้องมีหลักฐานทางธุรกิจรองรับ
· Breadth without prioritization weakens learning and value. ⇄ การทำกว้างโดยไม่จัดลำดับความสำคัญ ทำให้ทั้งการเรียนรู้และคุณค่าอ่อนลง
· A controlled pilot can learn before standards settle. ⇄ โครงการนำร่องที่ควบคุมได้ช่วยให้เรียนรู้ได้ก่อนมาตรฐานจะนิ่ง</t>
  </si>
  <si>
    <t xml:space="preserve">MULTI-CONCEPT-GEN-002</t>
  </si>
  <si>
    <t xml:space="preserve">A team is designing a reusable AI assistant for weekly planning and wants to avoid vague prompts, accidental data sharing, and passive overreliance.</t>
  </si>
  <si>
    <t xml:space="preserve">Answer the mini-parts about prompt, context, and memory.</t>
  </si>
  <si>
    <t xml:space="preserve">part Which prompt pattern best improves a recurring weekly planning task?
✔ Define task, audience, sources, format, limits, and review checks.
· Ask for something impressive and let the model choose structure.
· Use the shortest prompt so the model has more freedom.
part What should happen before adding calendar screenshots, bills, and work notes as context?
· Upload everything so the AI can decide relevance.
✔ Remove unnecessary private details and separate work from personal data.
· Use memory so private details do not need review.
part What is the healthiest team norm for AI memory in shared work?
· Let memory silently decide priorities for the group.
· Ban all saved preferences even for low-risk formatting.
✔ Make remembered preferences visible, editable, and easy to challenge.</t>
  </si>
  <si>
    <t xml:space="preserve">ทีมหนึ่งกำลังออกแบบผู้ช่วย AI ที่นำกลับมาใช้ซ้ำได้สำหรับการวางแผนงานรายสัปดาห์ และต้องการเลี่ยง prompt ที่คลุมเครือ การแชร์ข้อมูลโดยไม่ตั้งใจ และการพึ่งพา AI แบบไม่ตรวจสอบ</t>
  </si>
  <si>
    <t xml:space="preserve">ตอบคำถามย่อยเกี่ยวกับ prompt บริบท และหน่วยความจำ</t>
  </si>
  <si>
    <t xml:space="preserve">part รูปแบบ prompt แบบใดช่วยปรับปรุงงานวางแผนรายสัปดาห์ที่ทำซ้ำ ๆ ได้ดีที่สุด
✔ กำหนดงาน กลุ่มผู้รับ แหล่งข้อมูล รูปแบบผลลัพธ์ ข้อจำกัด และจุดตรวจทาน
· ขอให้ออกมาน่าประทับใจ แล้วปล่อยให้โมเดลเลือกโครงสร้างเอง
· ใช้ prompt ที่สั้นที่สุด เพื่อให้โมเดลมีอิสระมากขึ้น
part ควรทำอะไรก่อนจะเพิ่มภาพหน้าจอปฏิทิน ใบแจ้งหนี้ และโน้ตงานเข้าไปเป็นบริบท
· อัปโหลดทุกอย่างไปเลย ให้ AI ตัดสินเองว่าอะไรเกี่ยวข้อง
✔ ลบรายละเอียดส่วนตัวที่ไม่จำเป็นออก และแยกข้อมูลงานออกจากข้อมูลส่วนตัว
· ใช้หน่วยความจำ จะได้ไม่ต้องมาตรวจรายละเอียดส่วนตัว
part ข้อตกลงร่วมของทีมแบบใดดีต่อสุขภาพการทำงานที่สุด เรื่องหน่วยความจำของ AI ในงานที่ทำร่วมกัน
· ปล่อยให้หน่วยความจำกำหนดลำดับความสำคัญของกลุ่มไปเงียบ ๆ
· ห้ามบันทึกค่าความชอบใด ๆ ทั้งสิ้น แม้แต่เรื่องรูปแบบเอกสารที่ความเสี่ยงต่ำ
✔ ทำให้ค่าความชอบที่ระบบจำไว้มองเห็นได้ แก้ไขได้ และโต้แย้งได้ง่าย</t>
  </si>
  <si>
    <t xml:space="preserve">✔ Correct. Reusable prompts need inputs, constraints, and checks. ⇄ ถูกต้อง prompt ที่ใช้ซ้ำได้ต้องมีข้อมูลนำเข้า ข้อจำกัด และจุดตรวจสอบ
· This leaves success criteria unclear. ⇄ แบบนี้ทำให้เกณฑ์ความสำเร็จไม่ชัดเจน
· Freedom can increase inconsistency in recurring workflows. ⇄ อิสระที่มากขึ้นอาจทำให้งานที่ทำซ้ำ ๆ ออกมาไม่สม่ำเสมอ
· Data minimization should happen before upload. ⇄ การลดข้อมูลให้เหลือเท่าที่จำเป็นต้องทำก่อนอัปโหลด
✔ Correct. Context should be useful and bounded. ⇄ ถูกต้อง บริบทควรมีประโยชน์และมีขอบเขตจำกัด
· Memory can increase retention risk if not governed. ⇄ หน่วยความจำเพิ่มความเสี่ยงจากการเก็บข้อมูลค้างไว้ ถ้าไม่มีการกำกับดูแล
· Silent personalization can hide assumptions. ⇄ การปรับให้เข้ากับผู้ใช้แบบเงียบ ๆ อาจซ่อนข้อสมมติเอาไว้
· Some memory can be useful when transparent and low-risk. ⇄ หน่วยความจำบางอย่างมีประโยชน์ ถ้าโปร่งใสและความเสี่ยงต่ำ
✔ Correct. Shared work needs transparency and control. ⇄ ถูกต้อง งานที่ทำร่วมกันต้องการความโปร่งใสและการควบคุม</t>
  </si>
  <si>
    <t xml:space="preserve">First review verdict</t>
  </si>
  <si>
    <t xml:space="preserve">Natural Thai (1-5)</t>
  </si>
  <si>
    <t xml:space="preserve">Scenario changed by reviewer?</t>
  </si>
  <si>
    <t xml:space="preserve">Prompt changed by reviewer?</t>
  </si>
  <si>
    <t xml:space="preserve">First-review comment</t>
  </si>
  <si>
    <t xml:space="preserve">Fix in cell</t>
  </si>
  <si>
    <t xml:space="preserve">No</t>
  </si>
  <si>
    <t xml:space="preserve">เกลาสำนวนภาษาไทยให้สละสลวย กระชับ เข้าใจได้ทันที และตัดทอนคำแปลตรงตัว</t>
  </si>
  <si>
    <t xml:space="preserve">Yes</t>
  </si>
  <si>
    <t xml:space="preserve">ปรับคำว่า 'เชื่อมข้อมูล' เป็น 'ซิงก์ข้อมูล' ให้เป็นธรรมชาติของคนทำงาน และเกลาคำเชื่อมให้กระชับ</t>
  </si>
  <si>
    <t xml:space="preserve">เกลาให้อ่านลื่นไหลและสะท้อนความรู้สึกจริง</t>
  </si>
  <si>
    <t xml:space="preserve">Metric</t>
  </si>
  <si>
    <t xml:space="preserve">Value</t>
  </si>
  <si>
    <t xml:space="preserve">Items</t>
  </si>
  <si>
    <t xml:space="preserve">Reviewed</t>
  </si>
  <si>
    <t xml:space="preserve">Approve</t>
  </si>
  <si>
    <t xml:space="preserve">Fix</t>
  </si>
  <si>
    <t xml:space="preserve">Rewrite</t>
  </si>
  <si>
    <t xml:space="preserve">Key ambiguous (No)</t>
  </si>
  <si>
    <t xml:space="preserve">Promote batch 1 to approved?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</si>
</sst>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2F8F6B"/>
        <bgColor rgb="FF008080"/>
      </patternFill>
    </fill>
    <fill>
      <patternFill patternType="solid">
        <fgColor rgb="FF7B5EA7"/>
        <bgColor rgb="FF808080"/>
      </patternFill>
    </fill>
    <fill>
      <patternFill patternType="solid">
        <fgColor rgb="FFFFF9E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2F8F6B"/>
          <bgColor rgb="FF000000"/>
        </patternFill>
      </fill>
    </dxf>
    <dxf>
      <fill>
        <patternFill patternType="solid">
          <fgColor rgb="FF7B5EA7"/>
          <bgColor rgb="FF000000"/>
        </patternFill>
      </fill>
    </dxf>
    <dxf>
      <fill>
        <patternFill patternType="solid">
          <fgColor rgb="FFFFF9E6"/>
          <bgColor rgb="FF000000"/>
        </patternFill>
      </fill>
    </dxf>
    <dxf>
      <fill>
        <patternFill>
          <bgColor rgb="FFC6E5B3"/>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FF99"/>
      <rgbColor rgb="FF99CCFF"/>
      <rgbColor rgb="FFFF99CC"/>
      <rgbColor rgb="FFCC99FF"/>
      <rgbColor rgb="FFF4B6B6"/>
      <rgbColor rgb="FF2E75B6"/>
      <rgbColor rgb="FF33CCCC"/>
      <rgbColor rgb="FF99CC00"/>
      <rgbColor rgb="FFFFCC00"/>
      <rgbColor rgb="FFFF9900"/>
      <rgbColor rgb="FFFF6600"/>
      <rgbColor rgb="FF7B5EA7"/>
      <rgbColor rgb="FF969696"/>
      <rgbColor rgb="FF1F3864"/>
      <rgbColor rgb="FF2F8F6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23.85" hidden="false" customHeight="false" outlineLevel="0" collapsed="false">
      <c r="A8" s="2"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14"/>
    <col collapsed="false" customWidth="true" hidden="false" outlineLevel="0" max="4" min="4" style="0" width="10"/>
    <col collapsed="false" customWidth="true" hidden="false" outlineLevel="0" max="5" min="5" style="0" width="50"/>
    <col collapsed="false" customWidth="true" hidden="false" outlineLevel="0" max="6" min="6" style="0" width="32"/>
    <col collapsed="false" customWidth="true" hidden="false" outlineLevel="0" max="7" min="7" style="0" width="55"/>
    <col collapsed="false" customWidth="true" hidden="false" outlineLevel="0" max="8" min="8" style="0" width="50"/>
    <col collapsed="false" customWidth="true" hidden="false" outlineLevel="0" max="9" min="9" style="0" width="32"/>
    <col collapsed="false" customWidth="true" hidden="false" outlineLevel="0" max="10" min="10" style="0" width="55"/>
    <col collapsed="false" customWidth="true" hidden="false" outlineLevel="0" max="11" min="11" style="0" width="60"/>
    <col collapsed="false" customWidth="true" hidden="false" outlineLevel="0" max="12" min="12" style="0" width="50"/>
    <col collapsed="false" customWidth="true" hidden="false" outlineLevel="0" max="13" min="13" style="0" width="12"/>
    <col collapsed="false" customWidth="true" hidden="false" outlineLevel="0" max="15" min="14" style="0" width="14"/>
    <col collapsed="false" customWidth="true" hidden="false" outlineLevel="0" max="16" min="16" style="0" width="30"/>
    <col collapsed="false" customWidth="true" hidden="false" outlineLevel="0" max="17" min="17" style="0" width="11"/>
    <col collapsed="false" customWidth="true" hidden="false" outlineLevel="0" max="18" min="18" style="0" width="45"/>
  </cols>
  <sheetData>
    <row r="1" customFormat="false" ht="35.05" hidden="false" customHeight="false" outlineLevel="0" collapsed="false">
      <c r="A1" s="3" t="s">
        <v>9</v>
      </c>
      <c r="B1" s="3" t="s">
        <v>10</v>
      </c>
      <c r="C1" s="3" t="s">
        <v>11</v>
      </c>
      <c r="D1" s="3" t="s">
        <v>12</v>
      </c>
      <c r="E1" s="4" t="s">
        <v>13</v>
      </c>
      <c r="F1" s="4" t="s">
        <v>14</v>
      </c>
      <c r="G1" s="4" t="s">
        <v>15</v>
      </c>
      <c r="H1" s="5" t="s">
        <v>16</v>
      </c>
      <c r="I1" s="5" t="s">
        <v>17</v>
      </c>
      <c r="J1" s="5" t="s">
        <v>18</v>
      </c>
      <c r="K1" s="5" t="s">
        <v>19</v>
      </c>
      <c r="L1" s="5" t="s">
        <v>20</v>
      </c>
      <c r="M1" s="6" t="s">
        <v>21</v>
      </c>
      <c r="N1" s="6" t="s">
        <v>22</v>
      </c>
      <c r="O1" s="6" t="s">
        <v>23</v>
      </c>
      <c r="P1" s="6" t="s">
        <v>24</v>
      </c>
      <c r="Q1" s="6" t="s">
        <v>25</v>
      </c>
      <c r="R1" s="6" t="s">
        <v>26</v>
      </c>
    </row>
    <row r="2" customFormat="false" ht="189.75" hidden="false" customHeight="true" outlineLevel="0" collapsed="false">
      <c r="A2" s="7" t="s">
        <v>27</v>
      </c>
      <c r="B2" s="7" t="s">
        <v>28</v>
      </c>
      <c r="C2" s="7" t="s">
        <v>29</v>
      </c>
      <c r="D2" s="7" t="s">
        <v>30</v>
      </c>
      <c r="E2" s="7" t="s">
        <v>31</v>
      </c>
      <c r="F2" s="7" t="s">
        <v>32</v>
      </c>
      <c r="G2" s="7" t="s">
        <v>33</v>
      </c>
      <c r="H2" s="7" t="s">
        <v>34</v>
      </c>
      <c r="I2" s="7" t="s">
        <v>35</v>
      </c>
      <c r="J2" s="7" t="s">
        <v>36</v>
      </c>
      <c r="K2" s="7" t="s">
        <v>37</v>
      </c>
      <c r="L2" s="7"/>
      <c r="M2" s="8"/>
      <c r="N2" s="8"/>
      <c r="O2" s="8"/>
      <c r="P2" s="8"/>
      <c r="Q2" s="8"/>
      <c r="R2" s="8"/>
    </row>
    <row r="3" customFormat="false" ht="189.75" hidden="false" customHeight="true" outlineLevel="0" collapsed="false">
      <c r="A3" s="7" t="s">
        <v>38</v>
      </c>
      <c r="B3" s="7" t="s">
        <v>39</v>
      </c>
      <c r="C3" s="7" t="s">
        <v>29</v>
      </c>
      <c r="D3" s="7" t="s">
        <v>30</v>
      </c>
      <c r="E3" s="7" t="s">
        <v>40</v>
      </c>
      <c r="F3" s="7" t="s">
        <v>41</v>
      </c>
      <c r="G3" s="7" t="s">
        <v>42</v>
      </c>
      <c r="H3" s="7" t="s">
        <v>43</v>
      </c>
      <c r="I3" s="7" t="s">
        <v>44</v>
      </c>
      <c r="J3" s="7" t="s">
        <v>45</v>
      </c>
      <c r="K3" s="7" t="s">
        <v>46</v>
      </c>
      <c r="L3" s="7"/>
      <c r="M3" s="8"/>
      <c r="N3" s="8"/>
      <c r="O3" s="8"/>
      <c r="P3" s="8"/>
      <c r="Q3" s="8"/>
      <c r="R3" s="8"/>
    </row>
    <row r="4" customFormat="false" ht="189.75" hidden="false" customHeight="true" outlineLevel="0" collapsed="false">
      <c r="A4" s="7" t="s">
        <v>47</v>
      </c>
      <c r="B4" s="7" t="s">
        <v>48</v>
      </c>
      <c r="C4" s="7" t="s">
        <v>49</v>
      </c>
      <c r="D4" s="7" t="s">
        <v>30</v>
      </c>
      <c r="E4" s="7" t="s">
        <v>50</v>
      </c>
      <c r="F4" s="7" t="s">
        <v>51</v>
      </c>
      <c r="G4" s="7" t="s">
        <v>52</v>
      </c>
      <c r="H4" s="7" t="s">
        <v>53</v>
      </c>
      <c r="I4" s="7" t="s">
        <v>54</v>
      </c>
      <c r="J4" s="7" t="s">
        <v>55</v>
      </c>
      <c r="K4" s="7" t="s">
        <v>56</v>
      </c>
      <c r="L4" s="7"/>
      <c r="M4" s="8"/>
      <c r="N4" s="8"/>
      <c r="O4" s="8"/>
      <c r="P4" s="8"/>
      <c r="Q4" s="8"/>
      <c r="R4" s="8"/>
    </row>
    <row r="5" customFormat="false" ht="189.75" hidden="false" customHeight="true" outlineLevel="0" collapsed="false">
      <c r="A5" s="7" t="s">
        <v>57</v>
      </c>
      <c r="B5" s="7" t="s">
        <v>58</v>
      </c>
      <c r="C5" s="7" t="s">
        <v>59</v>
      </c>
      <c r="D5" s="7" t="s">
        <v>30</v>
      </c>
      <c r="E5" s="7" t="s">
        <v>60</v>
      </c>
      <c r="F5" s="7" t="s">
        <v>61</v>
      </c>
      <c r="G5" s="7" t="s">
        <v>62</v>
      </c>
      <c r="H5" s="7" t="s">
        <v>63</v>
      </c>
      <c r="I5" s="7" t="s">
        <v>64</v>
      </c>
      <c r="J5" s="7" t="s">
        <v>65</v>
      </c>
      <c r="K5" s="7" t="s">
        <v>66</v>
      </c>
      <c r="L5" s="7"/>
      <c r="M5" s="8"/>
      <c r="N5" s="8"/>
      <c r="O5" s="8"/>
      <c r="P5" s="8"/>
      <c r="Q5" s="8"/>
      <c r="R5" s="8"/>
    </row>
    <row r="6" customFormat="false" ht="189.75" hidden="false" customHeight="true" outlineLevel="0" collapsed="false">
      <c r="A6" s="7" t="s">
        <v>67</v>
      </c>
      <c r="B6" s="7" t="s">
        <v>68</v>
      </c>
      <c r="C6" s="7" t="s">
        <v>29</v>
      </c>
      <c r="D6" s="7" t="s">
        <v>30</v>
      </c>
      <c r="E6" s="7" t="s">
        <v>69</v>
      </c>
      <c r="F6" s="7" t="s">
        <v>70</v>
      </c>
      <c r="G6" s="7" t="s">
        <v>71</v>
      </c>
      <c r="H6" s="7" t="s">
        <v>72</v>
      </c>
      <c r="I6" s="7" t="s">
        <v>73</v>
      </c>
      <c r="J6" s="7" t="s">
        <v>74</v>
      </c>
      <c r="K6" s="7" t="s">
        <v>75</v>
      </c>
      <c r="L6" s="7"/>
      <c r="M6" s="8"/>
      <c r="N6" s="8"/>
      <c r="O6" s="8"/>
      <c r="P6" s="8"/>
      <c r="Q6" s="8"/>
      <c r="R6" s="8"/>
    </row>
    <row r="7" customFormat="false" ht="189.75" hidden="false" customHeight="true" outlineLevel="0" collapsed="false">
      <c r="A7" s="7" t="s">
        <v>76</v>
      </c>
      <c r="B7" s="7" t="s">
        <v>77</v>
      </c>
      <c r="C7" s="7" t="s">
        <v>59</v>
      </c>
      <c r="D7" s="7" t="s">
        <v>30</v>
      </c>
      <c r="E7" s="7" t="s">
        <v>78</v>
      </c>
      <c r="F7" s="7" t="s">
        <v>79</v>
      </c>
      <c r="G7" s="7" t="s">
        <v>80</v>
      </c>
      <c r="H7" s="7" t="s">
        <v>81</v>
      </c>
      <c r="I7" s="7" t="s">
        <v>82</v>
      </c>
      <c r="J7" s="7" t="s">
        <v>83</v>
      </c>
      <c r="K7" s="7" t="s">
        <v>84</v>
      </c>
      <c r="L7" s="7"/>
      <c r="M7" s="8"/>
      <c r="N7" s="8"/>
      <c r="O7" s="8"/>
      <c r="P7" s="8"/>
      <c r="Q7" s="8"/>
      <c r="R7" s="8"/>
    </row>
    <row r="8" customFormat="false" ht="189.75" hidden="false" customHeight="true" outlineLevel="0" collapsed="false">
      <c r="A8" s="7" t="s">
        <v>85</v>
      </c>
      <c r="B8" s="7" t="s">
        <v>39</v>
      </c>
      <c r="C8" s="7" t="s">
        <v>29</v>
      </c>
      <c r="D8" s="7" t="s">
        <v>30</v>
      </c>
      <c r="E8" s="7" t="s">
        <v>86</v>
      </c>
      <c r="F8" s="7" t="s">
        <v>41</v>
      </c>
      <c r="G8" s="7" t="s">
        <v>87</v>
      </c>
      <c r="H8" s="7" t="s">
        <v>88</v>
      </c>
      <c r="I8" s="7" t="s">
        <v>44</v>
      </c>
      <c r="J8" s="7" t="s">
        <v>89</v>
      </c>
      <c r="K8" s="7" t="s">
        <v>90</v>
      </c>
      <c r="L8" s="7"/>
      <c r="M8" s="8"/>
      <c r="N8" s="8"/>
      <c r="O8" s="8"/>
      <c r="P8" s="8"/>
      <c r="Q8" s="8"/>
      <c r="R8" s="8"/>
    </row>
    <row r="9" customFormat="false" ht="189.75" hidden="false" customHeight="true" outlineLevel="0" collapsed="false">
      <c r="A9" s="7" t="s">
        <v>91</v>
      </c>
      <c r="B9" s="7" t="s">
        <v>48</v>
      </c>
      <c r="C9" s="7" t="s">
        <v>59</v>
      </c>
      <c r="D9" s="7" t="s">
        <v>30</v>
      </c>
      <c r="E9" s="7" t="s">
        <v>92</v>
      </c>
      <c r="F9" s="7" t="s">
        <v>93</v>
      </c>
      <c r="G9" s="7" t="s">
        <v>94</v>
      </c>
      <c r="H9" s="7" t="s">
        <v>95</v>
      </c>
      <c r="I9" s="7" t="s">
        <v>96</v>
      </c>
      <c r="J9" s="7" t="s">
        <v>97</v>
      </c>
      <c r="K9" s="7" t="s">
        <v>98</v>
      </c>
      <c r="L9" s="7"/>
      <c r="M9" s="8"/>
      <c r="N9" s="8"/>
      <c r="O9" s="8"/>
      <c r="P9" s="8"/>
      <c r="Q9" s="8"/>
      <c r="R9" s="8"/>
    </row>
    <row r="10" customFormat="false" ht="189.75" hidden="false" customHeight="true" outlineLevel="0" collapsed="false">
      <c r="A10" s="7" t="s">
        <v>99</v>
      </c>
      <c r="B10" s="7" t="s">
        <v>48</v>
      </c>
      <c r="C10" s="7" t="s">
        <v>100</v>
      </c>
      <c r="D10" s="7" t="s">
        <v>30</v>
      </c>
      <c r="E10" s="7" t="s">
        <v>101</v>
      </c>
      <c r="F10" s="7" t="s">
        <v>102</v>
      </c>
      <c r="G10" s="7" t="s">
        <v>103</v>
      </c>
      <c r="H10" s="7" t="s">
        <v>104</v>
      </c>
      <c r="I10" s="7" t="s">
        <v>105</v>
      </c>
      <c r="J10" s="7" t="s">
        <v>106</v>
      </c>
      <c r="K10" s="7" t="s">
        <v>107</v>
      </c>
      <c r="L10" s="7"/>
      <c r="M10" s="8"/>
      <c r="N10" s="8"/>
      <c r="O10" s="8"/>
      <c r="P10" s="8"/>
      <c r="Q10" s="8"/>
      <c r="R10" s="8"/>
    </row>
    <row r="11" customFormat="false" ht="189.75" hidden="false" customHeight="true" outlineLevel="0" collapsed="false">
      <c r="A11" s="7" t="s">
        <v>108</v>
      </c>
      <c r="B11" s="7" t="s">
        <v>48</v>
      </c>
      <c r="C11" s="7" t="s">
        <v>59</v>
      </c>
      <c r="D11" s="7" t="s">
        <v>109</v>
      </c>
      <c r="E11" s="7" t="s">
        <v>110</v>
      </c>
      <c r="F11" s="7" t="s">
        <v>111</v>
      </c>
      <c r="G11" s="7" t="s">
        <v>112</v>
      </c>
      <c r="H11" s="7" t="s">
        <v>113</v>
      </c>
      <c r="I11" s="7" t="s">
        <v>114</v>
      </c>
      <c r="J11" s="7" t="s">
        <v>115</v>
      </c>
      <c r="K11" s="7" t="s">
        <v>116</v>
      </c>
      <c r="L11" s="7"/>
      <c r="M11" s="8"/>
      <c r="N11" s="8"/>
      <c r="O11" s="8"/>
      <c r="P11" s="8"/>
      <c r="Q11" s="8"/>
      <c r="R11" s="8"/>
    </row>
    <row r="12" customFormat="false" ht="189.75" hidden="false" customHeight="true" outlineLevel="0" collapsed="false">
      <c r="A12" s="7" t="s">
        <v>117</v>
      </c>
      <c r="B12" s="7" t="s">
        <v>68</v>
      </c>
      <c r="C12" s="7" t="s">
        <v>59</v>
      </c>
      <c r="D12" s="7" t="s">
        <v>109</v>
      </c>
      <c r="E12" s="7" t="s">
        <v>118</v>
      </c>
      <c r="F12" s="7" t="s">
        <v>119</v>
      </c>
      <c r="G12" s="7" t="s">
        <v>120</v>
      </c>
      <c r="H12" s="7" t="s">
        <v>121</v>
      </c>
      <c r="I12" s="7" t="s">
        <v>122</v>
      </c>
      <c r="J12" s="7" t="s">
        <v>123</v>
      </c>
      <c r="K12" s="7" t="s">
        <v>124</v>
      </c>
      <c r="L12" s="7"/>
      <c r="M12" s="8"/>
      <c r="N12" s="8"/>
      <c r="O12" s="8"/>
      <c r="P12" s="8"/>
      <c r="Q12" s="8"/>
      <c r="R12" s="8"/>
    </row>
    <row r="13" customFormat="false" ht="189.75" hidden="false" customHeight="true" outlineLevel="0" collapsed="false">
      <c r="A13" s="7" t="s">
        <v>125</v>
      </c>
      <c r="B13" s="7" t="s">
        <v>77</v>
      </c>
      <c r="C13" s="7" t="s">
        <v>126</v>
      </c>
      <c r="D13" s="7" t="s">
        <v>109</v>
      </c>
      <c r="E13" s="7" t="s">
        <v>127</v>
      </c>
      <c r="F13" s="7" t="s">
        <v>128</v>
      </c>
      <c r="G13" s="7" t="s">
        <v>129</v>
      </c>
      <c r="H13" s="7" t="s">
        <v>130</v>
      </c>
      <c r="I13" s="7" t="s">
        <v>131</v>
      </c>
      <c r="J13" s="7" t="s">
        <v>132</v>
      </c>
      <c r="K13" s="7" t="s">
        <v>133</v>
      </c>
      <c r="L13" s="7"/>
      <c r="M13" s="8"/>
      <c r="N13" s="8"/>
      <c r="O13" s="8"/>
      <c r="P13" s="8"/>
      <c r="Q13" s="8"/>
      <c r="R13" s="8"/>
    </row>
    <row r="14" customFormat="false" ht="189.75" hidden="false" customHeight="true" outlineLevel="0" collapsed="false">
      <c r="A14" s="7" t="s">
        <v>134</v>
      </c>
      <c r="B14" s="7" t="s">
        <v>58</v>
      </c>
      <c r="C14" s="7" t="s">
        <v>135</v>
      </c>
      <c r="D14" s="7" t="s">
        <v>136</v>
      </c>
      <c r="E14" s="7" t="s">
        <v>137</v>
      </c>
      <c r="F14" s="7" t="s">
        <v>138</v>
      </c>
      <c r="G14" s="7" t="s">
        <v>139</v>
      </c>
      <c r="H14" s="7" t="s">
        <v>140</v>
      </c>
      <c r="I14" s="7" t="s">
        <v>141</v>
      </c>
      <c r="J14" s="7" t="s">
        <v>142</v>
      </c>
      <c r="K14" s="7"/>
      <c r="L14" s="7"/>
      <c r="M14" s="8"/>
      <c r="N14" s="8"/>
      <c r="O14" s="8"/>
      <c r="P14" s="8"/>
      <c r="Q14" s="8"/>
      <c r="R14" s="8"/>
    </row>
    <row r="15" customFormat="false" ht="189.75" hidden="false" customHeight="true" outlineLevel="0" collapsed="false">
      <c r="A15" s="7" t="s">
        <v>143</v>
      </c>
      <c r="B15" s="7" t="s">
        <v>28</v>
      </c>
      <c r="C15" s="7" t="s">
        <v>135</v>
      </c>
      <c r="D15" s="7" t="s">
        <v>136</v>
      </c>
      <c r="E15" s="7" t="s">
        <v>144</v>
      </c>
      <c r="F15" s="7" t="s">
        <v>145</v>
      </c>
      <c r="G15" s="7" t="s">
        <v>146</v>
      </c>
      <c r="H15" s="7" t="s">
        <v>147</v>
      </c>
      <c r="I15" s="7" t="s">
        <v>148</v>
      </c>
      <c r="J15" s="7" t="s">
        <v>149</v>
      </c>
      <c r="K15" s="7"/>
      <c r="L15" s="7"/>
      <c r="M15" s="8"/>
      <c r="N15" s="8"/>
      <c r="O15" s="8"/>
      <c r="P15" s="8"/>
      <c r="Q15" s="8"/>
      <c r="R15" s="8"/>
    </row>
    <row r="16" customFormat="false" ht="189.75" hidden="false" customHeight="true" outlineLevel="0" collapsed="false">
      <c r="A16" s="7" t="s">
        <v>150</v>
      </c>
      <c r="B16" s="7" t="s">
        <v>48</v>
      </c>
      <c r="C16" s="7" t="s">
        <v>151</v>
      </c>
      <c r="D16" s="7" t="s">
        <v>152</v>
      </c>
      <c r="E16" s="7" t="s">
        <v>153</v>
      </c>
      <c r="F16" s="7" t="s">
        <v>154</v>
      </c>
      <c r="G16" s="7"/>
      <c r="H16" s="7" t="s">
        <v>155</v>
      </c>
      <c r="I16" s="7" t="s">
        <v>156</v>
      </c>
      <c r="J16" s="7"/>
      <c r="K16" s="7"/>
      <c r="L16" s="7" t="s">
        <v>157</v>
      </c>
      <c r="M16" s="8"/>
      <c r="N16" s="8"/>
      <c r="O16" s="8"/>
      <c r="P16" s="8"/>
      <c r="Q16" s="8"/>
      <c r="R16" s="8"/>
    </row>
    <row r="17" customFormat="false" ht="189.75" hidden="false" customHeight="true" outlineLevel="0" collapsed="false">
      <c r="A17" s="7" t="s">
        <v>158</v>
      </c>
      <c r="B17" s="7" t="s">
        <v>39</v>
      </c>
      <c r="C17" s="7" t="s">
        <v>49</v>
      </c>
      <c r="D17" s="7" t="s">
        <v>152</v>
      </c>
      <c r="E17" s="7" t="s">
        <v>159</v>
      </c>
      <c r="F17" s="7" t="s">
        <v>160</v>
      </c>
      <c r="G17" s="7"/>
      <c r="H17" s="7" t="s">
        <v>161</v>
      </c>
      <c r="I17" s="7" t="s">
        <v>162</v>
      </c>
      <c r="J17" s="7"/>
      <c r="K17" s="7"/>
      <c r="L17" s="7" t="s">
        <v>163</v>
      </c>
      <c r="M17" s="8"/>
      <c r="N17" s="8"/>
      <c r="O17" s="8"/>
      <c r="P17" s="8"/>
      <c r="Q17" s="8"/>
      <c r="R17" s="8"/>
    </row>
    <row r="18" customFormat="false" ht="189.75" hidden="false" customHeight="true" outlineLevel="0" collapsed="false">
      <c r="A18" s="7" t="s">
        <v>164</v>
      </c>
      <c r="B18" s="7" t="s">
        <v>68</v>
      </c>
      <c r="C18" s="7" t="s">
        <v>165</v>
      </c>
      <c r="D18" s="7" t="s">
        <v>166</v>
      </c>
      <c r="E18" s="7" t="s">
        <v>167</v>
      </c>
      <c r="F18" s="7" t="s">
        <v>168</v>
      </c>
      <c r="G18" s="7" t="s">
        <v>169</v>
      </c>
      <c r="H18" s="7" t="s">
        <v>170</v>
      </c>
      <c r="I18" s="7" t="s">
        <v>171</v>
      </c>
      <c r="J18" s="7" t="s">
        <v>172</v>
      </c>
      <c r="K18" s="7"/>
      <c r="L18" s="7" t="s">
        <v>173</v>
      </c>
      <c r="M18" s="8"/>
      <c r="N18" s="8"/>
      <c r="O18" s="8"/>
      <c r="P18" s="8"/>
      <c r="Q18" s="8"/>
      <c r="R18" s="8"/>
    </row>
    <row r="19" customFormat="false" ht="189.75" hidden="false" customHeight="true" outlineLevel="0" collapsed="false">
      <c r="A19" s="7" t="s">
        <v>174</v>
      </c>
      <c r="B19" s="7" t="s">
        <v>39</v>
      </c>
      <c r="C19" s="7" t="s">
        <v>165</v>
      </c>
      <c r="D19" s="7" t="s">
        <v>166</v>
      </c>
      <c r="E19" s="7" t="s">
        <v>175</v>
      </c>
      <c r="F19" s="7" t="s">
        <v>176</v>
      </c>
      <c r="G19" s="7" t="s">
        <v>177</v>
      </c>
      <c r="H19" s="7" t="s">
        <v>178</v>
      </c>
      <c r="I19" s="7" t="s">
        <v>179</v>
      </c>
      <c r="J19" s="7" t="s">
        <v>180</v>
      </c>
      <c r="K19" s="7"/>
      <c r="L19" s="7" t="s">
        <v>181</v>
      </c>
      <c r="M19" s="8"/>
      <c r="N19" s="8"/>
      <c r="O19" s="8"/>
      <c r="P19" s="8"/>
      <c r="Q19" s="8"/>
      <c r="R19" s="8"/>
    </row>
    <row r="20" customFormat="false" ht="189.75" hidden="false" customHeight="true" outlineLevel="0" collapsed="false">
      <c r="A20" s="7" t="s">
        <v>182</v>
      </c>
      <c r="B20" s="7" t="s">
        <v>28</v>
      </c>
      <c r="C20" s="7" t="s">
        <v>183</v>
      </c>
      <c r="D20" s="7" t="s">
        <v>184</v>
      </c>
      <c r="E20" s="7" t="s">
        <v>185</v>
      </c>
      <c r="F20" s="7" t="s">
        <v>186</v>
      </c>
      <c r="G20" s="7" t="s">
        <v>187</v>
      </c>
      <c r="H20" s="7" t="s">
        <v>188</v>
      </c>
      <c r="I20" s="7" t="s">
        <v>189</v>
      </c>
      <c r="J20" s="7" t="s">
        <v>190</v>
      </c>
      <c r="K20" s="7" t="s">
        <v>191</v>
      </c>
      <c r="L20" s="7"/>
      <c r="M20" s="8"/>
      <c r="N20" s="8"/>
      <c r="O20" s="8"/>
      <c r="P20" s="8"/>
      <c r="Q20" s="8"/>
      <c r="R20" s="8"/>
    </row>
    <row r="21" customFormat="false" ht="189.75" hidden="false" customHeight="true" outlineLevel="0" collapsed="false">
      <c r="A21" s="7" t="s">
        <v>192</v>
      </c>
      <c r="B21" s="7" t="s">
        <v>39</v>
      </c>
      <c r="C21" s="7" t="s">
        <v>183</v>
      </c>
      <c r="D21" s="7" t="s">
        <v>184</v>
      </c>
      <c r="E21" s="7" t="s">
        <v>193</v>
      </c>
      <c r="F21" s="7" t="s">
        <v>194</v>
      </c>
      <c r="G21" s="7" t="s">
        <v>195</v>
      </c>
      <c r="H21" s="7" t="s">
        <v>196</v>
      </c>
      <c r="I21" s="7" t="s">
        <v>197</v>
      </c>
      <c r="J21" s="7" t="s">
        <v>198</v>
      </c>
      <c r="K21" s="7" t="s">
        <v>199</v>
      </c>
      <c r="L21" s="7"/>
      <c r="M21" s="8"/>
      <c r="N21" s="8"/>
      <c r="O21" s="8"/>
      <c r="P21" s="8"/>
      <c r="Q21" s="8"/>
      <c r="R21" s="8"/>
    </row>
  </sheetData>
  <autoFilter ref="A1:R21"/>
  <conditionalFormatting sqref="Q2:Q21">
    <cfRule type="cellIs" priority="2" operator="equal" aboveAverage="0" equalAverage="0" bottom="0" percent="0" rank="0" text="" dxfId="7">
      <formula>"Approve"</formula>
    </cfRule>
    <cfRule type="cellIs" priority="3" operator="equal" aboveAverage="0" equalAverage="0" bottom="0" percent="0" rank="0" text="" dxfId="8">
      <formula>"Rewrite"</formula>
    </cfRule>
  </conditionalFormatting>
  <conditionalFormatting sqref="O2:O21">
    <cfRule type="cellIs" priority="4" operator="equal" aboveAverage="0" equalAverage="0" bottom="0" percent="0" rank="0" text="" dxfId="8">
      <formula>"No"</formula>
    </cfRule>
  </conditionalFormatting>
  <dataValidations count="3">
    <dataValidation allowBlank="true" errorStyle="stop" operator="between" showDropDown="false" showErrorMessage="false" showInputMessage="false" sqref="N2:N21" type="list">
      <formula1>"Yes,Mostly,No"</formula1>
      <formula2>0</formula2>
    </dataValidation>
    <dataValidation allowBlank="true" errorStyle="stop" operator="between" showDropDown="false" showErrorMessage="false" showInputMessage="false" sqref="O2:O21" type="list">
      <formula1>"Yes,No"</formula1>
      <formula2>0</formula2>
    </dataValidation>
    <dataValidation allowBlank="true" errorStyle="stop" operator="between" showDropDown="false" showErrorMessage="false" showInputMessage="false" sqref="Q2:Q21" type="list">
      <formula1>"Approve,Fix,Rewrite"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2"/>
    <col collapsed="false" customWidth="true" hidden="false" outlineLevel="0" max="5" min="4" style="0" width="14"/>
    <col collapsed="false" customWidth="true" hidden="false" outlineLevel="0" max="6" min="6" style="0" width="80"/>
  </cols>
  <sheetData>
    <row r="1" customFormat="false" ht="35.05" hidden="false" customHeight="false" outlineLevel="0" collapsed="false">
      <c r="A1" s="3" t="s">
        <v>9</v>
      </c>
      <c r="B1" s="5" t="s">
        <v>200</v>
      </c>
      <c r="C1" s="5" t="s">
        <v>201</v>
      </c>
      <c r="D1" s="5" t="s">
        <v>202</v>
      </c>
      <c r="E1" s="5" t="s">
        <v>203</v>
      </c>
      <c r="F1" s="5" t="s">
        <v>204</v>
      </c>
    </row>
    <row r="2" customFormat="false" ht="15" hidden="false" customHeight="false" outlineLevel="0" collapsed="false">
      <c r="A2" s="7" t="s">
        <v>27</v>
      </c>
      <c r="B2" s="7" t="s">
        <v>205</v>
      </c>
      <c r="C2" s="7" t="n">
        <v>5</v>
      </c>
      <c r="D2" s="7" t="s">
        <v>206</v>
      </c>
      <c r="E2" s="7" t="s">
        <v>206</v>
      </c>
      <c r="F2" s="7" t="s">
        <v>207</v>
      </c>
    </row>
    <row r="3" customFormat="false" ht="15" hidden="false" customHeight="false" outlineLevel="0" collapsed="false">
      <c r="A3" s="7" t="s">
        <v>38</v>
      </c>
      <c r="B3" s="7" t="s">
        <v>205</v>
      </c>
      <c r="C3" s="7" t="n">
        <v>5</v>
      </c>
      <c r="D3" s="7" t="s">
        <v>208</v>
      </c>
      <c r="E3" s="7" t="s">
        <v>208</v>
      </c>
      <c r="F3" s="7" t="s">
        <v>209</v>
      </c>
    </row>
    <row r="4" customFormat="false" ht="15" hidden="false" customHeight="false" outlineLevel="0" collapsed="false">
      <c r="A4" s="7" t="s">
        <v>47</v>
      </c>
      <c r="B4" s="7" t="s">
        <v>205</v>
      </c>
      <c r="C4" s="7" t="n">
        <v>5</v>
      </c>
      <c r="D4" s="7" t="s">
        <v>206</v>
      </c>
      <c r="E4" s="7" t="s">
        <v>206</v>
      </c>
      <c r="F4" s="7" t="s">
        <v>207</v>
      </c>
    </row>
    <row r="5" customFormat="false" ht="15" hidden="false" customHeight="false" outlineLevel="0" collapsed="false">
      <c r="A5" s="7" t="s">
        <v>57</v>
      </c>
      <c r="B5" s="7" t="s">
        <v>205</v>
      </c>
      <c r="C5" s="7" t="n">
        <v>5</v>
      </c>
      <c r="D5" s="7" t="s">
        <v>206</v>
      </c>
      <c r="E5" s="7" t="s">
        <v>206</v>
      </c>
      <c r="F5" s="7" t="s">
        <v>207</v>
      </c>
    </row>
    <row r="6" customFormat="false" ht="15" hidden="false" customHeight="false" outlineLevel="0" collapsed="false">
      <c r="A6" s="7" t="s">
        <v>67</v>
      </c>
      <c r="B6" s="7" t="s">
        <v>205</v>
      </c>
      <c r="C6" s="7" t="n">
        <v>5</v>
      </c>
      <c r="D6" s="7" t="s">
        <v>206</v>
      </c>
      <c r="E6" s="7" t="s">
        <v>206</v>
      </c>
      <c r="F6" s="7" t="s">
        <v>207</v>
      </c>
    </row>
    <row r="7" customFormat="false" ht="15" hidden="false" customHeight="false" outlineLevel="0" collapsed="false">
      <c r="A7" s="7" t="s">
        <v>76</v>
      </c>
      <c r="B7" s="7" t="s">
        <v>205</v>
      </c>
      <c r="C7" s="7" t="n">
        <v>5</v>
      </c>
      <c r="D7" s="7" t="s">
        <v>208</v>
      </c>
      <c r="E7" s="7" t="s">
        <v>206</v>
      </c>
      <c r="F7" s="7" t="s">
        <v>207</v>
      </c>
    </row>
    <row r="8" customFormat="false" ht="15" hidden="false" customHeight="false" outlineLevel="0" collapsed="false">
      <c r="A8" s="7" t="s">
        <v>85</v>
      </c>
      <c r="B8" s="7" t="s">
        <v>205</v>
      </c>
      <c r="C8" s="7" t="n">
        <v>5</v>
      </c>
      <c r="D8" s="7" t="s">
        <v>208</v>
      </c>
      <c r="E8" s="7" t="s">
        <v>208</v>
      </c>
      <c r="F8" s="7" t="s">
        <v>210</v>
      </c>
    </row>
    <row r="9" customFormat="false" ht="15" hidden="false" customHeight="false" outlineLevel="0" collapsed="false">
      <c r="A9" s="7" t="s">
        <v>91</v>
      </c>
      <c r="B9" s="7" t="s">
        <v>205</v>
      </c>
      <c r="C9" s="7" t="n">
        <v>5</v>
      </c>
      <c r="D9" s="7" t="s">
        <v>206</v>
      </c>
      <c r="E9" s="7" t="s">
        <v>206</v>
      </c>
      <c r="F9" s="7" t="s">
        <v>207</v>
      </c>
    </row>
    <row r="10" customFormat="false" ht="15" hidden="false" customHeight="false" outlineLevel="0" collapsed="false">
      <c r="A10" s="7" t="s">
        <v>99</v>
      </c>
      <c r="B10" s="7" t="s">
        <v>205</v>
      </c>
      <c r="C10" s="7" t="n">
        <v>5</v>
      </c>
      <c r="D10" s="7" t="s">
        <v>206</v>
      </c>
      <c r="E10" s="7" t="s">
        <v>206</v>
      </c>
      <c r="F10" s="7" t="s">
        <v>207</v>
      </c>
    </row>
    <row r="11" customFormat="false" ht="15" hidden="false" customHeight="false" outlineLevel="0" collapsed="false">
      <c r="A11" s="7" t="s">
        <v>108</v>
      </c>
      <c r="B11" s="7" t="s">
        <v>205</v>
      </c>
      <c r="C11" s="7" t="n">
        <v>5</v>
      </c>
      <c r="D11" s="7" t="s">
        <v>206</v>
      </c>
      <c r="E11" s="7" t="s">
        <v>206</v>
      </c>
      <c r="F11" s="7" t="s">
        <v>207</v>
      </c>
    </row>
    <row r="12" customFormat="false" ht="15" hidden="false" customHeight="false" outlineLevel="0" collapsed="false">
      <c r="A12" s="7" t="s">
        <v>117</v>
      </c>
      <c r="B12" s="7" t="s">
        <v>205</v>
      </c>
      <c r="C12" s="7" t="n">
        <v>5</v>
      </c>
      <c r="D12" s="7" t="s">
        <v>206</v>
      </c>
      <c r="E12" s="7" t="s">
        <v>206</v>
      </c>
      <c r="F12" s="7" t="s">
        <v>207</v>
      </c>
    </row>
    <row r="13" customFormat="false" ht="15" hidden="false" customHeight="false" outlineLevel="0" collapsed="false">
      <c r="A13" s="7" t="s">
        <v>125</v>
      </c>
      <c r="B13" s="7" t="s">
        <v>205</v>
      </c>
      <c r="C13" s="7" t="n">
        <v>5</v>
      </c>
      <c r="D13" s="7" t="s">
        <v>206</v>
      </c>
      <c r="E13" s="7" t="s">
        <v>206</v>
      </c>
      <c r="F13" s="7" t="s">
        <v>207</v>
      </c>
    </row>
    <row r="14" customFormat="false" ht="15" hidden="false" customHeight="false" outlineLevel="0" collapsed="false">
      <c r="A14" s="7" t="s">
        <v>134</v>
      </c>
      <c r="B14" s="7" t="s">
        <v>205</v>
      </c>
      <c r="C14" s="7" t="n">
        <v>5</v>
      </c>
      <c r="D14" s="7" t="s">
        <v>206</v>
      </c>
      <c r="E14" s="7" t="s">
        <v>206</v>
      </c>
      <c r="F14" s="7" t="s">
        <v>207</v>
      </c>
    </row>
    <row r="15" customFormat="false" ht="15" hidden="false" customHeight="false" outlineLevel="0" collapsed="false">
      <c r="A15" s="7" t="s">
        <v>143</v>
      </c>
      <c r="B15" s="7" t="s">
        <v>205</v>
      </c>
      <c r="C15" s="7" t="n">
        <v>5</v>
      </c>
      <c r="D15" s="7" t="s">
        <v>206</v>
      </c>
      <c r="E15" s="7" t="s">
        <v>206</v>
      </c>
      <c r="F15" s="7" t="s">
        <v>207</v>
      </c>
    </row>
    <row r="16" customFormat="false" ht="15" hidden="false" customHeight="false" outlineLevel="0" collapsed="false">
      <c r="A16" s="7" t="s">
        <v>150</v>
      </c>
      <c r="B16" s="7" t="s">
        <v>205</v>
      </c>
      <c r="C16" s="7" t="n">
        <v>5</v>
      </c>
      <c r="D16" s="7" t="s">
        <v>206</v>
      </c>
      <c r="E16" s="7" t="s">
        <v>206</v>
      </c>
      <c r="F16" s="7" t="s">
        <v>207</v>
      </c>
    </row>
    <row r="17" customFormat="false" ht="15" hidden="false" customHeight="false" outlineLevel="0" collapsed="false">
      <c r="A17" s="7" t="s">
        <v>158</v>
      </c>
      <c r="B17" s="7" t="s">
        <v>205</v>
      </c>
      <c r="C17" s="7" t="n">
        <v>5</v>
      </c>
      <c r="D17" s="7" t="s">
        <v>206</v>
      </c>
      <c r="E17" s="7" t="s">
        <v>206</v>
      </c>
      <c r="F17" s="7" t="s">
        <v>207</v>
      </c>
    </row>
    <row r="18" customFormat="false" ht="15" hidden="false" customHeight="false" outlineLevel="0" collapsed="false">
      <c r="A18" s="7" t="s">
        <v>164</v>
      </c>
      <c r="B18" s="7" t="s">
        <v>205</v>
      </c>
      <c r="C18" s="7" t="n">
        <v>5</v>
      </c>
      <c r="D18" s="7" t="s">
        <v>206</v>
      </c>
      <c r="E18" s="7" t="s">
        <v>206</v>
      </c>
      <c r="F18" s="7" t="s">
        <v>207</v>
      </c>
    </row>
    <row r="19" customFormat="false" ht="15" hidden="false" customHeight="false" outlineLevel="0" collapsed="false">
      <c r="A19" s="7" t="s">
        <v>174</v>
      </c>
      <c r="B19" s="7" t="s">
        <v>205</v>
      </c>
      <c r="C19" s="7" t="n">
        <v>5</v>
      </c>
      <c r="D19" s="7" t="s">
        <v>206</v>
      </c>
      <c r="E19" s="7" t="s">
        <v>206</v>
      </c>
      <c r="F19" s="7" t="s">
        <v>207</v>
      </c>
    </row>
    <row r="20" customFormat="false" ht="23.85" hidden="false" customHeight="false" outlineLevel="0" collapsed="false">
      <c r="A20" s="7" t="s">
        <v>182</v>
      </c>
      <c r="B20" s="7" t="s">
        <v>205</v>
      </c>
      <c r="C20" s="7" t="n">
        <v>5</v>
      </c>
      <c r="D20" s="7" t="s">
        <v>206</v>
      </c>
      <c r="E20" s="7" t="s">
        <v>206</v>
      </c>
      <c r="F20" s="7" t="s">
        <v>207</v>
      </c>
    </row>
    <row r="21" customFormat="false" ht="15" hidden="false" customHeight="false" outlineLevel="0" collapsed="false">
      <c r="A21" s="7" t="s">
        <v>192</v>
      </c>
      <c r="B21" s="7" t="s">
        <v>205</v>
      </c>
      <c r="C21" s="7" t="n">
        <v>5</v>
      </c>
      <c r="D21" s="7" t="s">
        <v>206</v>
      </c>
      <c r="E21" s="7" t="s">
        <v>206</v>
      </c>
      <c r="F21" s="7" t="s">
        <v>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s>
  <sheetData>
    <row r="1" customFormat="false" ht="15" hidden="false" customHeight="false" outlineLevel="0" collapsed="false">
      <c r="A1" s="3" t="s">
        <v>211</v>
      </c>
      <c r="B1" s="3" t="s">
        <v>212</v>
      </c>
    </row>
    <row r="2" customFormat="false" ht="15" hidden="false" customHeight="false" outlineLevel="0" collapsed="false">
      <c r="A2" s="7" t="s">
        <v>213</v>
      </c>
      <c r="B2" s="7" t="n">
        <f aca="false">COUNTA('Spot check'!A2:A21)</f>
        <v>20</v>
      </c>
    </row>
    <row r="3" customFormat="false" ht="15" hidden="false" customHeight="false" outlineLevel="0" collapsed="false">
      <c r="A3" s="7" t="s">
        <v>214</v>
      </c>
      <c r="B3" s="7" t="n">
        <f aca="false">COUNTA('Spot check'!Q2:Q21)</f>
        <v>0</v>
      </c>
    </row>
    <row r="4" customFormat="false" ht="15" hidden="false" customHeight="false" outlineLevel="0" collapsed="false">
      <c r="A4" s="7" t="s">
        <v>215</v>
      </c>
      <c r="B4" s="7" t="n">
        <f aca="false">COUNTIF('Spot check'!Q2:Q21,"Approve")</f>
        <v>0</v>
      </c>
    </row>
    <row r="5" customFormat="false" ht="15" hidden="false" customHeight="false" outlineLevel="0" collapsed="false">
      <c r="A5" s="7" t="s">
        <v>216</v>
      </c>
      <c r="B5" s="7" t="n">
        <f aca="false">COUNTIF('Spot check'!Q2:Q21,"Fix")</f>
        <v>0</v>
      </c>
    </row>
    <row r="6" customFormat="false" ht="15" hidden="false" customHeight="false" outlineLevel="0" collapsed="false">
      <c r="A6" s="7" t="s">
        <v>217</v>
      </c>
      <c r="B6" s="7" t="n">
        <f aca="false">COUNTIF('Spot check'!Q2:Q21,"Rewrite")</f>
        <v>0</v>
      </c>
    </row>
    <row r="7" customFormat="false" ht="15" hidden="false" customHeight="false" outlineLevel="0" collapsed="false">
      <c r="A7" s="7" t="s">
        <v>218</v>
      </c>
      <c r="B7" s="7" t="n">
        <f aca="false">COUNTIF('Spot check'!O2:O21,"No")</f>
        <v>0</v>
      </c>
    </row>
    <row r="8" customFormat="false" ht="15" hidden="false" customHeight="false" outlineLevel="0" collapsed="false">
      <c r="A8" s="7" t="s">
        <v>219</v>
      </c>
      <c r="B8" s="7" t="str">
        <f aca="false">IF(AND(COUNTIF('Spot check'!Q2:Q21,"Approve")&gt;=18,COUNTIF('Spot check'!O2:O21,"No")=0),"YES","NOT YET")</f>
        <v>NOT YET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2026-09-11T09:10:31Z</dcterms:created>
  <dc:creator>openpyxl</dc:creator>
  <dc:description/>
  <dc:language>en-US</dc:language>
  <cp:lastModifiedBy/>
  <dcterms:modified xsi:type="dcterms:W3CDTF">2026-09-11T09:10:31Z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