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estions" sheetId="2" state="visible" r:id="rId4"/>
    <sheet name="Answer Choices" sheetId="3" state="visible" r:id="rId5"/>
    <sheet name="Artifacts" sheetId="4" state="visible" r:id="rId6"/>
    <sheet name="Coverage" sheetId="5" state="visible" r:id="rId7"/>
    <sheet name="Reference" sheetId="6" state="visible" r:id="rId8"/>
  </sheets>
  <definedNames>
    <definedName function="false" hidden="true" localSheetId="2" name="_xlnm._FilterDatabase" vbProcedure="false">'Answer Choices'!$A$1:$M$2553</definedName>
    <definedName function="false" hidden="true" localSheetId="3" name="_xlnm._FilterDatabase" vbProcedure="false">Artifacts!$A$1:$Q$42</definedName>
    <definedName function="false" hidden="true" localSheetId="1" name="_xlnm._FilterDatabase" vbProcedure="false">Questions!$A$1:$AZ$661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<sst xmlns="http://schemas.openxmlformats.org/spreadsheetml/2006/main" count="35752" uniqueCount="5978">
  <si>
    <t xml:space="preserve">New Horizon — Question Bank Audit Workbook</t>
  </si>
  <si>
    <t xml:space="preserve">Generated 2026-09-10 from app/page.tsx on branch kj-dee-branch (merged: Horizon reliance deck + language toggle). 660 unique questions.</t>
  </si>
  <si>
    <t xml:space="preserve">PURPOSE</t>
  </si>
  <si>
    <t xml:space="preserve">A human audit of every question, answer choice, and artifact so the assessment is accurate, fair, well-mapped (domain / competency / role / industry / difficulty), enjoyable to take, and ready for Thai localisation. Your comments feed back into the question bank: Claude reads the completed workbook, proposes edits per Question ID, and the team approves before anything is pushed.</t>
  </si>
  <si>
    <t xml:space="preserve">HOW TO AUDIT</t>
  </si>
  <si>
    <t xml:space="preserve">1. Sheet 'Questions' — one row per question. Dark-blue columns are read-only metadata, mid-blue columns are the question text, purple columns (yellow cells) are for you. Use the dropdowns; write freely in Comment / Suggested rewrite.</t>
  </si>
  <si>
    <t xml:space="preserve">2. Sheet 'Answer Choices' — one row per option. Judge each choice: is it plausible, clearly right or wrong, is the score and feedback fair? Mark Keep / Revise / Remove and comment.</t>
  </si>
  <si>
    <t xml:space="preserve">3. Sheet 'Artifacts' — one row per image / SVG / PNG used as evidence. Judge: does it match the questions that use it, is it realistic, is the needed detail readable, can the answer actually be inferred from it?</t>
  </si>
  <si>
    <t xml:space="preserve">4. Sheet 'Coverage' updates automatically (formulas) — use it to spot thin or over-weighted domains, difficulty bands, roles and industries, and to track audit progress.</t>
  </si>
  <si>
    <t xml:space="preserve">5. Sheet 'Reference' lists the domains, competencies, function tracks, industry tracks and executive roles the bank maps to.</t>
  </si>
  <si>
    <t xml:space="preserve">6. Filter by Domain, Source bank, Type, or Function track to split work across reviewers. Put your name in 'Reviewer' on every row you audit.</t>
  </si>
  <si>
    <t xml:space="preserve">RATING SCALES</t>
  </si>
  <si>
    <t xml:space="preserve">1–5 scales: 1 = poor / unusable, 2 = weak, 3 = acceptable, 4 = good, 5 = excellent. Use N/A where the item has no artifact.</t>
  </si>
  <si>
    <t xml:space="preserve">Answer key correct: Yes = the marked best answer is right and defensible; Unsure = experts could disagree; No = the key is wrong.</t>
  </si>
  <si>
    <t xml:space="preserve">Difficulty fit: compare the declared band (Awareness &lt; Applied &lt; Proficient &lt; Advanced) with how hard the item really is for the target audience.</t>
  </si>
  <si>
    <t xml:space="preserve">Verdict: Keep (ship as is), Revise (fix per comment), Replace (same slot, new scenario), Remove (drop from bank).</t>
  </si>
  <si>
    <t xml:space="preserve">KNOWN FINDINGS TO CHECK</t>
  </si>
  <si>
    <t xml:space="preserve">• Thai: the language toggle translates UI labels only (144 strings). No question prompt, scenario, or option currently has a Thai version — 'Thai available' is 'No' for all 660 items. Use 'Thai priority' to say which items to translate first.</t>
  </si>
  <si>
    <t xml:space="preserve">• Artifacts: 11 questions have their artifact hidden by the 'low-value artifact' gate (column 'Artifact hidden by gate'). Confirm whether to delete, replace, or restore each.</t>
  </si>
  <si>
    <t xml:space="preserve">• Legacy reliance items (REL-G / REL-E) always key 'Together'; the new Horizon items (REL-H) vary the key. Check the legacy items for guessability.</t>
  </si>
  <si>
    <t xml:space="preserve">• Auto-generated banks (Market trends, Advanced competency: ids ADV-* / TREND-* / ADVANCED-*) are templated per competency — watch for repetitive or generic wording that lowers enjoyment.</t>
  </si>
  <si>
    <t xml:space="preserve">• 'Artifact file exists' = MISSING means the referenced file is not in /public — the question renders without its evidence.</t>
  </si>
  <si>
    <t xml:space="preserve">Question ID</t>
  </si>
  <si>
    <t xml:space="preserve">Source bank</t>
  </si>
  <si>
    <t xml:space="preserve">Assessment mode</t>
  </si>
  <si>
    <t xml:space="preserve">Domain</t>
  </si>
  <si>
    <t xml:space="preserve">Domain name</t>
  </si>
  <si>
    <t xml:space="preserve">Secondary domains</t>
  </si>
  <si>
    <t xml:space="preserve">Difficulty</t>
  </si>
  <si>
    <t xml:space="preserve">Type</t>
  </si>
  <si>
    <t xml:space="preserve">Interaction</t>
  </si>
  <si>
    <t xml:space="preserve">Evidence mode</t>
  </si>
  <si>
    <t xml:space="preserve">Competency IDs</t>
  </si>
  <si>
    <t xml:space="preserve">Competency labels</t>
  </si>
  <si>
    <t xml:space="preserve">Skill IDs</t>
  </si>
  <si>
    <t xml:space="preserve">Function tracks (explicit)</t>
  </si>
  <si>
    <t xml:space="preserve">Industry tracks (explicit)</t>
  </si>
  <si>
    <t xml:space="preserve">Inferred function roles</t>
  </si>
  <si>
    <t xml:space="preserve">Inferred industries</t>
  </si>
  <si>
    <t xml:space="preserve">Inferred executive roles</t>
  </si>
  <si>
    <t xml:space="preserve">Artifact src</t>
  </si>
  <si>
    <t xml:space="preserve">Artifact file exists</t>
  </si>
  <si>
    <t xml:space="preserve">Artifact hidden by gate</t>
  </si>
  <si>
    <t xml:space="preserve">Artifact label</t>
  </si>
  <si>
    <t xml:space="preserve">Artifact alt text</t>
  </si>
  <si>
    <t xml:space="preserve">Artifact caption</t>
  </si>
  <si>
    <t xml:space="preserve">Visual card title</t>
  </si>
  <si>
    <t xml:space="preserve">Visual card points</t>
  </si>
  <si>
    <t xml:space="preserve">Thai available</t>
  </si>
  <si>
    <t xml:space="preserve">Scenario / context</t>
  </si>
  <si>
    <t xml:space="preserve">Prompt</t>
  </si>
  <si>
    <t xml:space="preserve">Answer choices (✔ = best)</t>
  </si>
  <si>
    <t xml:space="preserve">Best / expected answer</t>
  </si>
  <si>
    <t xml:space="preserve">Option feedback</t>
  </si>
  <si>
    <t xml:space="preserve">Rubric criteria (text items)</t>
  </si>
  <si>
    <t xml:space="preserve">Exemplar answer (text items)</t>
  </si>
  <si>
    <t xml:space="preserve">Reviewer</t>
  </si>
  <si>
    <t xml:space="preserve">Audit date</t>
  </si>
  <si>
    <t xml:space="preserve">Question clear (1-5)</t>
  </si>
  <si>
    <t xml:space="preserve">Answer key correct</t>
  </si>
  <si>
    <t xml:space="preserve">Distractors plausible (1-5)</t>
  </si>
  <si>
    <t xml:space="preserve">Domain / competency fit</t>
  </si>
  <si>
    <t xml:space="preserve">Difficulty fit</t>
  </si>
  <si>
    <t xml:space="preserve">Role relevance</t>
  </si>
  <si>
    <t xml:space="preserve">Industry relevance</t>
  </si>
  <si>
    <t xml:space="preserve">English wording (1-5)</t>
  </si>
  <si>
    <t xml:space="preserve">Thai priority</t>
  </si>
  <si>
    <t xml:space="preserve">Artifact matches question</t>
  </si>
  <si>
    <t xml:space="preserve">Artifact realistic (1-5)</t>
  </si>
  <si>
    <t xml:space="preserve">Artifact readable / answer inferable (1-5)</t>
  </si>
  <si>
    <t xml:space="preserve">Engaging / enjoyable (1-5)</t>
  </si>
  <si>
    <t xml:space="preserve">Verdict</t>
  </si>
  <si>
    <t xml:space="preserve">Comment</t>
  </si>
  <si>
    <t xml:space="preserve">Suggested rewrite / new key</t>
  </si>
  <si>
    <t xml:space="preserve">REL-G-D2-001</t>
  </si>
  <si>
    <t xml:space="preserve">General reliance</t>
  </si>
  <si>
    <t xml:space="preserve">Free / Premium</t>
  </si>
  <si>
    <t xml:space="preserve">D2</t>
  </si>
  <si>
    <t xml:space="preserve">Practical Application &amp; Tooling</t>
  </si>
  <si>
    <t xml:space="preserve">Awareness</t>
  </si>
  <si>
    <t xml:space="preserve">reliance-decision</t>
  </si>
  <si>
    <t xml:space="preserve">single</t>
  </si>
  <si>
    <t xml:space="preserve">/stimuli/realistic-scheduling-email.png</t>
  </si>
  <si>
    <t xml:space="preserve">Yes</t>
  </si>
  <si>
    <t xml:space="preserve">Email and calendar artifact</t>
  </si>
  <si>
    <t xml:space="preserve">Realistic email and calendar screenshot with a client scheduling request, weak AI draft, and missing prompt details.</t>
  </si>
  <si>
    <t xml:space="preserve">Use the email and calendar evidence to decide how much of the reply can be delegated.</t>
  </si>
  <si>
    <t xml:space="preserve">Reply to a Simple Scheduling Email</t>
  </si>
  <si>
    <t xml:space="preserve">Email: Can Tuesday 2 PM work? | Calendar: open | Need: polite reply | Risk: low</t>
  </si>
  <si>
    <t xml:space="preserve">No</t>
  </si>
  <si>
    <t xml:space="preserve">You need to reply quickly to a simple meeting request.</t>
  </si>
  <si>
    <t xml:space="preserve">Who should do the task?</t>
  </si>
  <si>
    <t xml:space="preserve">· me: Human-owned: keep judgment with the person.  (score 65)
✔ together: Shared with AI: use AI, then verify and decide.  (score 95)
· ai: AI-led: let AI handle it end to end.  (score 60)</t>
  </si>
  <si>
    <t xml:space="preserve">together: Shared with AI: use AI, then verify and decide.</t>
  </si>
  <si>
    <t xml:space="preserve">me: Safe but slower. AI can draft this because the stakes are low and easy to check.
together: Best. Let AI draft, then verify time, tone, and link before sending.
ai: Almost fine for low stakes, but you should still confirm the calendar and recipient.</t>
  </si>
  <si>
    <t xml:space="preserve">REL-G-D3-002</t>
  </si>
  <si>
    <t xml:space="preserve">D3</t>
  </si>
  <si>
    <t xml:space="preserve">Critical Evaluation &amp; Judgment</t>
  </si>
  <si>
    <t xml:space="preserve">Applied</t>
  </si>
  <si>
    <t xml:space="preserve">/stimuli/flood-station-social-post.png</t>
  </si>
  <si>
    <t xml:space="preserve">Station flood post</t>
  </si>
  <si>
    <t xml:space="preserve">Realistic social post screenshot showing flooding near a station with an uncertain same-day caption.</t>
  </si>
  <si>
    <t xml:space="preserve">Inspect the post for source, date, location, and emotional pressure before sharing.</t>
  </si>
  <si>
    <t xml:space="preserve">Share a Viral Disaster Photo</t>
  </si>
  <si>
    <t xml:space="preserve">Image: dramatic flooding | Caption: happened today | Source: unknown | Emotion: urgent</t>
  </si>
  <si>
    <t xml:space="preserve">A group chat asks whether to repost a dramatic image.</t>
  </si>
  <si>
    <t xml:space="preserve">Who should decide?</t>
  </si>
  <si>
    <t xml:space="preserve">· me: Human-owned: keep judgment with the person.  (score 75)
✔ together: Shared with AI: use AI, then verify and decide.  (score 98)
· ai: AI-led: let AI handle it end to end.  (score 15)</t>
  </si>
  <si>
    <t xml:space="preserve">me: Human judgment matters, but AI can help list verification checks.
together: Correct. Use AI to plan checks, then verify source, date, location, and evidence yourself.
ai: Too risky. AI may miss context or invent confidence about the image.</t>
  </si>
  <si>
    <t xml:space="preserve">REL-G-D4-003</t>
  </si>
  <si>
    <t xml:space="preserve">D4</t>
  </si>
  <si>
    <t xml:space="preserve">Risk, Ethics &amp; Governance</t>
  </si>
  <si>
    <t xml:space="preserve">/stimuli/medical-record-redacted.svg</t>
  </si>
  <si>
    <t xml:space="preserve">Medical record artifact</t>
  </si>
  <si>
    <t xml:space="preserve">Medical lab report with personal identifiers visible next to a public AI chat upload warning.</t>
  </si>
  <si>
    <t xml:space="preserve">The visual shows why private data and high-impact advice change the allowed AI role.</t>
  </si>
  <si>
    <t xml:space="preserve">Paste Medical Records Into Chat</t>
  </si>
  <si>
    <t xml:space="preserve">File: lab report | Data: name and ID | Tool: public chatbot | Decision: what to do next</t>
  </si>
  <si>
    <t xml:space="preserve">A family member asks AI to interpret a medical report with personal details.</t>
  </si>
  <si>
    <t xml:space="preserve">✔ me: Human-owned: keep judgment with the person.  (score 78)
· together: Shared with AI: use AI, then verify and decide.  (score 60)
· ai: AI-led: let AI handle it end to end.  (score 5)</t>
  </si>
  <si>
    <t xml:space="preserve">me: Human-owned: keep judgment with the person.</t>
  </si>
  <si>
    <t xml:space="preserve">me: Keeping sensitive data out of a public tool is wise, but professional help may be needed too.
together: Only if data is protected, de-identified, and the output is treated as preparation for a clinician conversation.
ai: Unsafe. Do not fully delegate private, health-related interpretation to a public AI tool.</t>
  </si>
  <si>
    <t xml:space="preserve">REL-G-D1-004</t>
  </si>
  <si>
    <t xml:space="preserve">D1</t>
  </si>
  <si>
    <t xml:space="preserve">AI Foundations &amp; Concepts</t>
  </si>
  <si>
    <t xml:space="preserve">Explain a Confusing Term</t>
  </si>
  <si>
    <t xml:space="preserve">Term: retrieval augmented generation | Need: plain language | Use: understand a meeting | Risk: low</t>
  </si>
  <si>
    <t xml:space="preserve">You heard an AI term in a meeting and want a simple explanation.</t>
  </si>
  <si>
    <t xml:space="preserve">Who should handle it?</t>
  </si>
  <si>
    <t xml:space="preserve">· me: Human-owned: keep judgment with the person.  (score 55)
✔ together: Shared with AI: use AI, then verify and decide.  (score 98)
· ai: AI-led: let AI handle it end to end.  (score 70)</t>
  </si>
  <si>
    <t xml:space="preserve">me: You can research manually, but AI is useful for a low-risk first explanation.
together: Correct. Ask AI for a plain explanation, then compare it with a reliable source if the term affects a decision.
ai: Mostly fine for learning, but do not treat one AI answer as the final authority.</t>
  </si>
  <si>
    <t xml:space="preserve">REL-G-D5-005</t>
  </si>
  <si>
    <t xml:space="preserve">D5</t>
  </si>
  <si>
    <t xml:space="preserve">Strategy &amp; Value Realization</t>
  </si>
  <si>
    <t xml:space="preserve">/stimuli/ai-pilot-workflow.svg</t>
  </si>
  <si>
    <t xml:space="preserve">Workflow artifact</t>
  </si>
  <si>
    <t xml:space="preserve">AI pilot workflow map showing missing review loop and unclear approval step.</t>
  </si>
  <si>
    <t xml:space="preserve">Use the workflow map to decide who owns pilot prioritization and review.</t>
  </si>
  <si>
    <t xml:space="preserve">Choose the First AI Pilot</t>
  </si>
  <si>
    <t xml:space="preserve">Ideas: four | Budget: one pilot | Metrics: unclear | Owner: not named</t>
  </si>
  <si>
    <t xml:space="preserve">Your team has several AI ideas and only time for one experiment.</t>
  </si>
  <si>
    <t xml:space="preserve">Who should choose?</t>
  </si>
  <si>
    <t xml:space="preserve">· me: Human-owned: keep judgment with the person.  (score 70)
✔ together: Shared with AI: use AI, then verify and decide.  (score 98)
· ai: AI-led: let AI handle it end to end.  (score 10)</t>
  </si>
  <si>
    <t xml:space="preserve">me: Human ownership is right, but AI can help compare options against explicit criteria.
together: Correct. Use AI to organize evidence, then choose based on value, feasibility, risk, and learning.
ai: Too much delegation. AI cannot own strategy, risk appetite, or tradeoffs for the team.</t>
  </si>
  <si>
    <t xml:space="preserve">REL-G-D6-006</t>
  </si>
  <si>
    <t xml:space="preserve">D6</t>
  </si>
  <si>
    <t xml:space="preserve">Human-AI Collaboration</t>
  </si>
  <si>
    <t xml:space="preserve">Give Feedback to a Coworker</t>
  </si>
  <si>
    <t xml:space="preserve">Issue: missed deadline | Need: respectful tone | Relationship: ongoing | Risk: trust</t>
  </si>
  <si>
    <t xml:space="preserve">You need to write sensitive feedback to a coworker.</t>
  </si>
  <si>
    <t xml:space="preserve">· me: Human-owned: keep judgment with the person.  (score 72)
✔ together: Shared with AI: use AI, then verify and decide.  (score 98)
· ai: AI-led: let AI handle it end to end.  (score 15)</t>
  </si>
  <si>
    <t xml:space="preserve">me: Human care matters, but AI can help make wording clearer and less reactive.
together: Correct. Use AI for a draft, then revise with your own context, empathy, and accountability.
ai: Too risky. AI should not fully own sensitive relationship communication.</t>
  </si>
  <si>
    <t xml:space="preserve">REL-H-D2-001</t>
  </si>
  <si>
    <t xml:space="preserve">Horizon reliance (AI or Me?)</t>
  </si>
  <si>
    <t xml:space="preserve">D2-tool-selection; D2-output-refinement</t>
  </si>
  <si>
    <t xml:space="preserve">Tool selection and integration; Output refinement</t>
  </si>
  <si>
    <t xml:space="preserve">General work; HR &amp; People; Finance; Marketing; Sales; Customer Service; Engineering &amp; Data; Operations</t>
  </si>
  <si>
    <t xml:space="preserve">CHRO / People leader; CIO / CDO / CTO; Transformation sponsor</t>
  </si>
  <si>
    <t xml:space="preserve">Summarize a 40-page report into 5 bullet points</t>
  </si>
  <si>
    <t xml:space="preserve">Report: 40 pages | Deadline: board meeting in 2 hours | Need: 5 highlights | Risk: low, verifiable</t>
  </si>
  <si>
    <t xml:space="preserve">Summarize a 40-page report into 5 bullet points. You have 2 hours before a board meeting. A 40-page industry analysis just landed in your inbox. The team needs the highlights now — not tomorrow.</t>
  </si>
  <si>
    <t xml:space="preserve">· me: Human-owned: keep judgment with the person.  (score 45)
· together: Shared with AI: use AI, then verify and decide.  (score 70)
✔ ai: AI-led: let AI handle it end to end.  (score 98)</t>
  </si>
  <si>
    <t xml:space="preserve">ai: AI-led: let AI handle it end to end.</t>
  </si>
  <si>
    <t xml:space="preserve">me: Doing it by hand under a two-hour deadline spends the one thing you lack. AI can condense; you skim to verify.
together: Reasonable, but heavier than needed. A quick skim of the source is enough verification for a summary you can check yourself.
ai: Best. Condensing text you can still verify is squarely inside AI's frontier. Skim the source to confirm nothing critical was dropped.</t>
  </si>
  <si>
    <t xml:space="preserve">REL-H-D4-002</t>
  </si>
  <si>
    <t xml:space="preserve">Proficient</t>
  </si>
  <si>
    <t xml:space="preserve">D4-fairness-ethics; D6-role-clarity</t>
  </si>
  <si>
    <t xml:space="preserve">Fairness, ethics, and rights; Human-AI role clarity</t>
  </si>
  <si>
    <t xml:space="preserve">General work; HR &amp; People; Finance; Marketing; Sales; Customer Service; Operations</t>
  </si>
  <si>
    <t xml:space="preserve">Education; Healthcare; Public sector</t>
  </si>
  <si>
    <t xml:space="preserve">Board / Investor; CHRO / People leader; CFO / Risk leader</t>
  </si>
  <si>
    <t xml:space="preserve">Decide which employee to lay off</t>
  </si>
  <si>
    <t xml:space="preserve">Team: 8 people, 1 position cut | Evidence: HR performance files | Choice: no obvious answer | Impact: someone's livelihood</t>
  </si>
  <si>
    <t xml:space="preserve">Decide which employee to lay off. Budget cuts are final. One position from your team of eight must go. HR has pulled every performance file. There's no obvious choice — and someone's livelihood depends on it.</t>
  </si>
  <si>
    <t xml:space="preserve">✔ me: Human-owned: keep judgment with the person.  (score 98)
· together: Shared with AI: use AI, then verify and decide.  (score 45)
· ai: AI-led: let AI handle it end to end.  (score 5)</t>
  </si>
  <si>
    <t xml:space="preserve">me: Best. High-stakes, accountable, and legally exposed. AI can summarize records, but the decision and its consequences are yours — delegating it invites bias and liability.
together: AI may summarize the files, but if it shapes the ranking you import bias into a decision you must personally defend.
ai: Unacceptable. Delegating a legally exposed, high-stakes people decision invites bias and liability.</t>
  </si>
  <si>
    <t xml:space="preserve">REL-H-D2-003</t>
  </si>
  <si>
    <t xml:space="preserve">D2-tool-selection</t>
  </si>
  <si>
    <t xml:space="preserve">Tool selection and integration</t>
  </si>
  <si>
    <t xml:space="preserve">General work; Finance; Sales; Engineering &amp; Data; Operations</t>
  </si>
  <si>
    <t xml:space="preserve">CIO / CDO / CTO</t>
  </si>
  <si>
    <t xml:space="preserve">Translate a casual email into English</t>
  </si>
  <si>
    <t xml:space="preserve">Message: short, informal, Thai | Need: quick English reply | Binding: no | Purpose: schedule a call</t>
  </si>
  <si>
    <t xml:space="preserve">Translate a casual email into English. A supplier sent a short, informal message in Thai. You need it in English to reply quickly. Nothing is legally binding — it's scheduling a call.</t>
  </si>
  <si>
    <t xml:space="preserve">· me: Human-owned: keep judgment with the person.  (score 40)
· together: Shared with AI: use AI, then verify and decide.  (score 65)
✔ ai: AI-led: let AI handle it end to end.  (score 98)</t>
  </si>
  <si>
    <t xml:space="preserve">me: You can, but it is slow for a low-stakes note. Everyday translation is exactly where AI is reliable.
together: Fine, though a quick sense-check of the output is all the review this needs.
ai: Best. Everyday translation is a strong AI use. The stakes are low and you can sense-check the result yourself.</t>
  </si>
  <si>
    <t xml:space="preserve">REL-H-D3-004</t>
  </si>
  <si>
    <t xml:space="preserve">D3-source-verification; D4-regulatory-policy</t>
  </si>
  <si>
    <t xml:space="preserve">Source and claim verification; Regulatory and policy fluency</t>
  </si>
  <si>
    <t xml:space="preserve">General work; HR &amp; People; Finance; Marketing; Sales; Customer Service; Engineering &amp; Data</t>
  </si>
  <si>
    <t xml:space="preserve">Financial services; Healthcare; Public sector</t>
  </si>
  <si>
    <t xml:space="preserve">CEO / Managing Director; Board / Investor; CHRO / People leader; CFO / Risk leader; CIO / CDO / CTO; Transformation sponsor</t>
  </si>
  <si>
    <t xml:space="preserve">Translate a contract that will be signed</t>
  </si>
  <si>
    <t xml:space="preserve">Document: 12-page service agreement | Signing: next week | Risk: one bad clause voids the deal | Reviewer: qualified human needed</t>
  </si>
  <si>
    <t xml:space="preserve">Translate a contract that will be signed. A 12-page service agreement needs Thai translation before both parties sign next week. One mistranslated clause could make the whole deal unenforceable.</t>
  </si>
  <si>
    <t xml:space="preserve">· me: Human-owned: keep judgment with the person.  (score 60)
✔ together: Shared with AI: use AI, then verify and decide.  (score 98)
· ai: AI-led: let AI handle it end to end.  (score 10)</t>
  </si>
  <si>
    <t xml:space="preserve">me: Safe but slow and costly. AI can draft while a qualified reviewer checks every clause.
together: Best. Let AI draft, but a qualified human must review. One mistranslated clause in a binding document can cost far more than the time saved.
ai: Too risky. One mistranslated clause in a binding document can make the whole deal unenforceable.</t>
  </si>
  <si>
    <t xml:space="preserve">REL-H-D6-005</t>
  </si>
  <si>
    <t xml:space="preserve">D6-role-clarity; D6-trust-culture</t>
  </si>
  <si>
    <t xml:space="preserve">Human-AI role clarity; Trust and challenge culture</t>
  </si>
  <si>
    <t xml:space="preserve">General work; HR &amp; People; Finance; Sales; Customer Service; Operations</t>
  </si>
  <si>
    <t xml:space="preserve">Healthcare; Public sector</t>
  </si>
  <si>
    <t xml:space="preserve">CEO / Managing Director; Board / Investor; CHRO / People leader; CFO / Risk leader</t>
  </si>
  <si>
    <t xml:space="preserve">Write a condolence note to a grieving friend</t>
  </si>
  <si>
    <t xml:space="preserve">Friend: closest, lost father suddenly | Timing: today | Need: something that is clearly from you | Risk: trust</t>
  </si>
  <si>
    <t xml:space="preserve">Write a condolence note to a grieving friend. Your closest friend just lost their father unexpectedly. They need to hear from you today — not a template, but something that feels like it came from you.</t>
  </si>
  <si>
    <t xml:space="preserve">✔ me: Human-owned: keep judgment with the person.  (score 98)
· together: Shared with AI: use AI, then verify and decide.  (score 45)
· ai: AI-led: let AI handle it end to end.  (score 10)</t>
  </si>
  <si>
    <t xml:space="preserve">me: Best. The value here is that it came from you. AI can phrase grief fluently, but the point of the message is human presence, not polish.
together: Even a light AI draft hollows out the point: the message has to come from you, not be polished for you.
ai: AI can phrase grief fluently, but a templated note defeats the purpose of human presence.</t>
  </si>
  <si>
    <t xml:space="preserve">REL-H-D4-006</t>
  </si>
  <si>
    <t xml:space="preserve">D1-capability-limits; D4-data-privacy</t>
  </si>
  <si>
    <t xml:space="preserve">Capability boundaries; Data protection and privacy</t>
  </si>
  <si>
    <t xml:space="preserve">General work; HR &amp; People; Sales; Customer Service; Engineering &amp; Data</t>
  </si>
  <si>
    <t xml:space="preserve">Education; Healthcare</t>
  </si>
  <si>
    <t xml:space="preserve">Board / Investor; CHRO / People leader; CIO / CDO / CTO</t>
  </si>
  <si>
    <t xml:space="preserve">Diagnose a rash from a photo to decide treatment</t>
  </si>
  <si>
    <t xml:space="preserve">Symptom: rash on arm, 2 days | Evidence: one clear photo | Decision: is it serious, what to do | Risk: health</t>
  </si>
  <si>
    <t xml:space="preserve">Diagnose a rash from a photo to decide treatment. A rash appeared on your arm two days ago. You have a clear photo. You want to know if it's serious and what to do — before deciding whether to see a doctor.</t>
  </si>
  <si>
    <t xml:space="preserve">✔ me: Human-owned: keep judgment with the person.  (score 98)
· together: Shared with AI: use AI, then verify and decide.  (score 50)
· ai: AI-led: let AI handle it end to end.  (score 5)</t>
  </si>
  <si>
    <t xml:space="preserve">me: Best. Medical diagnosis from an image is outside reliable AI use for treatment decisions. Use it for questions to ask — then see a clinician.
together: Only as a way to prepare questions for a clinician. Treatment decisions from a photo are outside reliable AI use.
ai: Unsafe. Image-based diagnosis for treatment decisions is outside reliable AI use; see a clinician.</t>
  </si>
  <si>
    <t xml:space="preserve">REL-H-D2-007</t>
  </si>
  <si>
    <t xml:space="preserve">Write a standard form-validation function</t>
  </si>
  <si>
    <t xml:space="preserve">Function: form validation | Checks: required, email, password length | Pattern: common, written many times | Verification: tests</t>
  </si>
  <si>
    <t xml:space="preserve">Write a standard form-validation function. You need a validation function: required fields, email format check, minimum password length. It's a common pattern you've written manually a dozen times before.</t>
  </si>
  <si>
    <t xml:space="preserve">· me: Human-owned: keep judgment with the person.  (score 40)
· together: Shared with AI: use AI, then verify and decide.  (score 70)
✔ ai: AI-led: let AI handle it end to end.  (score 98)</t>
  </si>
  <si>
    <t xml:space="preserve">me: You have written this a dozen times. Well-trodden, testable code is a strong AI use; your tests verify it.
together: Fine, but the tests already do the verification. Heavy human review adds little here.
ai: Best. Well-trodden, testable code is a strong AI use. You run it and the tests tell you instantly if it's wrong.</t>
  </si>
  <si>
    <t xml:space="preserve">REL-H-D2-008</t>
  </si>
  <si>
    <t xml:space="preserve">D2-output-refinement</t>
  </si>
  <si>
    <t xml:space="preserve">Output refinement</t>
  </si>
  <si>
    <t xml:space="preserve">HR &amp; People; Marketing; Customer Service</t>
  </si>
  <si>
    <t xml:space="preserve">CHRO / People leader; Transformation sponsor</t>
  </si>
  <si>
    <t xml:space="preserve">Brainstorm 20 product names to choose from</t>
  </si>
  <si>
    <t xml:space="preserve">Product: new SaaS, launches next month | Need: 20 candidate names | Decision: team vote | Budget: no agency</t>
  </si>
  <si>
    <t xml:space="preserve">Brainstorm 20 product names to choose from. A new SaaS product launches next month. You need a shortlist of 20 candidate names for the team to vote on. No budget for a naming agency.</t>
  </si>
  <si>
    <t xml:space="preserve">me: Slow for a divergent, low-stakes task. Let AI generate volume; you stay the judge.
together: Acceptable, though the human role here is simply choosing, not co-writing the list.
ai: Best. Divergent, low-stakes idea generation plays to AI's strength. You stay the judge of which one is right.</t>
  </si>
  <si>
    <t xml:space="preserve">REL-H-D3-009</t>
  </si>
  <si>
    <t xml:space="preserve">D3-source-verification; D1-capability-limits</t>
  </si>
  <si>
    <t xml:space="preserve">Source and claim verification; Capability boundaries</t>
  </si>
  <si>
    <t xml:space="preserve">General work; HR &amp; People; Marketing; Sales; Customer Service; Engineering &amp; Data</t>
  </si>
  <si>
    <t xml:space="preserve">CEO / Managing Director; Board / Investor; CHRO / People leader; CIO / CDO / CTO; Transformation sponsor</t>
  </si>
  <si>
    <t xml:space="preserve">Find legal precedents to cite in a court filing</t>
  </si>
  <si>
    <t xml:space="preserve">Filing: due tomorrow morning | Need: 3 case citations | Requirement: real, verifiable, current | Risk: sanctions</t>
  </si>
  <si>
    <t xml:space="preserve">Find legal precedents to cite in a court filing. A court filing is due tomorrow morning. You need three specific case citations to support your legal argument — and they must be real, verifiable, and current.</t>
  </si>
  <si>
    <t xml:space="preserve">✔ me: Human-owned: keep judgment with the person.  (score 98)
· together: Shared with AI: use AI, then verify and decide.  (score 55)
· ai: AI-led: let AI handle it end to end.  (score 0)</t>
  </si>
  <si>
    <t xml:space="preserve">me: 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
together: Acceptable only if every citation is personally verified in the official database before filing. AI surfaces candidates; it does not confirm them.
ai: Dangerous. AI regularly invents plausible cases that do not exist, and lawyers have been sanctioned for filing them.</t>
  </si>
  <si>
    <t xml:space="preserve">REL-H-D2-010</t>
  </si>
  <si>
    <t xml:space="preserve">Proofread an email for grammar and clarity</t>
  </si>
  <si>
    <t xml:space="preserve">Email: two-paragraph proposal | Recipient: new client | Content: already right | Need: polish grammar and tighten</t>
  </si>
  <si>
    <t xml:space="preserve">Proofread an email for grammar and clarity. You drafted a two-paragraph proposal email to a new client. The content is right — you just want the grammar polished and the sentences tightened before you hit send.</t>
  </si>
  <si>
    <t xml:space="preserve">· me: Human-owned: keep judgment with the person.  (score 45)
· together: Shared with AI: use AI, then verify and decide.  (score 72)
✔ ai: AI-led: let AI handle it end to end.  (score 98)</t>
  </si>
  <si>
    <t xml:space="preserve">me: You can, but grammar and clarity polishing is reliable AI work and the result is self-evident when you read it.
together: Fine. Reading the result and keeping what sounds like you is all the human step needs to be.
ai: Best. Grammar and clarity polishing is reliable and self-evident. You read the result and keep what sounds like you.</t>
  </si>
  <si>
    <t xml:space="preserve">REL-H-D3-011</t>
  </si>
  <si>
    <t xml:space="preserve">Calculate and file your taxes</t>
  </si>
  <si>
    <t xml:space="preserve">Deadline: 3 days | Income: freelance, dividends, side business | Deductions: several unclear | Risk: penalties</t>
  </si>
  <si>
    <t xml:space="preserve">Calculate and file your taxes. Tax filing deadline is in three days. You have income from multiple sources this year — freelance, dividends, and a side business. Several deductions are unclear.</t>
  </si>
  <si>
    <t xml:space="preserve">me: Safe, but AI can explain rules and organize the numbers before you verify against official sources or an accountant.
together: Best. AI can explain rules and organize numbers, but it gets figures and current law wrong. Use it to prepare, then verify against official sources or an accountant before filing.
ai: Too risky. AI gets figures and current tax law wrong; filing unverified output is your liability.</t>
  </si>
  <si>
    <t xml:space="preserve">REL-H-D2-012</t>
  </si>
  <si>
    <t xml:space="preserve">D2-tool-selection; D2-agentic-workflows</t>
  </si>
  <si>
    <t xml:space="preserve">Tool selection and integration; Agentic workflows</t>
  </si>
  <si>
    <t xml:space="preserve">General work; Finance; Sales; Customer Service; Engineering &amp; Data; Operations</t>
  </si>
  <si>
    <t xml:space="preserve">CIO / CDO / CTO; Transformation sponsor</t>
  </si>
  <si>
    <t xml:space="preserve">Extract data from 200 receipts into a spreadsheet</t>
  </si>
  <si>
    <t xml:space="preserve">Input: 200 paper receipts | Output: spreadsheet rows | Deadline: month-end | Manual cost: full workday</t>
  </si>
  <si>
    <t xml:space="preserve">Extract data from 200 receipts into a spreadsheet. The accounting team needs all expense data from 200 paper receipts entered into a spreadsheet before month-end. Doing it manually would take a full workday.</t>
  </si>
  <si>
    <t xml:space="preserve">· me: Human-owned: keep judgment with the person.  (score 35)
· together: Shared with AI: use AI, then verify and decide.  (score 70)
✔ ai: AI-led: let AI handle it end to end.  (score 98)</t>
  </si>
  <si>
    <t xml:space="preserve">me: A full workday of manual entry when structured extraction is exactly what AI accelerates.
together: Good, but the human step should be a spot-check of a sample against originals, not parallel entry.
ai: Best. Repetitive structured extraction is exactly what AI accelerates — scan, extract, structured rows in minutes. Spot-check a sample against the originals; OCR errors on handwritten numbers are the main failure mode. See the Learn section (Build an OCR Pipeline) for a step-by-step guide.</t>
  </si>
  <si>
    <t xml:space="preserve">REL-H-D5-013</t>
  </si>
  <si>
    <t xml:space="preserve">D5-transformation-strategy; D6-role-clarity</t>
  </si>
  <si>
    <t xml:space="preserve">Strategy and transformation; Human-AI role clarity</t>
  </si>
  <si>
    <t xml:space="preserve">Healthcare</t>
  </si>
  <si>
    <t xml:space="preserve">Set your company's five-year strategy</t>
  </si>
  <si>
    <t xml:space="preserve">Horizon: 5 years | Meeting: leadership, this week | Market: shifting | Team: competing views</t>
  </si>
  <si>
    <t xml:space="preserve">Set your company's five-year strategy. Your leadership team is meeting this week to set direction for the next five years. Markets are shifting. Your team has competing views. The call will shape everything that follows.</t>
  </si>
  <si>
    <t xml:space="preserve">✔ me: Human-owned: keep judgment with the person.  (score 98)
· together: Shared with AI: use AI, then verify and decide.  (score 55)
· ai: AI-led: let AI handle it end to end.  (score 5)</t>
  </si>
  <si>
    <t xml:space="preserve">me: Best. Strategy depends on context, values, and accountability AI doesn't hold. Use it to pressure-test options — but own the call.
together: Use AI to pressure-test options, but the call itself depends on context, values, and accountability that AI does not hold.
ai: Unacceptable. Strategy is owned by accountable leaders, not delegated to a model.</t>
  </si>
  <si>
    <t xml:space="preserve">REL-H-D2-014</t>
  </si>
  <si>
    <t xml:space="preserve">Write a wedding speech that sounds like you</t>
  </si>
  <si>
    <t xml:space="preserve">Event: wedding in 2 weeks | Role: best man | Blocker: blank page for 3 days | Asset: real stories</t>
  </si>
  <si>
    <t xml:space="preserve">Write a wedding speech that sounds like you. The wedding is in two weeks. You're the best man and you've been staring at a blank page for three days. You have real stories — you just can't make them flow.</t>
  </si>
  <si>
    <t xml:space="preserve">· me: Human-owned: keep judgment with the person.  (score 60)
✔ together: Shared with AI: use AI, then verify and decide.  (score 98)
· ai: AI-led: let AI handle it end to end.  (score 15)</t>
  </si>
  <si>
    <t xml:space="preserve">me: Owning it is right, but three days of blank page suggests AI structure would help you get the real stories flowing.
together: Best. AI gives you a structure to beat blank-page fear, but the stories and voice must be yours or the room will feel it.
ai: The room will feel it. Stories and voice must be yours.</t>
  </si>
  <si>
    <t xml:space="preserve">REL-H-D4-015</t>
  </si>
  <si>
    <t xml:space="preserve">D4-fairness-ethics; D4-security-governance</t>
  </si>
  <si>
    <t xml:space="preserve">Fairness, ethics, and rights; Security and governance controls</t>
  </si>
  <si>
    <t xml:space="preserve">Education; Financial services; Healthcare; Public sector</t>
  </si>
  <si>
    <t xml:space="preserve">Decide if a loan applicant is creditworthy</t>
  </si>
  <si>
    <t xml:space="preserve">Volume: 800 applications/day | Model: AI risk score per case | Proposal: automate approvals | Human review: none</t>
  </si>
  <si>
    <t xml:space="preserve">Decide if a loan applicant is creditworthy. Your bank processes 800 loan applications per day. An AI model scores each one. The proposal is to automate approvals without any human reviewing individual decisions.</t>
  </si>
  <si>
    <t xml:space="preserve">· me: Human-owned: keep judgment with the person.  (score 55)
✔ together: Shared with AI: use AI, then verify and decide.  (score 98)
· ai: AI-led: let AI handle it end to end.  (score 5)</t>
  </si>
  <si>
    <t xml:space="preserve">me: Human review of 800 applications a day is unrealistic. The answer is scoring plus accountable human oversight, not no model.
together: Best. Models can score risk, but unaudited automation has produced illegal discrimination. A human must be accountable and able to explain every decision.
ai: Unsafe. Unaudited automated approvals have produced illegal discrimination; a human must be able to explain every decision.</t>
  </si>
  <si>
    <t xml:space="preserve">REL-H-D2-016</t>
  </si>
  <si>
    <t xml:space="preserve">Recommend a movie to watch tonight</t>
  </si>
  <si>
    <t xml:space="preserve">Time: Sunday evening, tired | Goal: something good | Effort so far: 15 minutes scrolling | Risk: none</t>
  </si>
  <si>
    <t xml:space="preserve">Recommend a movie to watch tonight. Sunday evening, you're tired, and you want something genuinely good. You've scrolled Netflix for 15 minutes and given up.</t>
  </si>
  <si>
    <t xml:space="preserve">· me: Human-owned: keep judgment with the person.  (score 45)
· together: Shared with AI: use AI, then verify and decide.  (score 60)
✔ ai: AI-led: let AI handle it end to end.  (score 98)</t>
  </si>
  <si>
    <t xml:space="preserve">me: You already spent 15 minutes scrolling. Low-stakes personal taste is a perfect lightweight AI use.
together: Fine, but there is nothing to verify. Worst case you switch films.
ai: Best. Low-stakes, reversible, personal taste — a perfect lightweight AI use. Worst case, you switch films.</t>
  </si>
  <si>
    <t xml:space="preserve">REL-H-D6-017</t>
  </si>
  <si>
    <t xml:space="preserve">D6-role-clarity; D4-fairness-ethics</t>
  </si>
  <si>
    <t xml:space="preserve">Human-AI role clarity; Fairness, ethics, and rights</t>
  </si>
  <si>
    <t xml:space="preserve">Write performance reviews for your team</t>
  </si>
  <si>
    <t xml:space="preserve">Reviews: 8 people, due Friday | Evidence: rough notes | Standard: fair, specific, defensible | Risk: trust and bias</t>
  </si>
  <si>
    <t xml:space="preserve">Write performance reviews for your team. Year-end reviews are due Friday. You manage eight people and have rough notes on each — but the written reviews need to be fair, specific, and defensible.</t>
  </si>
  <si>
    <t xml:space="preserve">· me: Human-owned: keep judgment with the person.  (score 65)
✔ together: Shared with AI: use AI, then verify and decide.  (score 98)
· ai: AI-led: let AI handle it end to end.  (score 10)</t>
  </si>
  <si>
    <t xml:space="preserve">me: Ownership is right, but AI can tidy your notes so your time goes to fairness and specifics.
together: Best. AI can tidy your notes, but fairness and specifics must come from you. Generic AI praise erodes trust and can encode bias across a team.
ai: Generic AI praise erodes trust and can encode bias across a team. Fairness must come from you.</t>
  </si>
  <si>
    <t xml:space="preserve">REL-H-D6-018</t>
  </si>
  <si>
    <t xml:space="preserve">D6-role-clarity</t>
  </si>
  <si>
    <t xml:space="preserve">Human-AI role clarity</t>
  </si>
  <si>
    <t xml:space="preserve">CHRO / People leader; CFO / Risk leader</t>
  </si>
  <si>
    <t xml:space="preserve">Negotiate your own salary in the room</t>
  </si>
  <si>
    <t xml:space="preserve">Offer: lower than expected | Setting: face to face, right now | Prep: could have used AI beforehand | Skill: live read of the other person</t>
  </si>
  <si>
    <t xml:space="preserve">Negotiate your own salary in the room. Your manager just made an offer. It's lower than you expected. You're sitting across from them right now — the silence is yours to fill.</t>
  </si>
  <si>
    <t xml:space="preserve">me: Best. AI can prep your case beforehand, but the live read of the other person is human work. Reliance research calls this knowing when not to delegate.
together: AI can prepare your case beforehand, but in the room the live read of the other person is yours.
ai: Not possible or wise. The silence in the room is yours to fill.</t>
  </si>
  <si>
    <t xml:space="preserve">REL-H-D4-019</t>
  </si>
  <si>
    <t xml:space="preserve">D4-regulatory-policy; D4-data-privacy</t>
  </si>
  <si>
    <t xml:space="preserve">Regulatory and policy fluency; Data protection and privacy</t>
  </si>
  <si>
    <t xml:space="preserve">Board / Investor; CHRO / People leader; CFO / Risk leader; CIO / CDO / CTO</t>
  </si>
  <si>
    <t xml:space="preserve">Draft a privacy policy for your website</t>
  </si>
  <si>
    <t xml:space="preserve">App: launches next month | Data: emails, location, payment | Requirement: PDPA-compliant policy | Risk: legal liability</t>
  </si>
  <si>
    <t xml:space="preserve">Draft a privacy policy for your website. You're launching a new app next month that collects user emails, location data, and payment info. Legal says you need a PDPA-compliant privacy policy before launch.</t>
  </si>
  <si>
    <t xml:space="preserve">me: Safe, but AI gives a solid template. The human work is matching PDPA obligations to what you actually collect.
together: Best. AI gives a solid template, but PDPA compliance is specific to what you actually collect. A wrong policy is a legal liability, not a formality.
ai: A wrong policy is a legal liability, not a formality. PDPA compliance is specific to your data.</t>
  </si>
  <si>
    <t xml:space="preserve">REL-H-D6-020</t>
  </si>
  <si>
    <t xml:space="preserve">D6-role-clarity; D4-security-governance</t>
  </si>
  <si>
    <t xml:space="preserve">Human-AI role clarity; Security and governance controls</t>
  </si>
  <si>
    <t xml:space="preserve">General work; HR &amp; People; Finance; Sales; Customer Service; Engineering &amp; Data; Operations</t>
  </si>
  <si>
    <t xml:space="preserve">Write the public apology after your data breach</t>
  </si>
  <si>
    <t xml:space="preserve">Breach: 50,000 users' records | Media: already asking | Deadline: statement today | Requirement: accurate, accountable, human</t>
  </si>
  <si>
    <t xml:space="preserve">Write the public apology after your data breach. Your company confirmed a data breach affecting 50,000 users' personal records. Media is already asking. You need a public statement out today — accurate, accountable, and human.</t>
  </si>
  <si>
    <t xml:space="preserve">· me: Human-owned: keep judgment with the person.  (score 65)
✔ together: Shared with AI: use AI, then verify and decide.  (score 98)
· ai: AI-led: let AI handle it end to end.  (score 5)</t>
  </si>
  <si>
    <t xml:space="preserve">me: Ownership is right, but AI can structure the statement fast while you own facts, accountability, and tone.
together: Best. AI can structure the statement, but accountability, facts, and tone are existential here. A tone-deaf or inaccurate apology deepens the crisis.
ai: Unsafe. A tone-deaf or inaccurate apology deepens the crisis; accountability cannot be outsourced.</t>
  </si>
  <si>
    <t xml:space="preserve">REL-H-D2-021</t>
  </si>
  <si>
    <t xml:space="preserve">Transcribe a one-hour meeting recording</t>
  </si>
  <si>
    <t xml:space="preserve">Recording: 1-hour strategy session | Need: full transcript for minutes | Detail: names, action items, exact wording | Risk: names and numbers</t>
  </si>
  <si>
    <t xml:space="preserve">Transcribe a one-hour meeting recording. You just finished a one-hour strategy session. A recording exists. Someone needs the full transcript for the minutes — names, action items, exact wording of key decisions.</t>
  </si>
  <si>
    <t xml:space="preserve">· me: Human-owned: keep judgment with the person.  (score 30)
· together: Shared with AI: use AI, then verify and decide.  (score 70)
✔ ai: AI-led: let AI handle it end to end.  (score 98)</t>
  </si>
  <si>
    <t xml:space="preserve">me: Manual transcription of an hour of audio is a poor use of time. Speech-to-text is a mature AI strength.
together: Good, but the human step should be a skim for names and numbers, not parallel transcription.
ai: Best. Speech-to-text is a mature AI strength. Skim for names and numbers, which are where transcription slips.</t>
  </si>
  <si>
    <t xml:space="preserve">REL-H-D3-022</t>
  </si>
  <si>
    <t xml:space="preserve">D3-source-verification; D5-usecase-fit</t>
  </si>
  <si>
    <t xml:space="preserve">Source and claim verification; Use-case evaluation</t>
  </si>
  <si>
    <t xml:space="preserve">General work; HR &amp; People; Marketing; Sales; Customer Service; Engineering &amp; Data; Operations</t>
  </si>
  <si>
    <t xml:space="preserve">Retail &amp; ecommerce</t>
  </si>
  <si>
    <t xml:space="preserve">CEO / Managing Director; CHRO / People leader; CIO / CDO / CTO; Transformation sponsor</t>
  </si>
  <si>
    <t xml:space="preserve">Judge whether a vendor's AI claims are real</t>
  </si>
  <si>
    <t xml:space="preserve">Claim: 'reduces procurement time by 60%' | Ask: 3-year contract | Evidence: one slide | Missing: data, demo, independent test</t>
  </si>
  <si>
    <t xml:space="preserve">Judge whether a vendor's AI claims are real. A vendor's deck says their AI 'reduces procurement time by 60%'. They want you to sign a 3-year contract. You've seen the slide — but no data, no demo, no independent test.</t>
  </si>
  <si>
    <t xml:space="preserve">me: Best. This is the meta-skill: evaluating AI is human judgment. Ask for evidence and a live demo — don't let the vendor's AI grade its own homework.
together: AI can help list the questions to ask, but evaluating an AI vendor's evidence is human judgment. Do not let their AI grade its own homework.
ai: Circular. Asking AI whether an AI claim is real is not evidence; demand data and a live demo.</t>
  </si>
  <si>
    <t xml:space="preserve">REL-H-D2-023</t>
  </si>
  <si>
    <t xml:space="preserve">D2-output-refinement; D2-tool-selection</t>
  </si>
  <si>
    <t xml:space="preserve">Output refinement; Tool selection and integration</t>
  </si>
  <si>
    <t xml:space="preserve">Generate logo concepts to explore directions</t>
  </si>
  <si>
    <t xml:space="preserve">Business: new consultancy | Stage: before briefing a designer | Need: 10–20 visual directions | Goal: find the right territory</t>
  </si>
  <si>
    <t xml:space="preserve">Generate logo concepts to explore directions. You're starting a new consultancy. Before briefing a designer, you want to explore 10–20 visual directions quickly — just to know what territory feels right.</t>
  </si>
  <si>
    <t xml:space="preserve">me: Slow for fast exploration. Let AI generate directions, then bring a designer to finish.
together: Fine, but at this stage the human role is choosing a direction, not co-designing.
ai: Best. Exploring visual directions fast is a great AI use. Pick a direction, then bring a designer to finish what will represent you for years.</t>
  </si>
  <si>
    <t xml:space="preserve">REL-H-D4-024</t>
  </si>
  <si>
    <t xml:space="preserve">D4-regulatory-policy; D6-role-clarity</t>
  </si>
  <si>
    <t xml:space="preserve">Regulatory and policy fluency; Human-AI role clarity</t>
  </si>
  <si>
    <t xml:space="preserve">Sign off on the company's financial statements</t>
  </si>
  <si>
    <t xml:space="preserve">Statements: year-end, prepared by accountants | Filing: tomorrow | Signature: yours | Accountability: legal</t>
  </si>
  <si>
    <t xml:space="preserve">Sign off on the company's financial statements. Year-end financial statements are ready. The accountants have done their work. Your name goes on the signature line — and filing is tomorrow.</t>
  </si>
  <si>
    <t xml:space="preserve">✔ me: Human-owned: keep judgment with the person.  (score 98)
· together: Shared with AI: use AI, then verify and decide.  (score 45)
· ai: AI-led: let AI handle it end to end.  (score 0)</t>
  </si>
  <si>
    <t xml:space="preserve">me: Best. A signature is legal accountability that cannot be delegated to software. AI may help prepare; only a responsible human can attest.
together: AI may help prepare and check, but attestation is legal accountability that cannot be shared with software.
ai: Impossible and unlawful. A signature is personal legal accountability.</t>
  </si>
  <si>
    <t xml:space="preserve">REL-H-D2-025</t>
  </si>
  <si>
    <t xml:space="preserve">Write the first draft of a blog post</t>
  </si>
  <si>
    <t xml:space="preserve">Piece: 600-word explainer on AI risk | Audience: non-technical | Deadline: end of day | Blocker: blank page for an hour</t>
  </si>
  <si>
    <t xml:space="preserve">Write the first draft of a blog post. You need a 600-word explainer on AI risk for a non-technical audience by end of day. You know the subject well — but you've been staring at the blank page for an hour.</t>
  </si>
  <si>
    <t xml:space="preserve">· me: Human-owned: keep judgment with the person.  (score 55)
✔ together: Shared with AI: use AI, then verify and decide.  (score 98)
· ai: AI-led: let AI handle it end to end.  (score 20)</t>
  </si>
  <si>
    <t xml:space="preserve">me: You know the subject, but an hour of blank page says AI can beat it. Your edit is what makes it publishable.
together: Best. AI beats the blank page, but a draft is not a decision. Your edit — the facts, the angle, the voice — is what makes it worth publishing.
ai: A draft is not a decision. Facts, angle, and voice need your edit before publishing.</t>
  </si>
  <si>
    <t xml:space="preserve">REL-H-D3-026</t>
  </si>
  <si>
    <t xml:space="preserve">Confirm whether a breaking news claim is true</t>
  </si>
  <si>
    <t xml:space="preserve">Claim: major tech company collapsed | Source: viral post | Timing: last hour, unconfirmed by outlets | Pressure: colleagues reacting</t>
  </si>
  <si>
    <t xml:space="preserve">Confirm whether a breaking news claim is true. A viral post says a major tech company just collapsed. Your colleagues are already reacting. It happened in the last hour — before any major outlets have confirmed.</t>
  </si>
  <si>
    <t xml:space="preserve">me: Best. AI may not know recent events and will state guesses confidently. Check primary sources yourself before you share or act.
together: AI may not know last-hour events and will guess confidently. It can suggest what to check, but you must open primary sources.
ai: Unsafe. AI may not know recent events and will state guesses confidently.</t>
  </si>
  <si>
    <t xml:space="preserve">FUNC-PEOPLE-D4-001</t>
  </si>
  <si>
    <t xml:space="preserve">Functional</t>
  </si>
  <si>
    <t xml:space="preserve">report-review</t>
  </si>
  <si>
    <t xml:space="preserve">multi</t>
  </si>
  <si>
    <t xml:space="preserve">HR &amp; People</t>
  </si>
  <si>
    <t xml:space="preserve">/stimuli/raw-hr-candidate-packet.svg</t>
  </si>
  <si>
    <t xml:space="preserve">Raw candidate packet</t>
  </si>
  <si>
    <t xml:space="preserve">Raw candidate screening packet comparing Candidate A and Candidate B with evidence notes and a culture fit risk flag.</t>
  </si>
  <si>
    <t xml:space="preserve">Inspect the evidence and decide what an HR reviewer should challenge before advancing a candidate.</t>
  </si>
  <si>
    <t xml:space="preserve">An AI screening summary recommends Candidate A as the best culture fit. The raw packet includes competency evidence and notes for two candidates.</t>
  </si>
  <si>
    <t xml:space="preserve">Which issues should HR flag before using the AI recommendation?</t>
  </si>
  <si>
    <t xml:space="preserve">✔ a: Culture fit is not tied to job-relevant evidence.  (score 33)
✔ b: Candidate B has stronger work-sample evidence.  (score 33)
✔ c: Availability should be treated as a tradeoff, not the main skill signal.  (score 33)
· d: The AI should choose the finalist to reduce interviewer workload.  (score 0)</t>
  </si>
  <si>
    <t xml:space="preserve">a; b; c  (multi-select: all required)</t>
  </si>
  <si>
    <t xml:space="preserve">a: Correct. Proxy language can hide bias or weak criteria.
b: Correct. The raw evidence contradicts a simple recommendation.
c: Correct. Start date matters, but it should not replace capability evidence.
d: High-impact people decisions require human accountability.</t>
  </si>
  <si>
    <t xml:space="preserve">FUNC-FIN-D3-001</t>
  </si>
  <si>
    <t xml:space="preserve">Finance</t>
  </si>
  <si>
    <t xml:space="preserve">/stimuli/raw-finance-variance-report.svg</t>
  </si>
  <si>
    <t xml:space="preserve">Raw variance report</t>
  </si>
  <si>
    <t xml:space="preserve">Raw finance variance report showing marketing spend, cloud compute, support revenue, and non-recurring vendor credits.</t>
  </si>
  <si>
    <t xml:space="preserve">Inspect all line items before accepting the AI conclusion.</t>
  </si>
  <si>
    <t xml:space="preserve">An AI finance summary says marketing overspend is the main reason margin missed target.</t>
  </si>
  <si>
    <t xml:space="preserve">What is the strongest critique of the AI summary?</t>
  </si>
  <si>
    <t xml:space="preserve">✔ a: It isolates marketing while larger compute and revenue variances are visible.  (score 98)
· b: It should focus only on the line with the clearest narrative.  (score 20)
· c: It should count vendor credits as recurring savings.  (score 15)
· d: It should hide uncertainty until the next close cycle.  (score 25)</t>
  </si>
  <si>
    <t xml:space="preserve">a: It isolates marketing while larger compute and revenue variances are visible.</t>
  </si>
  <si>
    <t xml:space="preserve">a: Correct. The evidence points to multiple material drivers.
b: A clean narrative can still be materially incomplete.
c: The report says the credit is one-time.
d: Finance users should surface uncertainty and missing baselines.</t>
  </si>
  <si>
    <t xml:space="preserve">FUNC-MKT-D3-001</t>
  </si>
  <si>
    <t xml:space="preserve">media</t>
  </si>
  <si>
    <t xml:space="preserve">Marketing</t>
  </si>
  <si>
    <t xml:space="preserve">/stimuli/raw-marketing-campaign-dashboard.svg</t>
  </si>
  <si>
    <t xml:space="preserve">Raw campaign dashboard</t>
  </si>
  <si>
    <t xml:space="preserve">Raw marketing campaign dashboard with Ad Set C showing high conversion rate but tiny sample and coupon leak note.</t>
  </si>
  <si>
    <t xml:space="preserve">Inspect sample size and quality notes before accepting the AI recommendation.</t>
  </si>
  <si>
    <t xml:space="preserve">An AI campaign assistant recommends scaling Ad Set C because it has the highest conversion rate.</t>
  </si>
  <si>
    <t xml:space="preserve">What should the marketer check before scaling?</t>
  </si>
  <si>
    <t xml:space="preserve">✔ a: Sample size, traffic quality, coupon anomaly, and incrementality.  (score 98)
· b: Only the headline conversion rate because it is highest.  (score 20)
· c: Whether the chart colors make Ad Set C stand out.  (score 15)
· d: Whether the AI can write a better ad headline.  (score 35)</t>
  </si>
  <si>
    <t xml:space="preserve">a: Sample size, traffic quality, coupon anomaly, and incrementality.</t>
  </si>
  <si>
    <t xml:space="preserve">a: Correct. A high rate on weak evidence can be misleading.
b: The highest rate is not enough when sample quality is weak.
c: Visual emphasis is not decision-grade evidence.
d: Creative quality may matter later, but the scaling decision needs evidence checks first.</t>
  </si>
  <si>
    <t xml:space="preserve">FUNC-OPS-D6-001</t>
  </si>
  <si>
    <t xml:space="preserve">narrative</t>
  </si>
  <si>
    <t xml:space="preserve">text</t>
  </si>
  <si>
    <t xml:space="preserve">Operations</t>
  </si>
  <si>
    <t xml:space="preserve">/stimuli/raw-support-ticket-thread.svg</t>
  </si>
  <si>
    <t xml:space="preserve">Raw support ticket</t>
  </si>
  <si>
    <t xml:space="preserve">Raw support ticket thread showing customer complaint, system payment log, policy note, and flawed AI draft.</t>
  </si>
  <si>
    <t xml:space="preserve">Inspect the ticket evidence and write the safer customer response.</t>
  </si>
  <si>
    <t xml:space="preserve">A support agent receives an AI draft that denies a refund. The raw ticket includes a payment retry, duplicate capture, and refund policy exception.</t>
  </si>
  <si>
    <t xml:space="preserve">Write 2-4 sentences explaining what the support agent should do next.</t>
  </si>
  <si>
    <t xml:space="preserve">log: Uses the system log as evidence (26 pts; keywords: log, duplicate, capture, payment, retry)
policy: Applies the refund policy exception (26 pts; keywords: policy, refund, exception, duplicate)
tone: Keeps customer communication clear and accountable (20 pts; keywords: apologize, sorry, case, clear, explain)
verify: Requires verification before final action (26 pts; keywords: verify, confirm, check, payment)</t>
  </si>
  <si>
    <t xml:space="preserve">The agent should not send the denial. The system log shows a duplicate payment capture, and the policy says duplicate charges should be refunded after verification. Verify the payment, apologize, give a case ID, and explain the next step to the customer.</t>
  </si>
  <si>
    <t xml:space="preserve">FUNC-TECH-D4-001</t>
  </si>
  <si>
    <t xml:space="preserve">Engineering &amp; Data</t>
  </si>
  <si>
    <t xml:space="preserve">/stimuli/raw-technical-access-log.svg</t>
  </si>
  <si>
    <t xml:space="preserve">Raw connector log</t>
  </si>
  <si>
    <t xml:space="preserve">Raw technical access log showing payment log access, attempted HR notes access, vendor email block, secrets access denial, and public status gate.</t>
  </si>
  <si>
    <t xml:space="preserve">Inspect the tool calls and identify which controls are working or still need review.</t>
  </si>
  <si>
    <t xml:space="preserve">An incident assistant used several tool connectors during triage. The raw access log shows allowed, blocked, and out-of-scope attempts.</t>
  </si>
  <si>
    <t xml:space="preserve">Which controls should the technical owner preserve or strengthen?</t>
  </si>
  <si>
    <t xml:space="preserve">✔ a: Keep human gates for external emails and public updates.  (score 25)
✔ b: Investigate attempted HR-note and secrets access.  (score 25)
✔ c: Scope incident tools to the minimum needed systems.  (score 25)
✔ d: Preserve the log for audit and post-incident tuning.  (score 25)
· e: Remove blocks so the agent can resolve incidents faster.  (score 0)</t>
  </si>
  <si>
    <t xml:space="preserve">a; b; c; d  (multi-select: all required)</t>
  </si>
  <si>
    <t xml:space="preserve">a: Correct. Outbound and public actions need approval.
b: Correct. Out-of-scope attempts are important audit signals.
c: Correct. Least privilege reduces blast radius.
d: Correct. Logs support both accountability and improvement.
e: Speed should not erase access boundaries.</t>
  </si>
  <si>
    <t xml:space="preserve">FUNC-GEN-D5-001</t>
  </si>
  <si>
    <t xml:space="preserve">drag-order</t>
  </si>
  <si>
    <t xml:space="preserve">rank</t>
  </si>
  <si>
    <t xml:space="preserve">Pilot workflow artifact</t>
  </si>
  <si>
    <t xml:space="preserve">AI pilot workflow map with review loop and approval gaps.</t>
  </si>
  <si>
    <t xml:space="preserve">Use the workflow evidence to sequence a practical pilot decision.</t>
  </si>
  <si>
    <t xml:space="preserve">A function lead wants to choose one AI workflow pilot from several ideas with different value, risk, and readiness levels.</t>
  </si>
  <si>
    <t xml:space="preserve">Order the pilot decision steps.</t>
  </si>
  <si>
    <t xml:space="preserve">#1  workflow: Define the workflow problem and users affected
#2  baseline: Capture baseline time, quality, risk, and volume
#3  controls: Set review gates, data boundaries, and owner
#4  pilot: Run a time-boxed pilot with success and stop criteria</t>
  </si>
  <si>
    <t xml:space="preserve">workflow &gt; baseline &gt; controls &gt; pilot</t>
  </si>
  <si>
    <t xml:space="preserve">rank: Correct. Function-level pilots need workflow fit, baseline evidence, controls, and learning criteria.</t>
  </si>
  <si>
    <t xml:space="preserve">FUNC-EXP-PEOPLE-D3-001</t>
  </si>
  <si>
    <t xml:space="preserve">/stimuli/func-exp-people-policy-packet.svg</t>
  </si>
  <si>
    <t xml:space="preserve">People Ops policy packet</t>
  </si>
  <si>
    <t xml:space="preserve">Raw People Ops packet with approved PTO policy, older draft note, AI answer, candidate screening extract, and compliance note.</t>
  </si>
  <si>
    <t xml:space="preserve">Inspect the approved policy, stale draft note, and AI answer before deciding whether to use it.</t>
  </si>
  <si>
    <t xml:space="preserve">An HR generalist asks AI to answer a manager question about PTO carryover. The AI cites an older draft comment even though a newer approved policy is visible.</t>
  </si>
  <si>
    <t xml:space="preserve">What is the strongest critique of the AI answer?</t>
  </si>
  <si>
    <t xml:space="preserve">✔ a: It relies on a stale draft while the approved policy gives a different limit.  (score 98)
· b: It is concise but still needs manager-facing examples.  (score 45)
· c: It should avoid manager guidance until every edge case is known.  (score 35)
· d: It should average the old and new carryover limits.  (score 15)</t>
  </si>
  <si>
    <t xml:space="preserve">a: It relies on a stale draft while the approved policy gives a different limit.</t>
  </si>
  <si>
    <t xml:space="preserve">a: Correct. The answer is grounded in the wrong source version.
b: Examples may help, but source freshness is the decisive failure.
c: Managers can receive guidance when it is current and bounded.
d: Averaging conflicting policy versions invents a rule.</t>
  </si>
  <si>
    <t xml:space="preserve">FUNC-EXP-PEOPLE-D4-002</t>
  </si>
  <si>
    <t xml:space="preserve">multi-select</t>
  </si>
  <si>
    <t xml:space="preserve">Candidate calibration extract</t>
  </si>
  <si>
    <t xml:space="preserve">Raw People Ops packet showing candidate notes, work sample status, AI fit label, and compliance note about proxy language.</t>
  </si>
  <si>
    <t xml:space="preserve">Select the controls that keep AI-assisted hiring grounded in job-relevant evidence.</t>
  </si>
  <si>
    <t xml:space="preserve">A hiring manager wants to accept the AI label that Candidate 18 is the top fit. The packet includes competency evidence and proxy language.</t>
  </si>
  <si>
    <t xml:space="preserve">Which actions should the People lead require before using the AI recommendation?</t>
  </si>
  <si>
    <t xml:space="preserve">✔ a: Map each recommendation to scorecard and work-sample evidence.  (score 34)
✔ b: Challenge proxy phrases such as culture fit or similarity.  (score 33)
✔ c: Keep the manager accountable and document override rationale.  (score 33)
· d: Prefer the candidate with the most confident AI label.  (score 0)
· e: Remove work-sample comparisons to reduce friction.  (score 0)</t>
  </si>
  <si>
    <t xml:space="preserve">a: Correct. Hiring recommendations need job-relevant support.
b: Correct. These can hide bias or irrelevant criteria.
c: Correct. Human accountability and traceability are required.
d: Model confidence is not a substitute for validated evidence.
e: Work samples are relevant evidence, not something to suppress.</t>
  </si>
  <si>
    <t xml:space="preserve">FUNC-EXP-FIN-D3-001</t>
  </si>
  <si>
    <t xml:space="preserve">/stimuli/func-exp-finance-workbook.svg</t>
  </si>
  <si>
    <t xml:space="preserve">Q3 close workbook</t>
  </si>
  <si>
    <t xml:space="preserve">Raw finance workbook showing budget, actuals, variances, AI notes, and controller flags for Q3 close.</t>
  </si>
  <si>
    <t xml:space="preserve">Inspect recurring and non-recurring drivers before accepting the close narrative.</t>
  </si>
  <si>
    <t xml:space="preserve">An AI close comment says paid media is the main cause of the margin miss and vendor savings offset the rest.</t>
  </si>
  <si>
    <t xml:space="preserve">Which revision would make the close comment most decision-grade?</t>
  </si>
  <si>
    <t xml:space="preserve">✔ a: Separate compute, expansion MRR, paid media, and one-time credit.  (score 98)
· b: Keep paid media as the story because it is easiest to explain.  (score 24)
· c: Treat vendor credit as recurring because it appears in the workbook.  (score 15)
· d: Defer explanation until next quarter to avoid revising AI work.  (score 22)</t>
  </si>
  <si>
    <t xml:space="preserve">a: Separate compute, expansion MRR, paid media, and one-time credit.</t>
  </si>
  <si>
    <t xml:space="preserve">a: Correct. The workbook shows multiple material drivers with different recurrence.
b: A simple story that drops material drivers is misleading.
c: The controller flag says the credit is non-recurring.
d: Close commentary should be corrected when evidence is already available.</t>
  </si>
  <si>
    <t xml:space="preserve">FUNC-EXP-FIN-D5-002</t>
  </si>
  <si>
    <t xml:space="preserve">Finance; General work</t>
  </si>
  <si>
    <t xml:space="preserve">Close commentary workbook</t>
  </si>
  <si>
    <t xml:space="preserve">Raw Q3 close workbook with AI notes, controller flags, material variances, and one-time items.</t>
  </si>
  <si>
    <t xml:space="preserve">Order the pilot design steps so AI helps reporting while preserving finance controls.</t>
  </si>
  <si>
    <t xml:space="preserve">A finance lead wants to pilot AI-generated close commentary for monthly reporting without weakening review discipline.</t>
  </si>
  <si>
    <t xml:space="preserve">Order the pilot steps from first to last.</t>
  </si>
  <si>
    <t xml:space="preserve">#1  baseline: Baseline cycle time, error rate, and review rework
#2  scope: Limit AI drafting to approved data and selected variances
#3  review: Require controller review for materiality and recurrence
#4  measure: Compare time saved and corrections before expanding</t>
  </si>
  <si>
    <t xml:space="preserve">baseline &gt; scope &gt; review &gt; measure</t>
  </si>
  <si>
    <t xml:space="preserve">rank: Correct. A useful pilot starts with a baseline, constrains scope, preserves review, and measures before scale.</t>
  </si>
  <si>
    <t xml:space="preserve">FUNC-EXP-MKT-D3-001</t>
  </si>
  <si>
    <t xml:space="preserve">/stimuli/func-exp-campaign-export.svg</t>
  </si>
  <si>
    <t xml:space="preserve">Campaign export</t>
  </si>
  <si>
    <t xml:space="preserve">Raw campaign export showing spend, leads, MQLs, opportunities, AI actions, CRM validation sample, and quality warnings.</t>
  </si>
  <si>
    <t xml:space="preserve">Inspect lead quality, funnel progression, and attribution limits before accepting the AI action.</t>
  </si>
  <si>
    <t xml:space="preserve">A campaign assistant recommends scaling Segment C because it has the lowest CPA and highest lead count.</t>
  </si>
  <si>
    <t xml:space="preserve">What should the marketer do before scaling Segment C?</t>
  </si>
  <si>
    <t xml:space="preserve">✔ a: Validate email quality, duplicates, opportunities, and coupon leakage.  (score 98)
· b: Scale immediately because CPA and lead volume are strongest.  (score 20)
· c: Pause Segment D because its CPA is the highest.  (score 28)
· d: Rewrite creative before checking CRM quality and attribution.  (score 35)</t>
  </si>
  <si>
    <t xml:space="preserve">a: Validate email quality, duplicates, opportunities, and coupon leakage.</t>
  </si>
  <si>
    <t xml:space="preserve">a: Correct. Low CPA is not enough when quality and intent signals are weak.
b: They are useful signals, but not sufficient for revenue-quality decisions.
c: High CPA may be acceptable when opportunity quality is stronger.
d: Creative work may help later, but the scaling decision needs evidence first.</t>
  </si>
  <si>
    <t xml:space="preserve">FUNC-EXP-TECH-D4-001</t>
  </si>
  <si>
    <t xml:space="preserve">matching</t>
  </si>
  <si>
    <t xml:space="preserve">match</t>
  </si>
  <si>
    <t xml:space="preserve">Engineering &amp; Data; Operations</t>
  </si>
  <si>
    <t xml:space="preserve">/stimuli/func-exp-ops-data-workflow-log.svg</t>
  </si>
  <si>
    <t xml:space="preserve">Agent tool log</t>
  </si>
  <si>
    <t xml:space="preserve">Operations workflow and agent tool log showing support ticket evidence, workflow steps, blocked tool actions, and reviewer notes.</t>
  </si>
  <si>
    <t xml:space="preserve">Match each event to the control that best addresses the risk.</t>
  </si>
  <si>
    <t xml:space="preserve">A technical/data owner reviews an operations agent run that read billing and CRM records, attempted a refund, and tried to send a denial draft.</t>
  </si>
  <si>
    <t xml:space="preserve">Match the workflow issue to the right control.</t>
  </si>
  <si>
    <t xml:space="preserve">Agent attempts a large refund  →  Approval gate for monetary actions   [choices: Approval gate for monetary actions | Creative prompt library | Weekly brand review | Model confidence badge]
Agent drafts denial despite duplicate capture evidence  →  Policy and evidence check before outbound reply   [choices: Policy and evidence check before outbound reply | Unrestricted email send permission | Longer customer greeting | Lead source enrichment]
Agent reads invoice events for the active ticket  →  Ticket-scoped least-privilege access   [choices: Ticket-scoped least-privilege access | Company-wide file crawl | Disable audit logging | Replace CRM notes]</t>
  </si>
  <si>
    <t xml:space="preserve">Agent attempts a large refund → Approval gate for monetary actions; Agent drafts denial despite duplicate capture evidence → Policy and evidence check before outbound reply; Agent reads invoice events for the active ticket → Ticket-scoped least-privilege access</t>
  </si>
  <si>
    <t xml:space="preserve">match: Correct. Controls should map to money movement, outbound communication, and data access scope.</t>
  </si>
  <si>
    <t xml:space="preserve">FUNC-EXP-OPS-D6-001</t>
  </si>
  <si>
    <t xml:space="preserve">Support workflow log</t>
  </si>
  <si>
    <t xml:space="preserve">Raw support ticket, workflow map, and agent tool log for a duplicate renewal invoice case.</t>
  </si>
  <si>
    <t xml:space="preserve">Use the raw ticket and tool log to write the next operational response.</t>
  </si>
  <si>
    <t xml:space="preserve">A support agent receives an AI denial draft for a duplicate-charge ticket. The workflow log shows a likely second capture and blocks both refund and outbound email actions.</t>
  </si>
  <si>
    <t xml:space="preserve">reject: Rejects the AI denial draft (24 pts; keywords: not send, reject, do not send, revise, denial)
evidence: Uses duplicate capture evidence (26 pts; keywords: duplicate, second capture, billing, capture, charged twice)
verify: Requires payment verification before refund (26 pts; keywords: verify, confirm, payment, refund, approval)
customer: Communicates accountability to the customer (24 pts; keywords: apologize, sorry, case, timeline, next step)</t>
  </si>
  <si>
    <t xml:space="preserve">The agent should not send the denial because the billing log shows a likely duplicate capture. They should verify the payment record, use the refund approval path, and then send a revised reply that apologizes, gives a case reference, and explains the next step clearly.</t>
  </si>
  <si>
    <t xml:space="preserve">FUNC-CS-D3-001</t>
  </si>
  <si>
    <t xml:space="preserve">Customer Service; Operations</t>
  </si>
  <si>
    <t xml:space="preserve">/stimuli/raw-customer-service-escalation.svg</t>
  </si>
  <si>
    <t xml:space="preserve">Customer escalation ticket</t>
  </si>
  <si>
    <t xml:space="preserve">Customer service escalation queue showing duplicate payment evidence, SLA risk, frustrated customer messages, and a weak AI draft.</t>
  </si>
  <si>
    <t xml:space="preserve">Inspect the raw ticket evidence before accepting the AI draft.</t>
  </si>
  <si>
    <t xml:space="preserve">A customer-service AI drafts a standard delay reply for a duplicate-charge ticket.</t>
  </si>
  <si>
    <t xml:space="preserve">What is the strongest critique of the AI draft?</t>
  </si>
  <si>
    <t xml:space="preserve">✔ a: It ignores duplicate-capture evidence and dispute risk.  (score 98)
· b: It uses a greeting that is too short.  (score 32)
· c: It should mention every internal system field.  (score 38)
· d: It should ask the customer to wait without review.  (score 18)</t>
  </si>
  <si>
    <t xml:space="preserve">a: It ignores duplicate-capture evidence and dispute risk.</t>
  </si>
  <si>
    <t xml:space="preserve">a: Correct. The artifact shows payment evidence and escalation risk that the draft misses.
b: Tone matters, but the main failure is missing evidence and urgency.
c: Customers need a clear action, not raw internal data.
d: That repeats the flawed response and increases harm.</t>
  </si>
  <si>
    <t xml:space="preserve">FUNC-CS-D6-002</t>
  </si>
  <si>
    <t xml:space="preserve">Support reply review</t>
  </si>
  <si>
    <t xml:space="preserve">Customer escalation artifact with chat thread, duplicate charge evidence, SLA breach warning, and AI draft response.</t>
  </si>
  <si>
    <t xml:space="preserve">Use the ticket, evidence, and SLA risk to write a better human-AI support routine.</t>
  </si>
  <si>
    <t xml:space="preserve">A support lead wants agents to use AI drafts, but customers are complaining that replies feel repetitive and miss account-specific evidence.</t>
  </si>
  <si>
    <t xml:space="preserve">Write 2-4 sentences describing the review routine before AI replies can be sent.</t>
  </si>
  <si>
    <t xml:space="preserve">evidence: Checks order/payment evidence before sending (26 pts; keywords: evidence, payment, order, duplicate, verify)
escalation: Escalates SLA, dispute, or high-frustration cases (26 pts; keywords: escalate, sla, dispute, frustration, urgent)
ownership: Keeps final accountability with the human agent (24 pts; keywords: agent, human, owner, accountable, review)
privacy: Avoids exposing unnecessary internal/customer data (22 pts; keywords: privacy, sensitive, internal, data, only needed)</t>
  </si>
  <si>
    <t xml:space="preserve">AI replies should be checked against order and payment evidence before sending. Duplicate charges, SLA breach, dispute threats, or high-frustration language should route to a human owner, who revises the response and avoids exposing unnecessary internal data.</t>
  </si>
  <si>
    <t xml:space="preserve">FUNC-CS-D5-003</t>
  </si>
  <si>
    <t xml:space="preserve">D2; D6</t>
  </si>
  <si>
    <t xml:space="preserve">Support workflow metrics</t>
  </si>
  <si>
    <t xml:space="preserve">Support queue artifact showing SLA breach, duplicate payment evidence, and AI draft quality issues.</t>
  </si>
  <si>
    <t xml:space="preserve">Select measures that show whether AI is improving service without hiding harm.</t>
  </si>
  <si>
    <t xml:space="preserve">A customer-service manager wants to prove whether AI-assisted replies improve the support workflow.</t>
  </si>
  <si>
    <t xml:space="preserve">Which metrics should be tracked before expanding AI reply assistance?</t>
  </si>
  <si>
    <t xml:space="preserve">✔ a: First-contact resolution and reopened-ticket rate.  (score 25)
✔ b: SLA breach, escalation, and dispute rates.  (score 25)
✔ c: Human edit rate and evidence-check completion.  (score 25)
✔ d: Customer satisfaction after AI-assisted replies.  (score 25)
· e: Number of AI replies sent per hour only.  (score 0)</t>
  </si>
  <si>
    <t xml:space="preserve">a: Correct. Resolution quality matters more than reply volume.
b: Correct. These reveal operational and customer harm.
c: Correct. Review behavior shows whether AI is used responsibly.
d: Correct. Customers should experience better outcomes, not just faster text.
e: Speed alone can hide repeat contacts, wrong answers, and customer harm.</t>
  </si>
  <si>
    <t xml:space="preserve">FUNC-SALES-D3-001</t>
  </si>
  <si>
    <t xml:space="preserve">Sales</t>
  </si>
  <si>
    <t xml:space="preserve">/stimuli/raw-sales-crm-pipeline.svg</t>
  </si>
  <si>
    <t xml:space="preserve">Sales pipeline review</t>
  </si>
  <si>
    <t xml:space="preserve">Sales CRM artifact showing opportunity stage, value, last touch, risk notes, and an AI forecast draft.</t>
  </si>
  <si>
    <t xml:space="preserve">Inspect stage, recency, value, and risk notes before accepting the forecast.</t>
  </si>
  <si>
    <t xml:space="preserve">An AI forecast assistant says Blue Harbor should be counted in this quarter because the CRM stage says verbal yes.</t>
  </si>
  <si>
    <t xml:space="preserve">What should the sales user challenge first?</t>
  </si>
  <si>
    <t xml:space="preserve">✔ a: The legal hold and 31-day gap make the close claim weak.  (score 98)
· b: The account name is too formal for a sales report.  (score 18)
· c: All verbal-yes deals should be excluded forever.  (score 34)
· d: The forecast is strong because the deal value is high.  (score 20)</t>
  </si>
  <si>
    <t xml:space="preserve">a: The legal hold and 31-day gap make the close claim weak.</t>
  </si>
  <si>
    <t xml:space="preserve">a: Correct. Stage alone is not enough when recency and legal risk contradict it.
b: Naming style is not the forecast risk.
c: Too broad. The issue is evidence quality for this deal.
d: High value increases materiality, not certainty.</t>
  </si>
  <si>
    <t xml:space="preserve">FUNC-SALES-D2-002</t>
  </si>
  <si>
    <t xml:space="preserve">Next-action pipeline</t>
  </si>
  <si>
    <t xml:space="preserve">Sales CRM pipeline artifact with stale touches, risk notes, deal values, and AI forecast draft.</t>
  </si>
  <si>
    <t xml:space="preserve">Use the CRM evidence to order a practical AI-assisted sales workflow.</t>
  </si>
  <si>
    <t xml:space="preserve">A sales rep wants AI to help with a next-best-action plan for open opportunities.</t>
  </si>
  <si>
    <t xml:space="preserve">Put the AI-assisted sales workflow in the strongest order.</t>
  </si>
  <si>
    <t xml:space="preserve">#1  clean: Check CRM freshness, risk notes, and missing next steps
#2  prompt: Ask AI for account-specific next actions with evidence citations
#3  review: Review legal, privacy, and customer-context risks before outreach
#4  act: Send a human-owned follow-up and update the CRM rationale</t>
  </si>
  <si>
    <t xml:space="preserve">clean &gt; prompt &gt; review &gt; act</t>
  </si>
  <si>
    <t xml:space="preserve">rank: Correct. Useful sales AI starts with evidence quality, then prompt, review, and accountable action.</t>
  </si>
  <si>
    <t xml:space="preserve">FUNC-SALES-D5-003</t>
  </si>
  <si>
    <t xml:space="preserve">Revenue meeting artifact</t>
  </si>
  <si>
    <t xml:space="preserve">Sales pipeline report with raw opportunity data, stale account contact, legal hold, and AI forecast claim.</t>
  </si>
  <si>
    <t xml:space="preserve">Select the evidence that would make the AI forecast decision-grade.</t>
  </si>
  <si>
    <t xml:space="preserve">A sales director is deciding whether to use AI forecast summaries in the weekly revenue meeting.</t>
  </si>
  <si>
    <t xml:space="preserve">Which evidence should be added before leadership uses the AI forecast?</t>
  </si>
  <si>
    <t xml:space="preserve">✔ a: Probability rationale using recency, stage, risk, and next step.  (score 25)
✔ b: Clear separation of committed, likely, and speculative revenue.  (score 25)
✔ c: Customer risk notes such as legal hold or data review.  (score 25)
✔ d: Human owner for forecast override and CRM update.  (score 25)
· e: More confident wording in the AI summary.  (score 0)</t>
  </si>
  <si>
    <t xml:space="preserve">a: Correct. Forecasts need explainable probability, not just stage labels.
b: Correct. Scenario separation prevents overpromising.
c: Correct. Risk notes change forecast confidence.
d: Correct. Revenue calls need accountability.
e: Confidence wording does not make forecast evidence stronger.</t>
  </si>
  <si>
    <t xml:space="preserve">FUNC-MKT-D5-002</t>
  </si>
  <si>
    <t xml:space="preserve">Campaign quality artifact</t>
  </si>
  <si>
    <t xml:space="preserve">Raw marketing campaign export showing CPA, lead quality, duplicate emails, coupon leakage, and opportunity conversion warnings.</t>
  </si>
  <si>
    <t xml:space="preserve">Use the raw campaign data to write a practical scaling recommendation.</t>
  </si>
  <si>
    <t xml:space="preserve">An AI campaign assistant recommends scaling the cheapest segment, but the campaign export shows low-quality leads and attribution concerns.</t>
  </si>
  <si>
    <t xml:space="preserve">Write 2-4 sentences explaining whether to scale, pause, or investigate before increasing spend.</t>
  </si>
  <si>
    <t xml:space="preserve">quality: Uses lead quality or opportunity conversion evidence (28 pts; keywords: quality, opportunity, conversion, lead, crm)
attribution: Mentions attribution, duplicates, or coupon leakage (26 pts; keywords: attribution, duplicate, coupon, leak, incrementality)
decision: Avoids scaling on CPA alone (24 pts; keywords: cpa alone, not scale, pause, investigate, before scaling)
test: Suggests a controlled test or validation step (20 pts; keywords: test, validate, holdout, experiment, sample)</t>
  </si>
  <si>
    <t xml:space="preserve">I would not scale on CPA alone. The team should investigate lead quality, duplicate emails, coupon leakage, and attribution before adding spend, then run a controlled test that links campaign results to qualified opportunities or revenue.</t>
  </si>
  <si>
    <t xml:space="preserve">FUNC-MKT-SALES-D6-003</t>
  </si>
  <si>
    <t xml:space="preserve">D2; D5</t>
  </si>
  <si>
    <t xml:space="preserve">Marketing; Sales</t>
  </si>
  <si>
    <t xml:space="preserve">Marketing-sales handoff</t>
  </si>
  <si>
    <t xml:space="preserve">Marketing campaign export with lead quality warnings and CRM opportunity signals.</t>
  </si>
  <si>
    <t xml:space="preserve">Match each handoff risk to the best human-AI collaboration practice.</t>
  </si>
  <si>
    <t xml:space="preserve">Marketing and sales are using AI to summarize leads, draft outreach, and prioritize follow-up. The handoff is creating disagreement about lead quality.</t>
  </si>
  <si>
    <t xml:space="preserve">Match each risk to the best practice.</t>
  </si>
  <si>
    <t xml:space="preserve">AI labels weak leads as high priority  →  Agree on quality criteria before scoring   [choices: Agree on quality criteria before scoring | Send every lead immediately | Hide CRM feedback from marketing]
AI drafts outreach without account context  →  Require rep review and customer-specific evidence   [choices: Require rep review and customer-specific evidence | Use the same template for all accounts | Remove human edits]
Sales feedback never updates campaign rules  →  Create a feedback loop from outcomes to targeting   [choices: Create a feedback loop from outcomes to targeting | Stop measuring outcomes | Let AI set targets alone]</t>
  </si>
  <si>
    <t xml:space="preserve">AI labels weak leads as high priority → Agree on quality criteria before scoring; AI drafts outreach without account context → Require rep review and customer-specific evidence; Sales feedback never updates campaign rules → Create a feedback loop from outcomes to targeting</t>
  </si>
  <si>
    <t xml:space="preserve">match: Correct. Marketing-sales AI work needs shared criteria, human context, and outcome feedback.</t>
  </si>
  <si>
    <t xml:space="preserve">FUNC-EXP-GEN-D5-001</t>
  </si>
  <si>
    <t xml:space="preserve">Workflow evidence example</t>
  </si>
  <si>
    <t xml:space="preserve">Operations support workflow log used as one example of a high-value workflow with measurable risk controls.</t>
  </si>
  <si>
    <t xml:space="preserve">Select portfolio criteria that work across functions.</t>
  </si>
  <si>
    <t xml:space="preserve">A cross-functional leadership group is choosing between AI pilots in HR policy support, close commentary, campaign optimization, and support refunds.</t>
  </si>
  <si>
    <t xml:space="preserve">Which criteria should function leads use to prioritize a premium AI pilot?</t>
  </si>
  <si>
    <t xml:space="preserve">✔ a: Clear workflow pain with measurable baseline.  (score 25)
✔ b: Approved, current, and specific data sources.  (score 25)
✔ c: Human review before money, policy, hiring, or customer actions.  (score 25)
✔ d: Success, stop, and expansion criteria before launch.  (score 25)
· e: A demo that feels impressive despite unclear ownership.  (score 0)</t>
  </si>
  <si>
    <t xml:space="preserve">a: Correct. Pilot value needs a measurable before state.
b: Correct. Grounding quality determines whether outputs can be trusted.
c: Correct. High-impact actions need clear gates.
d: Correct. Pilots need learning discipline, not vague enthusiasm.
e: Demo appeal is not a reliable prioritization criterion.</t>
  </si>
  <si>
    <t xml:space="preserve">DEPTH-D1-CONCEPTS-025</t>
  </si>
  <si>
    <t xml:space="preserve">Competency depth</t>
  </si>
  <si>
    <t xml:space="preserve">knowing</t>
  </si>
  <si>
    <t xml:space="preserve">D1-concepts</t>
  </si>
  <si>
    <t xml:space="preserve">Core AI concepts; Generative AI mechanics; Capability boundaries</t>
  </si>
  <si>
    <t xml:space="preserve">LLM basics; tokens; probability; model limits</t>
  </si>
  <si>
    <t xml:space="preserve">Marketing; Sales; Customer Service; Engineering &amp; Data</t>
  </si>
  <si>
    <t xml:space="preserve">Board / Investor; CIO / CDO / CTO</t>
  </si>
  <si>
    <t xml:space="preserve">/stimuli/ai-concept-workbench.svg</t>
  </si>
  <si>
    <t xml:space="preserve">LLM basics card</t>
  </si>
  <si>
    <t xml:space="preserve">AI concept workbench with token, context, and hallucination notes</t>
  </si>
  <si>
    <t xml:space="preserve">The artifact explains why fluent AI text can still be wrong.</t>
  </si>
  <si>
    <t xml:space="preserve">A new user says, “The AI sounds certain, so it must know the truth.”</t>
  </si>
  <si>
    <t xml:space="preserve">Which explanation is most accurate?</t>
  </si>
  <si>
    <t xml:space="preserve">✔ a: LLMs generate likely text patterns and still need evidence checks.  (score 96)
· b: LLMs store only approved facts from the internet.  (score 15)
· c: LLMs cannot answer unless every fact is verified.  (score 25)
· d: A confident tone is enough for low-risk decisions.  (score 20)</t>
  </si>
  <si>
    <t xml:space="preserve">a: LLMs generate likely text patterns and still need evidence checks.</t>
  </si>
  <si>
    <t xml:space="preserve">a: Correct. This is the core literacy point.
b: No. They can generate unsupported claims.
c: They can answer without verification, which creates risk.
d: Tone is not evidence.</t>
  </si>
  <si>
    <t xml:space="preserve">DEPTH-D1-CONCEPTS-026</t>
  </si>
  <si>
    <t xml:space="preserve">embedding; RAG; fine-tuning; prompting</t>
  </si>
  <si>
    <t xml:space="preserve">/stimuli/raw-rag-source-comparison.svg</t>
  </si>
  <si>
    <t xml:space="preserve">Retrieval system notes</t>
  </si>
  <si>
    <t xml:space="preserve">RAG source packet with search, retrieved passages, and answer notes</t>
  </si>
  <si>
    <t xml:space="preserve">Choose the right AI concept for each product behavior.</t>
  </si>
  <si>
    <t xml:space="preserve">A product team is comparing ways to improve a support assistant.</t>
  </si>
  <si>
    <t xml:space="preserve">Match each need to the most relevant concept.</t>
  </si>
  <si>
    <t xml:space="preserve">Answer using current policy documents  →  RAG   [choices: RAG | Fine-tuning | Temperature | Watermark]
Make the model follow a brand writing style  →  Fine-tuning or examples   [choices: Fine-tuning or examples | RAG only | Benchmark leakage | MFA]
Find documents with similar meaning, not exact words  →  Embeddings   [choices: Embeddings | MCP | Context loss | Audit log]
Tell the assistant what role and format to use  →  Prompting   [choices: Prompting | Training data rights | Robot policy | SLA]</t>
  </si>
  <si>
    <t xml:space="preserve">Answer using current policy documents → RAG; Make the model follow a brand writing style → Fine-tuning or examples; Find documents with similar meaning, not exact words → Embeddings; Tell the assistant what role and format to use → Prompting</t>
  </si>
  <si>
    <t xml:space="preserve">DEPTH-D1-CONCEPTS-027</t>
  </si>
  <si>
    <t xml:space="preserve">hybrid</t>
  </si>
  <si>
    <t xml:space="preserve">model limits; grounding; hallucination; user explanation</t>
  </si>
  <si>
    <t xml:space="preserve">/stimuli/raw-study-helper-review.svg</t>
  </si>
  <si>
    <t xml:space="preserve">Study helper answer</t>
  </si>
  <si>
    <t xml:space="preserve">Study helper answer with unsupported citations and confident explanation</t>
  </si>
  <si>
    <t xml:space="preserve">The user must explain limits without dismissing useful AI help.</t>
  </si>
  <si>
    <t xml:space="preserve">A student wants to rely on an AI answer with citations that may not support the claim.</t>
  </si>
  <si>
    <t xml:space="preserve">Explain when the AI answer could be useful and what must be checked first.</t>
  </si>
  <si>
    <t xml:space="preserve">useful: Names useful AI role (20 pts; keywords: draft, explain, brainstorm, summarize, study)
verify: Requires source verification (28 pts; keywords: source, citation, verify, check, evidence)
limit: Mentions hallucination or unsupported claims (28 pts; keywords: hallucination, unsupported, false, invent, wrong)
ownership: Keeps learning judgment with user (24 pts; keywords: own, understand, human, student, review)</t>
  </si>
  <si>
    <t xml:space="preserve">The AI can help explain or organize the topic, but it should not be treated as proof. I would check whether the cited sources exist and support the exact claim, then rewrite the answer in my own words and mark anything uncertain for teacher or source review.</t>
  </si>
  <si>
    <t xml:space="preserve">DEPTH-D1-SYSTEMS-028</t>
  </si>
  <si>
    <t xml:space="preserve">D1-systems</t>
  </si>
  <si>
    <t xml:space="preserve">Core AI concepts; Generative AI mechanics; AI systems literacy</t>
  </si>
  <si>
    <t xml:space="preserve">models vs apps; connectors; permissions</t>
  </si>
  <si>
    <t xml:space="preserve">General work; Finance; Marketing; Engineering &amp; Data; Operations</t>
  </si>
  <si>
    <t xml:space="preserve">CEO / Managing Director; CFO / Risk leader; CIO / CDO / CTO; Transformation sponsor</t>
  </si>
  <si>
    <t xml:space="preserve">/stimuli/agent-tool-trace.svg</t>
  </si>
  <si>
    <t xml:space="preserve">AI app diagram</t>
  </si>
  <si>
    <t xml:space="preserve">Tool trace showing model, app, connector, and action permissions</t>
  </si>
  <si>
    <t xml:space="preserve">A model inside an app can behave differently depending on enabled tools.</t>
  </si>
  <si>
    <t xml:space="preserve">A user asks why the same model is safer in one app than another.</t>
  </si>
  <si>
    <t xml:space="preserve">What is the best answer?</t>
  </si>
  <si>
    <t xml:space="preserve">✔ a: Apps can add tools, memory, policies, and permissions around the model.  (score 95)
· b: The model name always fully defines the product risk.  (score 20)
· c: Safety depends only on the user interface color.  (score 0)
· d: A chatbot cannot connect to external systems.  (score 10)</t>
  </si>
  <si>
    <t xml:space="preserve">a: Apps can add tools, memory, policies, and permissions around the model.</t>
  </si>
  <si>
    <t xml:space="preserve">a: Correct. System context changes behavior and risk.
b: Too narrow. Apps and connectors matter.
c: Visual design is not the main system control.
d: Many AI apps can use tools and connectors.</t>
  </si>
  <si>
    <t xml:space="preserve">DEPTH-D1-SYSTEMS-029</t>
  </si>
  <si>
    <t xml:space="preserve">D1-systems; D4-risk</t>
  </si>
  <si>
    <t xml:space="preserve">Core AI concepts; Generative AI mechanics; AI systems literacy; Data protection and privacy; Fairness, ethics, and rights; Security and governance controls</t>
  </si>
  <si>
    <t xml:space="preserve">Hugging Face; model card; dataset; license; intended use</t>
  </si>
  <si>
    <t xml:space="preserve">/stimuli/raw-vendor-security-questionnaire.svg</t>
  </si>
  <si>
    <t xml:space="preserve">Model hub card</t>
  </si>
  <si>
    <t xml:space="preserve">Model card excerpt with license, dataset, intended use, and evaluation limitations</t>
  </si>
  <si>
    <t xml:space="preserve">A technical user reviews an open model before using it in a product.</t>
  </si>
  <si>
    <t xml:space="preserve">A developer wants to use a Hugging Face model in a customer-facing assistant.</t>
  </si>
  <si>
    <t xml:space="preserve">Which model-card details should be checked?</t>
  </si>
  <si>
    <t xml:space="preserve">✔ license: License and commercial-use permissions.  (score 25)
✔ data: Training data summary and privacy caveats.  (score 25)
✔ eval: Evaluation tasks, language coverage, and failure cases.  (score 25)
✔ limits: Known limitations and intended-use boundaries.  (score 25)
· likes: Only the number of likes and downloads.  (score 0)</t>
  </si>
  <si>
    <t xml:space="preserve">license; data; eval; limits  (multi-select: all required)</t>
  </si>
  <si>
    <t xml:space="preserve">license: Correct. License controls product use.
data: Correct. Data provenance matters.
eval: Correct. Fit depends on evaluated behavior.
limits: Correct. Limitations must map to controls.
likes: Popularity is not sufficient deployment evidence.</t>
  </si>
  <si>
    <t xml:space="preserve">DEPTH-D1-SYSTEMS-030</t>
  </si>
  <si>
    <t xml:space="preserve">doing</t>
  </si>
  <si>
    <t xml:space="preserve">repo literacy; GitHub; release notes; dependency risk</t>
  </si>
  <si>
    <t xml:space="preserve">GitHub repo review</t>
  </si>
  <si>
    <t xml:space="preserve">Repository activity showing stars, issues, releases, dependency notices, and security settings</t>
  </si>
  <si>
    <t xml:space="preserve">Technical users need to inspect repository health before adopting AI tooling.</t>
  </si>
  <si>
    <t xml:space="preserve">A team is considering an open-source AI package from GitHub.</t>
  </si>
  <si>
    <t xml:space="preserve">Order the repo review steps before adoption.</t>
  </si>
  <si>
    <t xml:space="preserve">#1  purpose: Confirm the package solves the actual workflow need.
#2  license: Check license, maintenance, releases, issues, and security policy.
#3  risk: Review dependencies, permissions, data handling, and known vulnerabilities.
#4  test: Test in a sandbox with representative data.
#5  approve: Approve with owner, monitoring, and rollback plan.</t>
  </si>
  <si>
    <t xml:space="preserve">purpose &gt; license &gt; risk &gt; test &gt; approve</t>
  </si>
  <si>
    <t xml:space="preserve">DEPTH-D2-PROMPT-031</t>
  </si>
  <si>
    <t xml:space="preserve">D2-prompting</t>
  </si>
  <si>
    <t xml:space="preserve">Prompt design; Tool selection and integration; Output refinement</t>
  </si>
  <si>
    <t xml:space="preserve">prompt basics; role; format; constraints</t>
  </si>
  <si>
    <t xml:space="preserve">Prompt checklist</t>
  </si>
  <si>
    <t xml:space="preserve">Realistic email client and calendar artifact showing a weak scheduling prompt with missing constraints.</t>
  </si>
  <si>
    <t xml:space="preserve">A weak prompt misses audience, constraints, timezone, and output format.</t>
  </si>
  <si>
    <t xml:space="preserve">A user writes: “Make this email better.”</t>
  </si>
  <si>
    <t xml:space="preserve">Which missing detail would most improve the prompt?</t>
  </si>
  <si>
    <t xml:space="preserve">✔ a: Who the email is for and what outcome is needed.  (score 95)
· b: A request for the longest possible answer.  (score 10)
· c: A command to sound confident no matter what.  (score 5)
· d: No extra detail because AI should infer everything.  (score 15)</t>
  </si>
  <si>
    <t xml:space="preserve">a: Who the email is for and what outcome is needed.</t>
  </si>
  <si>
    <t xml:space="preserve">a: Correct. Audience and goal shape the answer.
b: Length is not the main issue.
c: Confidence without constraints is risky.
d: Inference can create errors.</t>
  </si>
  <si>
    <t xml:space="preserve">DEPTH-D2-PROMPT-032</t>
  </si>
  <si>
    <t xml:space="preserve">prompt components; source rules; review checks</t>
  </si>
  <si>
    <t xml:space="preserve">/stimuli/raw-customer-notes.svg</t>
  </si>
  <si>
    <t xml:space="preserve">Customer-note prompt</t>
  </si>
  <si>
    <t xml:space="preserve">Customer notes with facts, unknowns, and tone requirements</t>
  </si>
  <si>
    <t xml:space="preserve">Map prompt components to the work they support.</t>
  </si>
  <si>
    <t xml:space="preserve">A product manager is creating a prompt template for customer-note summaries.</t>
  </si>
  <si>
    <t xml:space="preserve">Match each prompt component to its purpose.</t>
  </si>
  <si>
    <t xml:space="preserve">Act as a product researcher  →  Role   [choices: Role | Source rule | Output format | Review check]
Use only the notes below; mark missing evidence  →  Source rule   [choices: Source rule | Role | Tone | Model size]
Return findings, caveats, and next interviews  →  Output format   [choices: Output format | Memory | RAG index | Watermark]
Flag any claim not grounded in a note  →  Review check   [choices: Review check | Temperature | Persona | Token]</t>
  </si>
  <si>
    <t xml:space="preserve">Act as a product researcher → Role; Use only the notes below; mark missing evidence → Source rule; Return findings, caveats, and next interviews → Output format; Flag any claim not grounded in a note → Review check</t>
  </si>
  <si>
    <t xml:space="preserve">DEPTH-D2-PROMPT-033</t>
  </si>
  <si>
    <t xml:space="preserve">loop engineering; iteration; evaluation criteria; prompt repair</t>
  </si>
  <si>
    <t xml:space="preserve">/stimuli/raw-agent-workflow-plan.svg</t>
  </si>
  <si>
    <t xml:space="preserve">Prompt loop plan</t>
  </si>
  <si>
    <t xml:space="preserve">Agent workflow plan with task loop, eval criteria, reviewer notes, and failure cases</t>
  </si>
  <si>
    <t xml:space="preserve">The user must design an iterative prompt loop, not a one-shot instruction.</t>
  </si>
  <si>
    <t xml:space="preserve">A team wants an assistant to improve sales follow-up emails over several review cycles.</t>
  </si>
  <si>
    <t xml:space="preserve">Write a prompt-loop instruction that includes draft, critique, revise, and stop criteria.</t>
  </si>
  <si>
    <t xml:space="preserve">draft: Includes draft step (20 pts; keywords: draft, create, write)
critique: Includes critique or evaluation (25 pts; keywords: critique, evaluate, review, score)
revise: Includes revision loop (20 pts; keywords: revise, improve, iterate, second version)
criteria: Defines quality criteria (20 pts; keywords: criteria, tone, accuracy, evidence, customer)
stop: Defines stop/escalation rule (15 pts; keywords: stop, escalate, human, approval)</t>
  </si>
  <si>
    <t xml:space="preserve">Draft the follow-up using only CRM notes and approved offer language. Critique it against accuracy, customer fit, tone, and missing evidence. Revise once using the critique. Stop and escalate if account risk, legal terms, discount approval, or missing facts appear.</t>
  </si>
  <si>
    <t xml:space="preserve">DEPTH-D2-WORKFLOW-034</t>
  </si>
  <si>
    <t xml:space="preserve">D2-workflows</t>
  </si>
  <si>
    <t xml:space="preserve">Tool selection and integration; Agentic workflows; Output refinement</t>
  </si>
  <si>
    <t xml:space="preserve">workflow mapping; handoffs; review checkpoints</t>
  </si>
  <si>
    <t xml:space="preserve">Workflow map</t>
  </si>
  <si>
    <t xml:space="preserve">Simple workflow showing input, AI draft, human review, and final action</t>
  </si>
  <si>
    <t xml:space="preserve">A workflow is more than a prompt; it includes input, AI work, review, and action.</t>
  </si>
  <si>
    <t xml:space="preserve">A user wants AI to help with a monthly report.</t>
  </si>
  <si>
    <t xml:space="preserve">Which workflow is safest?</t>
  </si>
  <si>
    <t xml:space="preserve">✔ a: Data source -&gt; AI draft -&gt; human verifies -&gt; final report.  (score 95)
· b: AI invents data -&gt; final report.  (score 0)
· c: Human skips review because AI is fast.  (score 15)
· d: Only ask for a prettier chart.  (score 25)</t>
  </si>
  <si>
    <t xml:space="preserve">a: Data source -&gt; AI draft -&gt; human verifies -&gt; final report.</t>
  </si>
  <si>
    <t xml:space="preserve">a: Correct. This includes source and review.
b: Unsafe and unsupported.
c: Review is important for report accuracy.
d: Presentation is not the whole workflow.</t>
  </si>
  <si>
    <t xml:space="preserve">DEPTH-D2-WORKFLOW-035</t>
  </si>
  <si>
    <t xml:space="preserve">agent setup; handoffs; review checkpoints; tool selection</t>
  </si>
  <si>
    <t xml:space="preserve">Operations; Customer Service; Sales</t>
  </si>
  <si>
    <t xml:space="preserve">/stimuli/realistic-agent-workflow-builder.png</t>
  </si>
  <si>
    <t xml:space="preserve">Agent workflow setup</t>
  </si>
  <si>
    <t xml:space="preserve">Workflow builder screenshot showing a refund-response agent with broad permissions, missing approval gate, partial audit log, and no rollback owner.</t>
  </si>
  <si>
    <t xml:space="preserve">The workflow needs tool boundaries, approval gates, audit logs, and rollback ownership before use.</t>
  </si>
  <si>
    <t xml:space="preserve">An AI agent will summarize support tickets, draft emails, update CRM records, and create refund requests.</t>
  </si>
  <si>
    <t xml:space="preserve">Which setup details are required?</t>
  </si>
  <si>
    <t xml:space="preserve">✔ tools: Allowed tools, actions, and data fields.  (score 25)
✔ handoff: When the agent hands off to a person.  (score 25)
✔ review: Review gate for sensitive or customer-impacting work.  (score 25)
✔ measure: Quality, time, override, and customer-impact measures.  (score 25)
· name: A catchy assistant nickname.  (score 0)</t>
  </si>
  <si>
    <t xml:space="preserve">tools; handoff; review; measure  (multi-select: all required)</t>
  </si>
  <si>
    <t xml:space="preserve">tools: Correct. Tool scope must be explicit.
handoff: Correct. Escalation is part of workflow design.
review: Correct. Review protects users.
measure: Correct. Workflow success must be measured.
name: Naming does not define workflow safety.</t>
  </si>
  <si>
    <t xml:space="preserve">DEPTH-D2-WORKFLOW-036</t>
  </si>
  <si>
    <t xml:space="preserve">multi-agent handoff; A2A; orchestration; failure mode</t>
  </si>
  <si>
    <t xml:space="preserve">/stimuli/raw-agent-audit-log.svg</t>
  </si>
  <si>
    <t xml:space="preserve">Multi-agent trace</t>
  </si>
  <si>
    <t xml:space="preserve">Multi-agent audit trace showing planner, retriever, writer, and approver agents</t>
  </si>
  <si>
    <t xml:space="preserve">Agent-to-agent handoffs need visible responsibility and failure handling.</t>
  </si>
  <si>
    <t xml:space="preserve">A workflow uses separate agents for planning, retrieval, writing, and approval.</t>
  </si>
  <si>
    <t xml:space="preserve">Match each failure risk to the right workflow control.</t>
  </si>
  <si>
    <t xml:space="preserve">Planner sends vague task to retriever  →  Typed handoff with required fields   [choices: Typed handoff with required fields | Higher temperature | Longer brand tone | No logging]
Writer uses source without provenance  →  Source citation and evidence check   [choices: Source citation and evidence check | Skip retrieval | Trust final answer | Disable reviewer]
Agents repeat the same failed action  →  Loop limit and escalation trigger   [choices: Loop limit and escalation trigger | More agents | Hide errors | Make output longer]
Approval agent approves its own action  →  Independent human or policy gate   [choices: Independent human or policy gate | Self-approval | No owner | Marketing review only]</t>
  </si>
  <si>
    <t xml:space="preserve">Planner sends vague task to retriever → Typed handoff with required fields; Writer uses source without provenance → Source citation and evidence check; Agents repeat the same failed action → Loop limit and escalation trigger; Approval agent approves its own action → Independent human or policy gate</t>
  </si>
  <si>
    <t xml:space="preserve">DEPTH-D3-VERIFY-037</t>
  </si>
  <si>
    <t xml:space="preserve">D3-verification</t>
  </si>
  <si>
    <t xml:space="preserve">Source and claim verification; Data and chart judgment</t>
  </si>
  <si>
    <t xml:space="preserve">source checking; claim review</t>
  </si>
  <si>
    <t xml:space="preserve">/stimuli/raw-policy-excerpt.svg</t>
  </si>
  <si>
    <t xml:space="preserve">Source check</t>
  </si>
  <si>
    <t xml:space="preserve">Policy excerpt beside an AI summary with one unsupported claim</t>
  </si>
  <si>
    <t xml:space="preserve">The AI summary sounds plausible but adds a condition not found in the policy.</t>
  </si>
  <si>
    <t xml:space="preserve">A chatbot summarizes a policy paragraph.</t>
  </si>
  <si>
    <t xml:space="preserve">What should you check first?</t>
  </si>
  <si>
    <t xml:space="preserve">✔ a: Whether each claim appears in or follows from the source.  (score 96)
· b: Whether the answer uses formal language.  (score 10)
· c: Whether the chatbot says it is confident.  (score 5)
· d: Whether the answer is short enough.  (score 20)</t>
  </si>
  <si>
    <t xml:space="preserve">a: Whether each claim appears in or follows from the source.</t>
  </si>
  <si>
    <t xml:space="preserve">a: Correct. Claim-source alignment is the first check.
b: Style is not proof.
c: Confidence is not verification.
d: Concision does not prove accuracy.</t>
  </si>
  <si>
    <t xml:space="preserve">DEPTH-D3-VERIFY-038</t>
  </si>
  <si>
    <t xml:space="preserve">benchmark trust; eval methodology; task fit</t>
  </si>
  <si>
    <t xml:space="preserve">Benchmark evidence card</t>
  </si>
  <si>
    <t xml:space="preserve">Evaluation card with benchmark score, task definition, sample warning, and model version</t>
  </si>
  <si>
    <t xml:space="preserve">A model benchmark is useful only when you know what it measured.</t>
  </si>
  <si>
    <t xml:space="preserve">A buyer compares three AI products from public benchmark claims.</t>
  </si>
  <si>
    <t xml:space="preserve">Match each benchmark concern to the review question.</t>
  </si>
  <si>
    <t xml:space="preserve">Benchmark is coding-heavy but product is customer support  →  Does the task match our use case?   [choices: Does the task match our use case? | Is the logo familiar? | Is the answer long? | Can we skip testing?]
Vendor tested an older model version  →  Which model/version was evaluated?   [choices: Which model/version was evaluated? | Can we ignore date? | Who designed the website? | Was the font readable?]
Public test may appear in training data  →  Is there leakage or contamination risk?   [choices: Is there leakage or contamination risk? | Should we use more colors? | Can we trust downloads? | Is the chart pretty?]
Score omits latency, cost, and safety failures  →  What operational constraints were tested?   [choices: What operational constraints were tested? | Is it popular online? | Is it new enough? | Can it write jokes?]</t>
  </si>
  <si>
    <t xml:space="preserve">Benchmark is coding-heavy but product is customer support → Does the task match our use case?; Vendor tested an older model version → Which model/version was evaluated?; Public test may appear in training data → Is there leakage or contamination risk?; Score omits latency, cost, and safety failures → What operational constraints were tested?</t>
  </si>
  <si>
    <t xml:space="preserve">DEPTH-D3-VERIFY-039</t>
  </si>
  <si>
    <t xml:space="preserve">claim review; chart forensics; confidence calibration</t>
  </si>
  <si>
    <t xml:space="preserve">Variance explanation review</t>
  </si>
  <si>
    <t xml:space="preserve">Finance variance report with AI explanation, missing baseline, and exception notes</t>
  </si>
  <si>
    <t xml:space="preserve">The AI explanation may be plausible but unsupported by the report.</t>
  </si>
  <si>
    <t xml:space="preserve">An AI assistant explains a finance variance and recommends action.</t>
  </si>
  <si>
    <t xml:space="preserve">Write what evidence you would check before accepting the explanation.</t>
  </si>
  <si>
    <t xml:space="preserve">source: Checks report/source rows (24 pts; keywords: report, row, source, ledger, evidence)
baseline: Checks baseline or comparison period (22 pts; keywords: baseline, comparison, period, previous)
exception: Checks exceptions/outliers (22 pts; keywords: exception, outlier, one-time, anomaly)
action: Avoids action until verified (22 pts; keywords: verify, before, confirm, not accept, review)
confidence: Calibrates confidence (10 pts; keywords: confidence, uncertain, partial, may)</t>
  </si>
  <si>
    <t xml:space="preserve">I would compare the AI explanation against the variance rows, baseline period, one-time exceptions, and any missing ledger evidence. I would not accept the recommended action until the cause is confirmed and the uncertainty is documented.</t>
  </si>
  <si>
    <t xml:space="preserve">DEPTH-D3-MEDIA-040</t>
  </si>
  <si>
    <t xml:space="preserve">D3-media</t>
  </si>
  <si>
    <t xml:space="preserve">Media provenance; Fraud and manipulation detection</t>
  </si>
  <si>
    <t xml:space="preserve">image-caption check; provenance</t>
  </si>
  <si>
    <t xml:space="preserve">Finance; Marketing; Sales; Customer Service</t>
  </si>
  <si>
    <t xml:space="preserve">Financial services; Retail &amp; ecommerce</t>
  </si>
  <si>
    <t xml:space="preserve">CFO / Risk leader</t>
  </si>
  <si>
    <t xml:space="preserve">Social media post screenshot showing an urban flood near a transit station with unclear provenance.</t>
  </si>
  <si>
    <t xml:space="preserve">The image may be real but the caption may be misleading.</t>
  </si>
  <si>
    <t xml:space="preserve">A friend wants to share a dramatic disaster image.</t>
  </si>
  <si>
    <t xml:space="preserve">What is the safest first response?</t>
  </si>
  <si>
    <t xml:space="preserve">✔ a: Check original source, date, location, and caption before sharing.  (score 96)
· b: Share quickly because urgent posts are always helpful.  (score 5)
· c: Assume every disaster image is AI-generated.  (score 20)
· d: Only check whether the image looks dramatic.  (score 10)</t>
  </si>
  <si>
    <t xml:space="preserve">a: Check original source, date, location, and caption before sharing.</t>
  </si>
  <si>
    <t xml:space="preserve">a: Correct. Provenance and context matter.
b: Urgency can spread misinformation.
c: That overstates the evidence.
d: Visual impact is not proof.</t>
  </si>
  <si>
    <t xml:space="preserve">DEPTH-D3-MEDIA-041</t>
  </si>
  <si>
    <t xml:space="preserve">fraud-detection</t>
  </si>
  <si>
    <t xml:space="preserve">fraud invoice; payment risk; suspicious artifacts</t>
  </si>
  <si>
    <t xml:space="preserve">/stimuli/fraud-invoice.svg</t>
  </si>
  <si>
    <t xml:space="preserve">Invoice fraud check</t>
  </si>
  <si>
    <t xml:space="preserve">Invoice with changed bank account, urgent payment request, mismatched sender, and missing PO</t>
  </si>
  <si>
    <t xml:space="preserve">Users inspect the invoice for payment-fraud signals.</t>
  </si>
  <si>
    <t xml:space="preserve">An invoice asks for urgent payment to a new bank account.</t>
  </si>
  <si>
    <t xml:space="preserve">Which signals require verification?</t>
  </si>
  <si>
    <t xml:space="preserve">✔ bank: Changed bank details.  (score 25)
✔ sender: Sender domain does not match the vendor.  (score 25)
✔ po: Missing purchase order or approval reference.  (score 25)
✔ urgency: Urgent pressure to bypass review.  (score 25)
· logo: The logo color is not your favorite.  (score 0)</t>
  </si>
  <si>
    <t xml:space="preserve">bank; sender; po; urgency  (multi-select: all required)</t>
  </si>
  <si>
    <t xml:space="preserve">bank: Correct. Bank changes need independent verification.
sender: Correct. Domain mismatch is a strong signal.
po: Correct. Payment evidence is missing.
urgency: Correct. Pressure is a fraud pattern.
logo: Design preference is not a fraud signal.</t>
  </si>
  <si>
    <t xml:space="preserve">DEPTH-D3-MEDIA-042</t>
  </si>
  <si>
    <t xml:space="preserve">synthetic media signals; provenance; risk explanation</t>
  </si>
  <si>
    <t xml:space="preserve">/stimuli/flood-forwarded-chat.png</t>
  </si>
  <si>
    <t xml:space="preserve">Forwarded flood chat</t>
  </si>
  <si>
    <t xml:space="preserve">Forwarded chat screenshot with a flood photo, vague location, and same-day claim.</t>
  </si>
  <si>
    <t xml:space="preserve">The task is to explain uncertainty across source, date, place, and forwarding chain.</t>
  </si>
  <si>
    <t xml:space="preserve">A forwarded chat message is spreading with a claim about a current emergency.</t>
  </si>
  <si>
    <t xml:space="preserve">Write a short verification note before your team shares or acts on the image.</t>
  </si>
  <si>
    <t xml:space="preserve">source: Finds original source (24 pts; keywords: original, source, first, creator)
date: Checks date/time (20 pts; keywords: date, time, timestamp, today)
location: Checks location (20 pts; keywords: location, place, map, landmark, area)
image: Uses image/provenance tools (20 pts; keywords: reverse, metadata, provenance, search)
caution: Communicates uncertainty (16 pts; keywords: unverified, uncertain, do not share, confirm)</t>
  </si>
  <si>
    <t xml:space="preserve">This image should be treated as unverified. I would find the earliest source, check timestamp and location clues, compare with official local updates, and run reverse image/provenance checks. Until confirmed, share only as unverified or do not share.</t>
  </si>
  <si>
    <t xml:space="preserve">DEPTH-D4-RISK-043</t>
  </si>
  <si>
    <t xml:space="preserve">D4-risk</t>
  </si>
  <si>
    <t xml:space="preserve">Data protection and privacy; Fairness, ethics, and rights; Security and governance controls</t>
  </si>
  <si>
    <t xml:space="preserve">privacy; data minimization; confidential data</t>
  </si>
  <si>
    <t xml:space="preserve">Sensitive data check</t>
  </si>
  <si>
    <t xml:space="preserve">Medical record excerpt showing redacted and unredacted sensitive fields</t>
  </si>
  <si>
    <t xml:space="preserve">The user must recognize data minimization before using AI.</t>
  </si>
  <si>
    <t xml:space="preserve">A user wants to paste a medical-style record into a public AI chatbot.</t>
  </si>
  <si>
    <t xml:space="preserve">What is the safest first step?</t>
  </si>
  <si>
    <t xml:space="preserve">✔ a: Remove unnecessary personal/sensitive data and use an approved tool.  (score 96)
· b: Paste everything because more context always improves accuracy.  (score 0)
· c: Only change the patient name.  (score 35)
· d: Ask the AI to promise confidentiality.  (score 10)</t>
  </si>
  <si>
    <t xml:space="preserve">a: Remove unnecessary personal/sensitive data and use an approved tool.</t>
  </si>
  <si>
    <t xml:space="preserve">a: Correct. Minimize data and follow policy.
b: More context can create privacy risk.
c: Other details may still identify someone.
d: A promise in the prompt is not a control.</t>
  </si>
  <si>
    <t xml:space="preserve">DEPTH-D4-RISK-044</t>
  </si>
  <si>
    <t xml:space="preserve">least privilege; approval gates; audit logs; data leakage</t>
  </si>
  <si>
    <t xml:space="preserve">Access log review</t>
  </si>
  <si>
    <t xml:space="preserve">Access log with broad permissions, export action, and missing approver</t>
  </si>
  <si>
    <t xml:space="preserve">Each risk needs a specific control.</t>
  </si>
  <si>
    <t xml:space="preserve">An AI assistant has broad access in a workspace.</t>
  </si>
  <si>
    <t xml:space="preserve">Match each risk to the control.</t>
  </si>
  <si>
    <t xml:space="preserve">Assistant can read all folders  →  Least-privilege access   [choices: Least-privilege access | Brighter UI | Longer prompt | More outputs]
Assistant can export customer data  →  Approval gate and data boundary   [choices: Approval gate and data boundary | No logging | Public sharing | Disable help text]
No record of who approved action  →  Audit log with approver trail   [choices: Audit log with approver trail | Faster model | Tone guide | More examples]
Prompt contains API key  →  Secret detection and blocking   [choices: Secret detection and blocking | Share in email | Use bigger context | Ignore if internal]</t>
  </si>
  <si>
    <t xml:space="preserve">Assistant can read all folders → Least-privilege access; Assistant can export customer data → Approval gate and data boundary; No record of who approved action → Audit log with approver trail; Prompt contains API key → Secret detection and blocking</t>
  </si>
  <si>
    <t xml:space="preserve">DEPTH-D4-RISK-045</t>
  </si>
  <si>
    <t xml:space="preserve">third-party risk; retention; data rights; risk assessment</t>
  </si>
  <si>
    <t xml:space="preserve">Vendor risk questionnaire</t>
  </si>
  <si>
    <t xml:space="preserve">Vendor security questionnaire with retention, data-use, and subcontractor fields</t>
  </si>
  <si>
    <t xml:space="preserve">The vendor wants access to customer data for model improvement.</t>
  </si>
  <si>
    <t xml:space="preserve">Procurement asks whether an AI vendor can use company data to improve its service.</t>
  </si>
  <si>
    <t xml:space="preserve">Write the key risk questions you would ask before approval.</t>
  </si>
  <si>
    <t xml:space="preserve">data: Defines data use and retention (25 pts; keywords: data, retention, use, delete)
rights: Asks about training rights (20 pts; keywords: train, model, rights, improve)
sub: Checks subprocessors/subcontractors (18 pts; keywords: subprocessor, subcontractor, third party)
security: Covers security and access (22 pts; keywords: security, access, encryption, audit)
incident: Covers incident obligations (15 pts; keywords: incident, breach, notify, response)</t>
  </si>
  <si>
    <t xml:space="preserve">I would ask what data is used, whether it trains or improves vendor models, retention/deletion terms, subprocessors, access controls, encryption, audit rights, breach notification, and whether we can opt out of model training before any customer data is shared.</t>
  </si>
  <si>
    <t xml:space="preserve">DEPTH-D4-GOV-046</t>
  </si>
  <si>
    <t xml:space="preserve">D4-governance</t>
  </si>
  <si>
    <t xml:space="preserve">Regulatory and policy fluency; Fairness, ethics, and rights; Security and governance controls</t>
  </si>
  <si>
    <t xml:space="preserve">accountability; human review; policy alignment</t>
  </si>
  <si>
    <t xml:space="preserve">/stimuli/gen-exp-privacy-workflow-board.svg</t>
  </si>
  <si>
    <t xml:space="preserve">Governance board</t>
  </si>
  <si>
    <t xml:space="preserve">Privacy workflow board with owner, review step, and escalation lane</t>
  </si>
  <si>
    <t xml:space="preserve">Governance means deciding who owns what before things go wrong.</t>
  </si>
  <si>
    <t xml:space="preserve">A team asks what “human in the loop” should mean.</t>
  </si>
  <si>
    <t xml:space="preserve">Which answer is best?</t>
  </si>
  <si>
    <t xml:space="preserve">✔ a: A named person reviews defined high-risk outputs before action.  (score 95)
· b: Everyone generally knows AI is involved.  (score 25)
· c: AI reviews itself before acting.  (score 5)
· d: Human review only after harm is reported.  (score 20)</t>
  </si>
  <si>
    <t xml:space="preserve">a: A named person reviews defined high-risk outputs before action.</t>
  </si>
  <si>
    <t xml:space="preserve">a: Correct. Review must be assigned and meaningful.
b: Too vague for accountability.
c: Self-review is not enough for high-impact actions.
d: Some review must happen before action.</t>
  </si>
  <si>
    <t xml:space="preserve">DEPTH-D4-GOV-047</t>
  </si>
  <si>
    <t xml:space="preserve">incident response; audit evidence; escalation; owner</t>
  </si>
  <si>
    <t xml:space="preserve">Incident log</t>
  </si>
  <si>
    <t xml:space="preserve">Agent audit log with missing owner, unsupported output, and escalation delay</t>
  </si>
  <si>
    <t xml:space="preserve">An AI assistant made a harmful recommendation and the log is incomplete.</t>
  </si>
  <si>
    <t xml:space="preserve">An AI workflow produced a bad customer action.</t>
  </si>
  <si>
    <t xml:space="preserve">Which incident-response evidence should be captured?</t>
  </si>
  <si>
    <t xml:space="preserve">✔ output: Prompt, output, tool calls, and affected user/action.  (score 25)
✔ source: Source evidence used or missing.  (score 25)
✔ owner: Decision owner, reviewer, and approver trail.  (score 25)
✔ fix: Containment, correction, and recurrence-prevention step.  (score 25)
· hide: Remove logs so users do not worry.  (score 0)</t>
  </si>
  <si>
    <t xml:space="preserve">output; source; owner; fix  (multi-select: all required)</t>
  </si>
  <si>
    <t xml:space="preserve">output: Correct. Incident facts must be preserved.
source: Correct. Evidence gaps explain failure.
owner: Correct. Accountability matters.
fix: Correct. Response must improve the system.
hide: Deleting logs undermines governance.</t>
  </si>
  <si>
    <t xml:space="preserve">DEPTH-D4-GOV-048</t>
  </si>
  <si>
    <t xml:space="preserve">governance cadence; risk appetite; policy alignment</t>
  </si>
  <si>
    <t xml:space="preserve">/stimuli/executive/exec-exp-risk-log-agent-authority.svg</t>
  </si>
  <si>
    <t xml:space="preserve">AI risk cadence</t>
  </si>
  <si>
    <t xml:space="preserve">Risk log with agent authority, data access, owner, residual risk, and mitigation status</t>
  </si>
  <si>
    <t xml:space="preserve">A governance forum must decide what to review regularly.</t>
  </si>
  <si>
    <t xml:space="preserve">A company has several AI pilots with different risk levels.</t>
  </si>
  <si>
    <t xml:space="preserve">Write a short governance cadence for reviewing these pilots.</t>
  </si>
  <si>
    <t xml:space="preserve">tier: Uses risk tiers (22 pts; keywords: tier, risk, impact, classify)
owner: Names accountable owners (20 pts; keywords: owner, accountable, committee, sponsor)
evidence: Defines evidence reviewed (24 pts; keywords: metric, incident, audit, quality, evidence)
cadence: Defines cadence (16 pts; keywords: weekly, monthly, quarterly, cadence)
action: Includes stop/scale/remediate decisions (18 pts; keywords: stop, scale, remediate, approve, pause)</t>
  </si>
  <si>
    <t xml:space="preserve">Review high-risk pilots monthly and low-risk pilots quarterly. Each pilot needs an owner, risk tier, usage and quality evidence, incidents, audit samples, user impact, and open mitigations. The forum should decide whether to continue, pause, remediate, or scale.</t>
  </si>
  <si>
    <t xml:space="preserve">DEPTH-D5-VALUE-049</t>
  </si>
  <si>
    <t xml:space="preserve">D5-value</t>
  </si>
  <si>
    <t xml:space="preserve">Use-case evaluation; ROI and measurement; Portfolio prioritization</t>
  </si>
  <si>
    <t xml:space="preserve">baseline metrics; value evidence</t>
  </si>
  <si>
    <t xml:space="preserve">General work; HR &amp; People; Finance; Marketing; Sales; Engineering &amp; Data; Operations</t>
  </si>
  <si>
    <t xml:space="preserve">Pilot evidence card</t>
  </si>
  <si>
    <t xml:space="preserve">AI pilot canvas showing baseline, metric, owner, and scale criteria</t>
  </si>
  <si>
    <t xml:space="preserve">A pilot needs a baseline before anyone can claim improvement.</t>
  </si>
  <si>
    <t xml:space="preserve">A team says their AI pilot is successful because people like the demo.</t>
  </si>
  <si>
    <t xml:space="preserve">What is the most important missing evidence?</t>
  </si>
  <si>
    <t xml:space="preserve">✔ a: Baseline and outcome metric for the workflow.  (score 96)
· b: A more futuristic demo video.  (score 5)
· c: A promise that AI will save time eventually.  (score 15)
· d: A list of all possible AI tools.  (score 25)</t>
  </si>
  <si>
    <t xml:space="preserve">a: Baseline and outcome metric for the workflow.</t>
  </si>
  <si>
    <t xml:space="preserve">a: Correct. Value needs comparison.
b: Demo appeal is not value evidence.
c: Promises need measurement.
d: Tool inventory is not enough.</t>
  </si>
  <si>
    <t xml:space="preserve">DEPTH-D5-VALUE-050</t>
  </si>
  <si>
    <t xml:space="preserve">use-case fit; ROI evidence; pilot gates</t>
  </si>
  <si>
    <t xml:space="preserve">Use-case fit log</t>
  </si>
  <si>
    <t xml:space="preserve">Operations workflow log showing bottlenecks, defects, automation candidate, and risk notes</t>
  </si>
  <si>
    <t xml:space="preserve">Each AI idea needs a measurement approach.</t>
  </si>
  <si>
    <t xml:space="preserve">Operations is selecting AI use cases.</t>
  </si>
  <si>
    <t xml:space="preserve">Match each use-case signal to the right value question.</t>
  </si>
  <si>
    <t xml:space="preserve">High-volume repetitive classification  →  Can automation reduce time without quality loss?   [choices: Can automation reduce time without quality loss? | Is it trendy? | Can we skip baseline? | Will everyone like it?]
Mistake affects customer money  →  What review gate and harm metric are needed?   [choices: What review gate and harm metric are needed? | Can AI decide alone? | Can we hide errors? | Is the UI colorful?]
Inputs are inconsistent and incomplete  →  Is data readiness enough for pilot?   [choices: Is data readiness enough for pilot? | Can marketing announce it? | Is model new? | Do we need more meetings?]
Pilot works in one team only  →  What evidence supports scaling?   [choices: What evidence supports scaling? | Can we assume transfer? | Should we stop measuring? | Can we remove controls?]</t>
  </si>
  <si>
    <t xml:space="preserve">High-volume repetitive classification → Can automation reduce time without quality loss?; Mistake affects customer money → What review gate and harm metric are needed?; Inputs are inconsistent and incomplete → Is data readiness enough for pilot?; Pilot works in one team only → What evidence supports scaling?</t>
  </si>
  <si>
    <t xml:space="preserve">DEPTH-D5-VALUE-051</t>
  </si>
  <si>
    <t xml:space="preserve">benefit realization; ROI evidence; stage gate</t>
  </si>
  <si>
    <t xml:space="preserve">Marketing value review</t>
  </si>
  <si>
    <t xml:space="preserve">Campaign export with spend, leads, weak qualification, and AI recommendation</t>
  </si>
  <si>
    <t xml:space="preserve">The assistant recommends scale-up, but lead quality and incrementality are unclear.</t>
  </si>
  <si>
    <t xml:space="preserve">Marketing wants to scale an AI-generated campaign because lead volume increased.</t>
  </si>
  <si>
    <t xml:space="preserve">Write the evidence needed before increasing spend.</t>
  </si>
  <si>
    <t xml:space="preserve">quality: Checks lead quality (25 pts; keywords: quality, qualified, conversion, pipeline)
baseline: Checks baseline/control (25 pts; keywords: baseline, control, incremental, comparison)
cost: Checks cost and ROI (20 pts; keywords: cost, roi, cac, spend, return)
risk: Checks brand/compliance risk (15 pts; keywords: risk, brand, compliance, privacy)
gate: Uses scale gate (15 pts; keywords: gate, scale, test, pilot, criteria)</t>
  </si>
  <si>
    <t xml:space="preserve">Before increasing spend I would compare qualified conversion, cost per qualified lead, and pipeline value against a baseline or control. I would check brand/compliance issues and scale only if the campaign improves quality and ROI, not just volume.</t>
  </si>
  <si>
    <t xml:space="preserve">DEPTH-D5-STRATEGY-052</t>
  </si>
  <si>
    <t xml:space="preserve">D5-strategy</t>
  </si>
  <si>
    <t xml:space="preserve">Use-case evaluation; Portfolio prioritization; Strategy and transformation</t>
  </si>
  <si>
    <t xml:space="preserve">trend judgment; strategic fit</t>
  </si>
  <si>
    <t xml:space="preserve">/stimuli/executive-market-report.svg</t>
  </si>
  <si>
    <t xml:space="preserve">AI trend brief</t>
  </si>
  <si>
    <t xml:space="preserve">Market report with model news, competitor claims, and adoption caveats</t>
  </si>
  <si>
    <t xml:space="preserve">A new AI trend should be connected to a real business problem.</t>
  </si>
  <si>
    <t xml:space="preserve">An executive asks whether every new model release should trigger a project.</t>
  </si>
  <si>
    <t xml:space="preserve">✔ a: No. First map the capability to a business problem and evidence of value.  (score 96)
· b: Yes. Newer models always create immediate ROI.  (score 5)
· c: Only competitors should decide the roadmap.  (score 15)
· d: Ignore all trends until regulation is perfect.  (score 20)</t>
  </si>
  <si>
    <t xml:space="preserve">a: No. First map the capability to a business problem and evidence of value.</t>
  </si>
  <si>
    <t xml:space="preserve">a: Correct. Trend literacy needs business fit.
b: New capability is not automatic value.
c: Competitor moves are signals, not strategy.
d: Too passive. Trends need calibrated review.</t>
  </si>
  <si>
    <t xml:space="preserve">DEPTH-D5-STRATEGY-053</t>
  </si>
  <si>
    <t xml:space="preserve">portfolio decisions; strategic risk; build buy partner</t>
  </si>
  <si>
    <t xml:space="preserve">/stimuli/executive/exec-exp-board-packet-scale-readiness.svg</t>
  </si>
  <si>
    <t xml:space="preserve">Portfolio review</t>
  </si>
  <si>
    <t xml:space="preserve">Board packet ranking AI projects by value, feasibility, risk, and data readiness</t>
  </si>
  <si>
    <t xml:space="preserve">The board must choose which AI initiatives deserve funding.</t>
  </si>
  <si>
    <t xml:space="preserve">A portfolio committee reviews several AI initiatives.</t>
  </si>
  <si>
    <t xml:space="preserve">Which criteria should influence funding?</t>
  </si>
  <si>
    <t xml:space="preserve">✔ value: Measurable business value and owner.  (score 25)
✔ fit: Strategic fit and differentiation.  (score 25)
✔ risk: Customer, legal, privacy, and operational risk.  (score 25)
✔ readiness: Data, workflow, and adoption readiness.  (score 25)
· hype: How exciting the demo feels.  (score 0)</t>
  </si>
  <si>
    <t xml:space="preserve">value; fit; risk; readiness  (multi-select: all required)</t>
  </si>
  <si>
    <t xml:space="preserve">value: Correct. Value and accountability matter.
fit: Correct. Not every use case is strategic.
risk: Correct. Risk changes funding path.
readiness: Correct. Readiness affects feasibility.
hype: Excitement is not enough for portfolio funding.</t>
  </si>
  <si>
    <t xml:space="preserve">DEPTH-D5-STRATEGY-054</t>
  </si>
  <si>
    <t xml:space="preserve">scale criteria; sunset criteria; operating model</t>
  </si>
  <si>
    <t xml:space="preserve">/stimuli/executive/exec-exp-incident-timeline-support-ai.svg</t>
  </si>
  <si>
    <t xml:space="preserve">Scale-or-pause decision</t>
  </si>
  <si>
    <t xml:space="preserve">Incident timeline for support AI rollout with quality misses and unclear ownership</t>
  </si>
  <si>
    <t xml:space="preserve">The pilot has benefits and incidents, so the decision requires tradeoff judgment.</t>
  </si>
  <si>
    <t xml:space="preserve">A support AI pilot saved time but produced several customer-impacting errors.</t>
  </si>
  <si>
    <t xml:space="preserve">Write a scale, pause, or remediate recommendation with criteria.</t>
  </si>
  <si>
    <t xml:space="preserve">balance: Balances value and harm (22 pts; keywords: value, harm, risk, benefit)
criteria: Defines scale/pause criteria (24 pts; keywords: criteria, scale, pause, threshold, gate)
fix: Includes remediation (22 pts; keywords: fix, remediate, control, review, training)
owner: Names ownership (16 pts; keywords: owner, accountable, team, sponsor)
measure: Uses metrics (16 pts; keywords: metric, quality, customer, override, incident)</t>
  </si>
  <si>
    <t xml:space="preserve">I would pause expansion and remediate before scaling. Keep the pilot only where error risk is low, add human review for customer-impacting cases, assign a named owner, and scale only if quality, incident, override, and customer-impact metrics meet agreed thresholds.</t>
  </si>
  <si>
    <t xml:space="preserve">DEPTH-D6-COLLAB-055</t>
  </si>
  <si>
    <t xml:space="preserve">D6-collaboration</t>
  </si>
  <si>
    <t xml:space="preserve">Human-AI role clarity; Trust and challenge culture; Learning and improvement loops</t>
  </si>
  <si>
    <t xml:space="preserve">role clarity; human ownership</t>
  </si>
  <si>
    <t xml:space="preserve">/stimuli/realistic-support-ticket-ai-draft.png</t>
  </si>
  <si>
    <t xml:space="preserve">AI draft review</t>
  </si>
  <si>
    <t xml:space="preserve">Customer support console showing duplicate-charge evidence, SLA warning, policy notes, reviewer notes, and a weak AI draft response.</t>
  </si>
  <si>
    <t xml:space="preserve">The user must identify who owns the final customer message.</t>
  </si>
  <si>
    <t xml:space="preserve">AI drafts a reply for a sensitive customer complaint.</t>
  </si>
  <si>
    <t xml:space="preserve">Who owns the final message?</t>
  </si>
  <si>
    <t xml:space="preserve">✔ a: The human reviewer who sends it.  (score 95)
· b: The AI model because it wrote the first draft.  (score 5)
· c: No one if the draft is automated.  (score 0)
· d: The customer because they asked the question.  (score 10)</t>
  </si>
  <si>
    <t xml:space="preserve">a: The human reviewer who sends it.</t>
  </si>
  <si>
    <t xml:space="preserve">a: Correct. AI can assist, but the sender owns the action.
b: AI is not accountable for the customer action.
c: Automation still needs accountability.
d: The organization owns its response.</t>
  </si>
  <si>
    <t xml:space="preserve">DEPTH-D6-COLLAB-056</t>
  </si>
  <si>
    <t xml:space="preserve">review routines; challenge culture; override reasons</t>
  </si>
  <si>
    <t xml:space="preserve">Review disagreement</t>
  </si>
  <si>
    <t xml:space="preserve">Candidate packet with AI score, interview notes, and reviewer disagreement</t>
  </si>
  <si>
    <t xml:space="preserve">The team must handle disagreement between AI and human evidence.</t>
  </si>
  <si>
    <t xml:space="preserve">An AI hiring screen ranks a candidate low, but interview notes show strong evidence.</t>
  </si>
  <si>
    <t xml:space="preserve">Which collaboration behaviors are healthy?</t>
  </si>
  <si>
    <t xml:space="preserve">✔ challenge: Challenge the AI ranking with evidence.  (score 25)
✔ evidence: Compare AI summary against interview notes and criteria.  (score 25)
✔ document: Document override reason for learning and audit.  (score 25)
✔ rubric: Use the same hiring rubric for all candidates.  (score 25)
· obey: Obey the AI ranking to avoid slowing down.  (score 0)</t>
  </si>
  <si>
    <t xml:space="preserve">challenge; evidence; document; rubric  (multi-select: all required)</t>
  </si>
  <si>
    <t xml:space="preserve">challenge: Correct. Teams need challenge culture.
evidence: Correct. Review evidence, not vibes.
document: Correct. Overrides improve the system.
rubric: Correct. Consistency protects fairness.
obey: Speed should not override evidence and fairness.</t>
  </si>
  <si>
    <t xml:space="preserve">DEPTH-D6-COLLAB-057</t>
  </si>
  <si>
    <t xml:space="preserve">review routine; feedback loop; learning ownership</t>
  </si>
  <si>
    <t xml:space="preserve">Collaboration review loop</t>
  </si>
  <si>
    <t xml:space="preserve">Review loop with AI output, human override, issue category, and learning backlog</t>
  </si>
  <si>
    <t xml:space="preserve">Good teams turn AI mistakes into shared learning.</t>
  </si>
  <si>
    <t xml:space="preserve">A team wants to improve AI-assisted work every week.</t>
  </si>
  <si>
    <t xml:space="preserve">Order the review loop.</t>
  </si>
  <si>
    <t xml:space="preserve">#1  sample: Sample AI outputs and human overrides.
#2  classify: Classify error patterns and risk level.
#3  coach: Coach users and update prompt/workflow guidance.
#4  control: Adjust controls for high-risk patterns.
#5  measure: Measure whether errors and overrides improve.</t>
  </si>
  <si>
    <t xml:space="preserve">sample &gt; classify &gt; coach &gt; control &gt; measure</t>
  </si>
  <si>
    <t xml:space="preserve">DEPTH-D6-CHANGE-058</t>
  </si>
  <si>
    <t xml:space="preserve">D6-change</t>
  </si>
  <si>
    <t xml:space="preserve">Trust and challenge culture; Change enablement; Learning and improvement loops</t>
  </si>
  <si>
    <t xml:space="preserve">adoption support; communication</t>
  </si>
  <si>
    <t xml:space="preserve">HR &amp; People; Marketing; Customer Service; Engineering &amp; Data; Operations</t>
  </si>
  <si>
    <t xml:space="preserve">Education; Public sector</t>
  </si>
  <si>
    <t xml:space="preserve">Rollout checklist</t>
  </si>
  <si>
    <t xml:space="preserve">Rollout plan showing tool launch, training, support channel, and manager checklist</t>
  </si>
  <si>
    <t xml:space="preserve">Tool access alone does not create capability.</t>
  </si>
  <si>
    <t xml:space="preserve">A company gives everyone access to an AI tool.</t>
  </si>
  <si>
    <t xml:space="preserve">What is missing if they want real adoption?</t>
  </si>
  <si>
    <t xml:space="preserve">✔ a: Role-specific examples, coaching, support, and feedback loops.  (score 95)
· b: Only a launch email with the login link.  (score 20)
· c: A rule that everyone must use AI daily.  (score 15)
· d: No guidance so users can discover everything alone.  (score 25)</t>
  </si>
  <si>
    <t xml:space="preserve">a: Role-specific examples, coaching, support, and feedback loops.</t>
  </si>
  <si>
    <t xml:space="preserve">a: Correct. Adoption needs enablement.
b: Awareness alone is weak.
c: Mandates can increase usage without capability.
d: Discovery works better with examples and guardrails.</t>
  </si>
  <si>
    <t xml:space="preserve">DEPTH-D6-CHANGE-059</t>
  </si>
  <si>
    <t xml:space="preserve">manager enablement; learning loops; adoption support</t>
  </si>
  <si>
    <t xml:space="preserve">/stimuli/productivity-chart-forensics.png</t>
  </si>
  <si>
    <t xml:space="preserve">Adoption signal dashboard</t>
  </si>
  <si>
    <t xml:space="preserve">Adoption dashboard with usage, confidence, quality, and team variation</t>
  </si>
  <si>
    <t xml:space="preserve">Different adoption problems need different interventions.</t>
  </si>
  <si>
    <t xml:space="preserve">Teams show different AI adoption patterns.</t>
  </si>
  <si>
    <t xml:space="preserve">Match each signal to the best support action.</t>
  </si>
  <si>
    <t xml:space="preserve">Low use, high anxiety  →  Manager coaching and safe starter tasks   [choices: Manager coaching and safe starter tasks | Mandate automation | Remove support | Ignore quality]
High use, high error rate  →  Review routines and targeted training   [choices: Review routines and targeted training | Celebrate usage only | Reduce oversight | Scale immediately]
One team has strong reusable workflows  →  Share patterns and peer examples   [choices: Share patterns and peer examples | Keep learning private | Stop measuring | Block experimentation]
Users distrust outputs after one failure  →  Show evidence checks and escalation paths   [choices: Show evidence checks and escalation paths | Tell them to trust AI | Hide incidents | Use a bigger model only]</t>
  </si>
  <si>
    <t xml:space="preserve">Low use, high anxiety → Manager coaching and safe starter tasks; High use, high error rate → Review routines and targeted training; One team has strong reusable workflows → Share patterns and peer examples; Users distrust outputs after one failure → Show evidence checks and escalation paths</t>
  </si>
  <si>
    <t xml:space="preserve">DEPTH-D6-CHANGE-060</t>
  </si>
  <si>
    <t xml:space="preserve">continuous improvement; communication; change leadership</t>
  </si>
  <si>
    <t xml:space="preserve">Change recovery plan</t>
  </si>
  <si>
    <t xml:space="preserve">AI rollout timeline showing adoption, incidents, training gaps, and communication points</t>
  </si>
  <si>
    <t xml:space="preserve">The rollout needs a recovery plan after trust is damaged.</t>
  </si>
  <si>
    <t xml:space="preserve">After a visible AI mistake, adoption drops and teams become hesitant.</t>
  </si>
  <si>
    <t xml:space="preserve">Write a short recovery plan for the next 30 days.</t>
  </si>
  <si>
    <t xml:space="preserve">ack: Acknowledges issue transparently (20 pts; keywords: acknowledge, transparent, explain, communicate)
fix: Adds corrective controls (24 pts; keywords: fix, control, review, guardrail, escalation)
coach: Supports users/managers (22 pts; keywords: coach, training, manager, support, examples)
learn: Creates feedback loop (20 pts; keywords: feedback, learn, loop, override, incident)
measure: Defines recovery metrics (14 pts; keywords: measure, metric, quality, trust, adoption)</t>
  </si>
  <si>
    <t xml:space="preserve">Acknowledge the mistake and explain what changed. Add review and escalation controls for similar cases, give managers examples and coaching for safe use, collect user feedback and override patterns weekly, and track quality, trust, incidents, and adoption recovery over 30 days.</t>
  </si>
  <si>
    <t xml:space="preserve">MATCH-AI-COMPONENTS-061</t>
  </si>
  <si>
    <t xml:space="preserve">D1-concepts; D2-prompting</t>
  </si>
  <si>
    <t xml:space="preserve">Core AI concepts; Generative AI mechanics; Capability boundaries; Prompt design; Tool selection and integration; Output refinement</t>
  </si>
  <si>
    <t xml:space="preserve">LLM; RAG; prompt; context; memory</t>
  </si>
  <si>
    <t xml:space="preserve">Board / Investor; CHRO / People leader; CIO / CDO / CTO; Transformation sponsor</t>
  </si>
  <si>
    <t xml:space="preserve">AI component board</t>
  </si>
  <si>
    <t xml:space="preserve">AI component board showing LLM, RAG, prompt, context, memory, and tools</t>
  </si>
  <si>
    <t xml:space="preserve">Match AI components to what they actually do in a product.</t>
  </si>
  <si>
    <t xml:space="preserve">A new team is learning how AI products are assembled.</t>
  </si>
  <si>
    <t xml:space="preserve">Match each AI component to the plain-language description.</t>
  </si>
  <si>
    <t xml:space="preserve">LLM  →  Generates language from learned patterns   [choices: Generates language from learned patterns | Stores every company fact forever | Approves payments | Prevents all hallucinations]
RAG  →  Retrieves relevant sources before answering   [choices: Retrieves relevant sources before answering | Makes the UI faster | Deletes audit logs | Guarantees legal approval]
Prompt  →  Instruction and context given for the task   [choices: Instruction and context given for the task | A license file | A server region | A peer benchmark]
Memory  →  Saved information reused across sessions   [choices: Saved information reused across sessions | The current pasted text only | A model leaderboard | A safety incident]</t>
  </si>
  <si>
    <t xml:space="preserve">LLM → Generates language from learned patterns; RAG → Retrieves relevant sources before answering; Prompt → Instruction and context given for the task; Memory → Saved information reused across sessions</t>
  </si>
  <si>
    <t xml:space="preserve">MATCH-AI-PRODUCTS-062</t>
  </si>
  <si>
    <t xml:space="preserve">AI products; GitHub Copilot; ChatGPT; Hugging Face; tool permissions</t>
  </si>
  <si>
    <t xml:space="preserve">Engineering &amp; Data; Operations; General work</t>
  </si>
  <si>
    <t xml:space="preserve">AI product map</t>
  </si>
  <si>
    <t xml:space="preserve">Product comparison artifact with chat assistant, coding assistant, model hub, and workflow agent</t>
  </si>
  <si>
    <t xml:space="preserve">Different AI products expose different capabilities and risks.</t>
  </si>
  <si>
    <t xml:space="preserve">A manager asks whether all AI products should be governed the same way.</t>
  </si>
  <si>
    <t xml:space="preserve">Match each product surface to the review focus.</t>
  </si>
  <si>
    <t xml:space="preserve">General chat assistant  →  Data pasted by users and source-check behavior   [choices: Data pasted by users and source-check behavior | Pull-request permissions only | Robot sensor fusion | Warehouse routing]
GitHub-style coding assistant  →  Repository access, code review, tests, and license risk   [choices: Repository access, code review, tests, and license risk | Patient bedside consent | Image caption source | Ad auction budget]
Hugging Face-style model hub  →  Model card, license, dataset, and intended-use limits   [choices: Model card, license, dataset, and intended-use limits | Calendar tone only | Sales discount script | HR interview order]
Tool-using workflow agent  →  Read/write permissions, action gates, and audit logs   [choices: Read/write permissions, action gates, and audit logs | Only logo quality | Only model popularity | Only prompt length]</t>
  </si>
  <si>
    <t xml:space="preserve">General chat assistant → Data pasted by users and source-check behavior; GitHub-style coding assistant → Repository access, code review, tests, and license risk; Hugging Face-style model hub → Model card, license, dataset, and intended-use limits; Tool-using workflow agent → Read/write permissions, action gates, and audit logs</t>
  </si>
  <si>
    <t xml:space="preserve">MATCH-MODEL-CARD-063</t>
  </si>
  <si>
    <t xml:space="preserve">D3-verification; D4-risk</t>
  </si>
  <si>
    <t xml:space="preserve">Source and claim verification; Data and chart judgment; Data protection and privacy; Fairness, ethics, and rights; Security and governance controls</t>
  </si>
  <si>
    <t xml:space="preserve">Hugging Face model card; benchmark literacy; license; intended use</t>
  </si>
  <si>
    <t xml:space="preserve">Model card inspection</t>
  </si>
  <si>
    <t xml:space="preserve">Model card artifact with benchmark, license, intended use, limitation, and training data sections</t>
  </si>
  <si>
    <t xml:space="preserve">Technical users need to read model cards as evidence, not marketing.</t>
  </si>
  <si>
    <t xml:space="preserve">A technical user reviews a model card before using an open model.</t>
  </si>
  <si>
    <t xml:space="preserve">Match the model-card section to the decision it informs.</t>
  </si>
  <si>
    <t xml:space="preserve">Evaluation / benchmark results  →  Whether the model was tested on relevant tasks   [choices: Whether the model was tested on relevant tasks | Who owns customer refunds | What color the UI should be | Whether staff like AI]
License  →  Whether the model can be used commercially   [choices: Whether the model can be used commercially | Whether the model is always accurate | Whether the prompt is short | Whether the app has memory]
Intended use  →  Whether the planned deployment matches the model scope   [choices: Whether the planned deployment matches the model scope | Whether the image is dramatic | Whether adoption doubled | Whether reviewers are fast]
Limitations  →  What guardrails and human review are needed   [choices: What guardrails and human review are needed | What font size to use | What sales region to target | What chatbot name to pick]</t>
  </si>
  <si>
    <t xml:space="preserve">Evaluation / benchmark results → Whether the model was tested on relevant tasks; License → Whether the model can be used commercially; Intended use → Whether the planned deployment matches the model scope; Limitations → What guardrails and human review are needed</t>
  </si>
  <si>
    <t xml:space="preserve">MATCH-GITHUB-REPO-064</t>
  </si>
  <si>
    <t xml:space="preserve">D2-workflows; D4-risk</t>
  </si>
  <si>
    <t xml:space="preserve">Tool selection and integration; Agentic workflows; Output refinement; Data protection and privacy; Fairness, ethics, and rights; Security and governance controls</t>
  </si>
  <si>
    <t xml:space="preserve">GitHub; repo health; security policy; dependency review; CI</t>
  </si>
  <si>
    <t xml:space="preserve">Repository adoption review</t>
  </si>
  <si>
    <t xml:space="preserve">Repository artifact with releases, issues, dependency warnings, CI status, and security settings</t>
  </si>
  <si>
    <t xml:space="preserve">A popular repository can still be risky if maintenance, license, tests, or dependencies are weak.</t>
  </si>
  <si>
    <t xml:space="preserve">A developer wants to add an AI library from GitHub to a production service.</t>
  </si>
  <si>
    <t xml:space="preserve">Match each repo signal to what it tells you.</t>
  </si>
  <si>
    <t xml:space="preserve">No release in 18 months  →  Maintenance risk   [choices: Maintenance risk | Better accuracy | Guaranteed support | Lower privacy risk]
Failing CI on recent commits  →  Quality or integration risk   [choices: Quality or integration risk | Clear legal approval | More adoption | Safe data handling]
No security policy or advisory process  →  Vulnerability response risk   [choices: Vulnerability response risk | Higher benchmark score | Better UI | More citations]
License missing or incompatible  →  Legal adoption risk   [choices: Legal adoption risk | Lower latency | More memory | Less need for tests]</t>
  </si>
  <si>
    <t xml:space="preserve">No release in 18 months → Maintenance risk; Failing CI on recent commits → Quality or integration risk; No security policy or advisory process → Vulnerability response risk; License missing or incompatible → Legal adoption risk</t>
  </si>
  <si>
    <t xml:space="preserve">MATCH-AI-BENCHMARKS-065</t>
  </si>
  <si>
    <t xml:space="preserve">D3-verification; D5-strategy</t>
  </si>
  <si>
    <t xml:space="preserve">Source and claim verification; Data and chart judgment; Use-case evaluation; Portfolio prioritization; Strategy and transformation</t>
  </si>
  <si>
    <t xml:space="preserve">benchmark literacy; MMLU; SWE-bench; leaderboard; task fit</t>
  </si>
  <si>
    <t xml:space="preserve">Engineering &amp; Data; General work</t>
  </si>
  <si>
    <t xml:space="preserve">Benchmark matching brief</t>
  </si>
  <si>
    <t xml:space="preserve">Benchmark brief comparing model scores across knowledge, coding, long-context, and agentic tasks</t>
  </si>
  <si>
    <t xml:space="preserve">Different benchmarks answer different questions. None is universal.</t>
  </si>
  <si>
    <t xml:space="preserve">A team sees several model benchmark names in vendor material.</t>
  </si>
  <si>
    <t xml:space="preserve">Match each benchmark type to what it is most likely trying to measure.</t>
  </si>
  <si>
    <t xml:space="preserve">General knowledge exam benchmark  →  Broad factual and reasoning performance   [choices: Broad factual and reasoning performance | Repository issue resolution only | Robot motion control | Customer churn ROI]
Software engineering benchmark  →  Code change and issue-solving ability   [choices: Code change and issue-solving ability | Image provenance | Policy approval | Medical consent]
Long-context benchmark  →  Using information across large documents   [choices: Using information across large documents | Physical driving safety | Vendor license rights | Ad campaign spend]
Agentic task benchmark  →  Planning and tool use across steps   [choices: Planning and tool use across steps | Only text fluency | Logo recognition | Payroll accuracy]</t>
  </si>
  <si>
    <t xml:space="preserve">General knowledge exam benchmark → Broad factual and reasoning performance; Software engineering benchmark → Code change and issue-solving ability; Long-context benchmark → Using information across large documents; Agentic task benchmark → Planning and tool use across steps</t>
  </si>
  <si>
    <t xml:space="preserve">MATCH-AI-CONTROLS-066</t>
  </si>
  <si>
    <t xml:space="preserve">D4-governance; D6-collaboration</t>
  </si>
  <si>
    <t xml:space="preserve">Regulatory and policy fluency; Fairness, ethics, and rights; Security and governance controls; Human-AI role clarity; Trust and challenge culture; Learning and improvement loops</t>
  </si>
  <si>
    <t xml:space="preserve">human review; audit log; approval gate; escalation path</t>
  </si>
  <si>
    <t xml:space="preserve">Control matching board</t>
  </si>
  <si>
    <t xml:space="preserve">Governance control board with approval gate, audit log, source rule, and escalation lane</t>
  </si>
  <si>
    <t xml:space="preserve">Controls should match the actual risk, not be generic policy theater.</t>
  </si>
  <si>
    <t xml:space="preserve">A team is designing controls for an AI assistant used in customer decisions.</t>
  </si>
  <si>
    <t xml:space="preserve">Match each AI control to the problem it solves.</t>
  </si>
  <si>
    <t xml:space="preserve">Approval gate  →  Stops high-impact action before human signoff   [choices: Stops high-impact action before human signoff | Improves logo quality | Makes answers longer | Increases benchmark score]
Audit log  →  Shows prompt, source, action, reviewer, and reason trail   [choices: Shows prompt, source, action, reviewer, and reason trail | Replaces all training | Proves model is unbiased | Removes need for policy]
Approved-source rule  →  Prevents unsupported or unapproved evidence use   [choices: Prevents unsupported or unapproved evidence use | Selects font color | Guarantees ROI | Avoids all incidents]
Escalation path  →  Moves uncertain or harmful cases to accountable humans   [choices: Moves uncertain or harmful cases to accountable humans | Lets AI self-approve | Deletes user complaints | Maximizes automation]</t>
  </si>
  <si>
    <t xml:space="preserve">Approval gate → Stops high-impact action before human signoff; Audit log → Shows prompt, source, action, reviewer, and reason trail; Approved-source rule → Prevents unsupported or unapproved evidence use; Escalation path → Moves uncertain or harmful cases to accountable humans</t>
  </si>
  <si>
    <t xml:space="preserve">DEPTH-EXP-D1-D2-067</t>
  </si>
  <si>
    <t xml:space="preserve">concept-cluster</t>
  </si>
  <si>
    <t xml:space="preserve">parts</t>
  </si>
  <si>
    <t xml:space="preserve">context window; RAG; prompt constraints; grounding</t>
  </si>
  <si>
    <t xml:space="preserve">Concept-to-prompt cluster</t>
  </si>
  <si>
    <t xml:space="preserve">Concept workbench showing context, retrieval, prompt rules, and hallucination risks</t>
  </si>
  <si>
    <t xml:space="preserve">The item checks whether users can turn AI concepts into better prompting practice.</t>
  </si>
  <si>
    <t xml:space="preserve">A team is building a policy assistant and keeps treating longer prompts, retrieval, and memory as interchangeable fixes.</t>
  </si>
  <si>
    <t xml:space="preserve">Answer each mini-part about choosing the right concept and prompt move.</t>
  </si>
  <si>
    <t xml:space="preserve">[current-policy · D1] What best supports answers about the current approved policy?
   · a: Rely on model training data because it is broad. (25)
   ✔ b: Retrieve the approved source at answer time. (98)
   · c: Ask for a more confident tone. (10)
[prompt-constraint · D2] Which prompt instruction best reduces unsupported policy claims?
   ✔ a: Use only the supplied policy and mark missing evidence. (98)
   · b: Be concise and persuasive. (35)
   · c: Answer from general best practice if the file is unclear. (20)
[context-limit · D1] What is a practical context-window risk?
   · a: The model can remember infinite source text exactly. (10)
   · b: More pasted material always lowers risk. (20)
   ✔ c: Important details can be omitted, buried, or outweighed by irrelevant context. (98)</t>
  </si>
  <si>
    <t xml:space="preserve">current-policy: b; prompt-constraint: a; context-limit: c</t>
  </si>
  <si>
    <t xml:space="preserve">DEPTH-EXP-D1-SYSTEMS-068</t>
  </si>
  <si>
    <t xml:space="preserve">memory; tool connectors; app policy; audit trail</t>
  </si>
  <si>
    <t xml:space="preserve">System boundary map</t>
  </si>
  <si>
    <t xml:space="preserve">AI assistant system diagram with memory, connectors, permissions, and logs</t>
  </si>
  <si>
    <t xml:space="preserve">System literacy means separating model behavior from app, tool, and governance behavior.</t>
  </si>
  <si>
    <t xml:space="preserve">A buyer compares two AI assistants that use the same model but have different product configurations.</t>
  </si>
  <si>
    <t xml:space="preserve">Match each system feature to the operational question it raises.</t>
  </si>
  <si>
    <t xml:space="preserve">Saved memory  →  What is retained, editable, and visible to users?   [choices: What is retained, editable, and visible to users? | Which font is used? | Whether the model can never hallucinate | Which competitor launched first]
CRM connector  →  Which records can be read or changed?   [choices: Which records can be read or changed? | Whether the answer is shorter | Whether users like the logo | Which benchmark is most famous]
Enterprise data policy  →  Which data may enter the assistant and under what terms?   [choices: Which data may enter the assistant and under what terms? | Whether all prompts become public posts | Whether every answer is approved | Which model has the longest name]
Action log  →  Who can review prompts, sources, actions, and approvals?   [choices: Who can review prompts, sources, actions, and approvals? | How colorful the dashboard is | Whether training is optional forever | Whether cost disappears]</t>
  </si>
  <si>
    <t xml:space="preserve">Saved memory → What is retained, editable, and visible to users?; CRM connector → Which records can be read or changed?; Enterprise data policy → Which data may enter the assistant and under what terms?; Action log → Who can review prompts, sources, actions, and approvals?</t>
  </si>
  <si>
    <t xml:space="preserve">DEPTH-EXP-D1-D3-069</t>
  </si>
  <si>
    <t xml:space="preserve">D1-concepts; D3-verification</t>
  </si>
  <si>
    <t xml:space="preserve">Core AI concepts; Generative AI mechanics; Capability boundaries; Source and claim verification; Data and chart judgment</t>
  </si>
  <si>
    <t xml:space="preserve">model capability claims; evaluation limits; benchmark fit; hallucination</t>
  </si>
  <si>
    <t xml:space="preserve">Capability claim review</t>
  </si>
  <si>
    <t xml:space="preserve">AI answer and source comparison with model capability notes and unsupported claims</t>
  </si>
  <si>
    <t xml:space="preserve">A model capability claim still needs source, task, and evaluation context.</t>
  </si>
  <si>
    <t xml:space="preserve">A vendor says the newest model makes hallucination solved for policy work.</t>
  </si>
  <si>
    <t xml:space="preserve">Which checks should a literate buyer require before accepting that claim?</t>
  </si>
  <si>
    <t xml:space="preserve">✔ task: Check whether the evaluation task matches the policy workflow.  (score 25)
✔ sources: Inspect whether answers were grounded in approved sources.  (score 25)
✔ failures: Ask for failure cases, refusal behavior, and uncertainty handling.  (score 25)
✔ local: Run a local test on representative policies and edge cases.  (score 25)
· headline: Trust the claim because the model is newest.  (score 0)</t>
  </si>
  <si>
    <t xml:space="preserve">task; sources; failures; local  (multi-select: all required)</t>
  </si>
  <si>
    <t xml:space="preserve">task: Correct. Capability depends on task fit.
sources: Correct. Grounding changes reliability.
failures: Correct. Limits matter as much as headline scores.
local: Correct. Local evidence is needed before deployment.
headline: Newness is not proof of workflow reliability.</t>
  </si>
  <si>
    <t xml:space="preserve">DEPTH-EXP-D2-PROMPT-070</t>
  </si>
  <si>
    <t xml:space="preserve">prompt repair; rubric; source rules; review criteria</t>
  </si>
  <si>
    <t xml:space="preserve">Campaign prompt repair</t>
  </si>
  <si>
    <t xml:space="preserve">Marketing dashboard with campaign segments, tiny samples, coupon anomaly, and AI recommendation</t>
  </si>
  <si>
    <t xml:space="preserve">The prompt should make AI separate creative advice from evidence review.</t>
  </si>
  <si>
    <t xml:space="preserve">A marketer asks AI, “Tell me which campaign to scale,” after uploading a dashboard with sample-size and tracking caveats.</t>
  </si>
  <si>
    <t xml:space="preserve">Write a safer prompt that asks for decision support without hiding uncertainty.</t>
  </si>
  <si>
    <t xml:space="preserve">role: Defines the role and task (18 pts; keywords: act as, marketing, analyst, recommend, decision)
evidence: Requires dashboard evidence and caveats (28 pts; keywords: evidence, sample, caveat, dashboard, coupon, tracking)
uncertainty: Asks to separate facts from assumptions (22 pts; keywords: assumption, uncertain, confidence, unknown, flag)
format: Specifies useful output format (16 pts; keywords: format, table, options, pros, cons, criteria)
review: Includes review or next test (16 pts; keywords: test, review, validate, incrementality, pilot)</t>
  </si>
  <si>
    <t xml:space="preserve">Act as a marketing analyst. Use only the uploaded dashboard to compare campaigns by sample size, conversion quality, coupon anomaly, cost, and confidence. Separate observed facts from assumptions, return a table with scale/hold/test recommendations, and list the next validation needed before increasing spend.</t>
  </si>
  <si>
    <t xml:space="preserve">DEPTH-EXP-D2-D6-071</t>
  </si>
  <si>
    <t xml:space="preserve">D2-workflows; D6-collaboration</t>
  </si>
  <si>
    <t xml:space="preserve">Tool selection and integration; Agentic workflows; Output refinement; Human-AI role clarity; Trust and challenge culture; Learning and improvement loops</t>
  </si>
  <si>
    <t xml:space="preserve">workflow mapping; handoffs; role clarity; review routine</t>
  </si>
  <si>
    <t xml:space="preserve">Support workflow redesign</t>
  </si>
  <si>
    <t xml:space="preserve">The item asks users to sequence a human-AI workflow, not just choose a reply.</t>
  </si>
  <si>
    <t xml:space="preserve">A support team wants AI to help with duplicate-charge tickets while preserving reviewer learning.</t>
  </si>
  <si>
    <t xml:space="preserve">Order the workflow steps.</t>
  </si>
  <si>
    <t xml:space="preserve">#1  classify: Classify ticket risk and identify required evidence.
#2  draft: Have AI draft from ticket, payment log, and policy only.
#3  review: Human reviewer checks evidence, tone, and exception rules.
#4  send: Send approved response and record override reason.
#5  learn: Review patterns weekly and update coaching or prompts.</t>
  </si>
  <si>
    <t xml:space="preserve">classify &gt; draft &gt; review &gt; send &gt; learn</t>
  </si>
  <si>
    <t xml:space="preserve">DEPTH-EXP-D2-D5-072</t>
  </si>
  <si>
    <t xml:space="preserve">D2-workflows; D5-value</t>
  </si>
  <si>
    <t xml:space="preserve">Tool selection and integration; Agentic workflows; Output refinement; Use-case evaluation; ROI and measurement; Portfolio prioritization</t>
  </si>
  <si>
    <t xml:space="preserve">tool selection; workflow fit; baseline metrics; pilot gates</t>
  </si>
  <si>
    <t xml:space="preserve">Workflow-value map</t>
  </si>
  <si>
    <t xml:space="preserve">Operations workflow log showing volume, error types, handoffs, and automation candidates</t>
  </si>
  <si>
    <t xml:space="preserve">Tool choices should follow workflow evidence and measurable value.</t>
  </si>
  <si>
    <t xml:space="preserve">An operations lead compares four AI tool ideas for the same overloaded process.</t>
  </si>
  <si>
    <t xml:space="preserve">Match each workflow signal to the best tool or pilot choice.</t>
  </si>
  <si>
    <t xml:space="preserve">Users cannot find approved procedure details  →  RAG knowledge assistant with source citations   [choices: RAG knowledge assistant with source citations | Autonomous payment approval | Synthetic video generator | Unmeasured chatbot launch]
Staff spend time writing repetitive status notes  →  Drafting copilot with reviewer checklist   [choices: Drafting copilot with reviewer checklist | Delete the workflow owner | Ignore source quality | Use only a trend report]
Tickets stall between teams with unclear next step  →  Workflow triage with explicit handoff states   [choices: Workflow triage with explicit handoff states | A prettier dashboard only | One generic prompt | Full autonomy without logs]
No baseline exists for time, quality, or rework  →  Measurement-first pilot before scale   [choices: Measurement-first pilot before scale | Scale immediately | Pick the newest model | Report prompt volume as ROI]</t>
  </si>
  <si>
    <t xml:space="preserve">Users cannot find approved procedure details → RAG knowledge assistant with source citations; Staff spend time writing repetitive status notes → Drafting copilot with reviewer checklist; Tickets stall between teams with unclear next step → Workflow triage with explicit handoff states; No baseline exists for time, quality, or rework → Measurement-first pilot before scale</t>
  </si>
  <si>
    <t xml:space="preserve">DEPTH-EXP-D3-MEDIA-073</t>
  </si>
  <si>
    <t xml:space="preserve">phishing checks; payment fraud; domain inspection; provenance</t>
  </si>
  <si>
    <t xml:space="preserve">/stimuli/gen-exp-fraud-sms-thread.svg</t>
  </si>
  <si>
    <t xml:space="preserve">Delivery SMS review</t>
  </si>
  <si>
    <t xml:space="preserve">Suspicious delivery SMS with short link, payment page, countdown, and card field</t>
  </si>
  <si>
    <t xml:space="preserve">Users must inspect message, link, payment request, and verification path.</t>
  </si>
  <si>
    <t xml:space="preserve">A delivery message asks for a customs fee through a shortened link while the recipient is expecting a package.</t>
  </si>
  <si>
    <t xml:space="preserve">Which red flags should be selected before taking action?</t>
  </si>
  <si>
    <t xml:space="preserve">✔ link: Shortened or mismatched tracking domain.  (score 25)
✔ pressure: Urgent countdown or threat of failed delivery.  (score 25)
✔ card: Request for full card details for a tiny fee.  (score 25)
✔ verify: Need to verify through the carrier app or official site.  (score 25)
· expected: No risk because a package is expected.  (score 0)</t>
  </si>
  <si>
    <t xml:space="preserve">link; pressure; card; verify  (multi-select: all required)</t>
  </si>
  <si>
    <t xml:space="preserve">link: Correct. Domain mismatch is a major fraud signal.
pressure: Correct. Pressure is a common manipulation tactic.
card: Correct. Payment collection should be treated carefully.
verify: Correct. Official-channel verification is the safer path.
expected: Attackers often exploit plausible timing.</t>
  </si>
  <si>
    <t xml:space="preserve">DEPTH-EXP-D3-MEDIA-074</t>
  </si>
  <si>
    <t xml:space="preserve">synthetic media; executive impersonation; provenance; response triage</t>
  </si>
  <si>
    <t xml:space="preserve">/stimuli/executive-synthetic-post.svg</t>
  </si>
  <si>
    <t xml:space="preserve">Synthetic executive post</t>
  </si>
  <si>
    <t xml:space="preserve">Executive impersonation post with synthetic image cues, urgent timing, and missing original source</t>
  </si>
  <si>
    <t xml:space="preserve">The response should avoid both credulity and unsupported dismissal.</t>
  </si>
  <si>
    <t xml:space="preserve">A realistic post claims a company executive announced layoffs before market open, but the source is an anonymous repost.</t>
  </si>
  <si>
    <t xml:space="preserve">Write 2-4 sentences naming verification steps and the communication posture.</t>
  </si>
  <si>
    <t xml:space="preserve">source: Checks original source or official channel (28 pts; keywords: original, official, company, source, channel)
media: Mentions media/provenance review (24 pts; keywords: image, video, synthetic, metadata, provenance)
internal: Calls for internal confirmation (22 pts; keywords: internal, confirm, legal, communications, executive)
posture: Uses cautious communication (24 pts; keywords: unverified, avoid amplifying, holding, statement, caution)</t>
  </si>
  <si>
    <t xml:space="preserve">Treat the post as unverified until the original source, company channels, and internal communications/legal contacts confirm it. Review the media for provenance and manipulation clues, avoid amplifying the claim, and prepare a cautious holding statement if employees or markets are affected.</t>
  </si>
  <si>
    <t xml:space="preserve">DEPTH-EXP-D3-MEDIA-075</t>
  </si>
  <si>
    <t xml:space="preserve">D3-media; D4-governance</t>
  </si>
  <si>
    <t xml:space="preserve">Media provenance; Fraud and manipulation detection; Regulatory and policy fluency; Fairness, ethics, and rights; Security and governance controls</t>
  </si>
  <si>
    <t xml:space="preserve">fraud artifact review; invoice fraud; approval control; audit trail</t>
  </si>
  <si>
    <t xml:space="preserve">Education; Financial services; Healthcare; Retail &amp; ecommerce; Public sector</t>
  </si>
  <si>
    <t xml:space="preserve">Invoice fraud artifact</t>
  </si>
  <si>
    <t xml:space="preserve">Suspicious invoice with altered bank details, urgency language, vendor mismatch, and approval gap</t>
  </si>
  <si>
    <t xml:space="preserve">Fraud review connects artifact clues to payment controls.</t>
  </si>
  <si>
    <t xml:space="preserve">A finance team receives an urgent invoice that may have been altered using AI-assisted editing.</t>
  </si>
  <si>
    <t xml:space="preserve">Match each artifact clue to the safest control.</t>
  </si>
  <si>
    <t xml:space="preserve">Bank details changed from prior invoices  →  Verify through known vendor contact before payment   [choices: Verify through known vendor contact before payment | Pay faster to keep discount | Use the new bank field silently | Ask AI to approve]
Urgent pressure from unfamiliar sender  →  Slow down and follow exception approval path   [choices: Slow down and follow exception approval path | Bypass review | Delete audit notes | Trust the confident wording]
Logo and spacing differ from vendor template  →  Compare against known-good invoice and contract record   [choices: Compare against known-good invoice and contract record | Ignore visual anomalies | Change the payment amount | Use only the email subject]
Approver name appears but no approval trail exists  →  Require auditable approval in the finance system   [choices: Require auditable approval in the finance system | Treat the PDF as approval | Let the vendor decide | Hide uncertainty]</t>
  </si>
  <si>
    <t xml:space="preserve">Bank details changed from prior invoices → Verify through known vendor contact before payment; Urgent pressure from unfamiliar sender → Slow down and follow exception approval path; Logo and spacing differ from vendor template → Compare against known-good invoice and contract record; Approver name appears but no approval trail exists → Require auditable approval in the finance system</t>
  </si>
  <si>
    <t xml:space="preserve">DEPTH-EXP-D3-D5-076</t>
  </si>
  <si>
    <t xml:space="preserve">chart forensics; business-case review; sample size; measurement design</t>
  </si>
  <si>
    <t xml:space="preserve">Productivity evidence review</t>
  </si>
  <si>
    <t xml:space="preserve">Productivity dashboard with large AI lift claim, unclear baseline, small sample, and visual scale issues</t>
  </si>
  <si>
    <t xml:space="preserve">The user must inspect evidence quality before treating the claim as strategy input.</t>
  </si>
  <si>
    <t xml:space="preserve">A board packet uses a productivity chart to justify expanding an AI program companywide.</t>
  </si>
  <si>
    <t xml:space="preserve">Which evidence gaps should be challenged?</t>
  </si>
  <si>
    <t xml:space="preserve">✔ baseline: Missing pre-pilot baseline and comparison group.  (score 25)
✔ sample: Unclear sample size and adoption rate.  (score 25)
✔ period: Measurement period and seasonality are not shown.  (score 25)
✔ quality: No quality, rework, or customer-impact metric.  (score 25)
· color: The chart uses a muted color palette.  (score 0)</t>
  </si>
  <si>
    <t xml:space="preserve">baseline; sample; period; quality  (multi-select: all required)</t>
  </si>
  <si>
    <t xml:space="preserve">baseline: Correct. Lift needs a comparison point.
sample: Correct. Weak samples can exaggerate results.
period: Correct. Timing can distort outcomes.
quality: Correct. Productivity alone can hide harm.
color: Color is not the decision-grade evidence issue.</t>
  </si>
  <si>
    <t xml:space="preserve">DEPTH-EXP-D4-GOV-077</t>
  </si>
  <si>
    <t xml:space="preserve">incident response; containment; notification; postmortem</t>
  </si>
  <si>
    <t xml:space="preserve">AI incident timeline</t>
  </si>
  <si>
    <t xml:space="preserve">AI support incident timeline with customer impact, delayed escalation, weak monitoring, and missing owner</t>
  </si>
  <si>
    <t xml:space="preserve">Incident response needs ordered actions, not a vague promise to improve.</t>
  </si>
  <si>
    <t xml:space="preserve">An AI support workflow sent incorrect refund guidance to customers.</t>
  </si>
  <si>
    <t xml:space="preserve">Order the response actions.</t>
  </si>
  <si>
    <t xml:space="preserve">#1  contain: Contain the workflow and stop repeat harm.
#2  scope: Scope affected customers, outputs, and data.
#3  notify: Notify stakeholders through approved legal/comms path.
#4  fix: Fix controls, prompts, evidence checks, and rollback path.
#5  learn: Run a post-incident review with owner and prevention metrics.</t>
  </si>
  <si>
    <t xml:space="preserve">contain &gt; scope &gt; notify &gt; fix &gt; learn</t>
  </si>
  <si>
    <t xml:space="preserve">DEPTH-EXP-D4-D1-078</t>
  </si>
  <si>
    <t xml:space="preserve">D4-governance; D1-systems</t>
  </si>
  <si>
    <t xml:space="preserve">Regulatory and policy fluency; Fairness, ethics, and rights; Security and governance controls; Core AI concepts; Generative AI mechanics; AI systems literacy</t>
  </si>
  <si>
    <t xml:space="preserve">vendor controls; model improvement rights; retention; subprocessors</t>
  </si>
  <si>
    <t xml:space="preserve">/stimuli/executive/exec-exp-vendor-memo-data-rights.svg</t>
  </si>
  <si>
    <t xml:space="preserve">Vendor data-rights cluster</t>
  </si>
  <si>
    <t xml:space="preserve">Vendor memo with unresolved model improvement, data retention, support access, audit, and subprocessor terms</t>
  </si>
  <si>
    <t xml:space="preserve">The item links system features to governance contract terms.</t>
  </si>
  <si>
    <t xml:space="preserve">A vendor wants to use customer data in its AI platform and offers a discount for quick signature.</t>
  </si>
  <si>
    <t xml:space="preserve">Answer the mini-parts before approving the vendor.</t>
  </si>
  <si>
    <t xml:space="preserve">[improvement · D4] Which term needs explicit approval before customer data can improve vendor models?
   ✔ a: Training/model-improvement data rights and opt-out terms. (98)
   · b: The vendor logo placement. (5)
   · c: The longest possible contract appendix. (20)
[support · D1] Why does support access change system risk?
   · a: It only changes the user interface. (10)
   ✔ b: It can expand who sees prompts, files, outputs, or customer records. (98)
   · c: It proves the model is more accurate. (15)
[audit · D4] What evidence should the contract preserve?
   · a: Only monthly seat counts. (20)
   · b: Only vendor marketing claims. (10)
   ✔ c: Retention, audit logs, access approvals, incident duties, and exit rights. (98)</t>
  </si>
  <si>
    <t xml:space="preserve">improvement: a; support: b; audit: c</t>
  </si>
  <si>
    <t xml:space="preserve">DEPTH-EXP-D5-VALUE-079</t>
  </si>
  <si>
    <t xml:space="preserve">D5-value; D2-workflows</t>
  </si>
  <si>
    <t xml:space="preserve">Use-case evaluation; ROI and measurement; Portfolio prioritization; Tool selection and integration; Agentic workflows; Output refinement</t>
  </si>
  <si>
    <t xml:space="preserve">use-case fit; baseline metrics; pilot design; workflow evidence</t>
  </si>
  <si>
    <t xml:space="preserve">Sales forecast value review</t>
  </si>
  <si>
    <t xml:space="preserve">Sales CRM pipeline with stale deals, weak activity signals, AI forecast, and risk flags</t>
  </si>
  <si>
    <t xml:space="preserve">The written response should connect workflow evidence to value measurement.</t>
  </si>
  <si>
    <t xml:space="preserve">A sales team wants to buy an AI forecasting assistant because one forecast predicts a larger quarter.</t>
  </si>
  <si>
    <t xml:space="preserve">Write 2-4 sentences explaining what evidence would make this a fundable pilot.</t>
  </si>
  <si>
    <t xml:space="preserve">baseline: Requires baseline comparison (26 pts; keywords: baseline, before, after, compare, accuracy)
workflow: Connects to seller workflow decisions (22 pts; keywords: workflow, seller, follow-up, deal, action)
quality: Includes quality or error segmentation (22 pts; keywords: error, stale, stage, segment, quality)
gate: Defines pilot and scale gate (18 pts; keywords: pilot, gate, scale, criteria, stop)
risk: Mentions risk or customer impact (10 pts; keywords: risk, customer, harm, confidence, review)</t>
  </si>
  <si>
    <t xml:space="preserve">A fundable pilot needs a baseline forecast accuracy comparison on similar deals, segmented by stage and stale activity. It should show that seller actions improve, not just that predictions look optimistic, and it needs a scale gate based on accuracy, customer impact, override reasons, and workflow adoption.</t>
  </si>
  <si>
    <t xml:space="preserve">DEPTH-EXP-D5-STRATEGY-080</t>
  </si>
  <si>
    <t xml:space="preserve">portfolio strategy; build buy partner; data advantage; risk appetite</t>
  </si>
  <si>
    <t xml:space="preserve">Portfolio strategy board</t>
  </si>
  <si>
    <t xml:space="preserve">AI portfolio board packet with options by value, risk, data readiness, and strategic differentiation</t>
  </si>
  <si>
    <t xml:space="preserve">Strategic AI choices depend on differentiation, risk, and readiness.</t>
  </si>
  <si>
    <t xml:space="preserve">Leadership is deciding whether to build, buy, partner, pause, or pilot across multiple AI opportunities.</t>
  </si>
  <si>
    <t xml:space="preserve">Match each strategic signal to the best portfolio move.</t>
  </si>
  <si>
    <t xml:space="preserve">Unique proprietary data creates durable customer advantage  →  Build or co-develop with strong controls   [choices: Build or co-develop with strong controls | Buy the cheapest commodity tool | Ignore governance | Measure prompt volume only]
Common back-office task with mature vendors  →  Buy/configure and measure adoption   [choices: Buy/configure and measure adoption | Build from scratch for prestige | Treat as board-level innovation | Skip procurement]
High risk and unresolved data rights  →  Pause until governance terms are resolved   [choices: Pause until governance terms are resolved | Scale to learn from mistakes | Hide risk from sponsors | Use a longer prompt]
Clear pain, measurable baseline, low risk  →  Pilot with success and stop criteria   [choices: Pilot with success and stop criteria | Delay until perfect certainty | Launch companywide | Outsource accountability]</t>
  </si>
  <si>
    <t xml:space="preserve">Unique proprietary data creates durable customer advantage → Build or co-develop with strong controls; Common back-office task with mature vendors → Buy/configure and measure adoption; High risk and unresolved data rights → Pause until governance terms are resolved; Clear pain, measurable baseline, low risk → Pilot with success and stop criteria</t>
  </si>
  <si>
    <t xml:space="preserve">DEPTH-EXP-D5-D6-081</t>
  </si>
  <si>
    <t xml:space="preserve">D5-value; D6-change</t>
  </si>
  <si>
    <t xml:space="preserve">Use-case evaluation; ROI and measurement; Portfolio prioritization; Trust and challenge culture; Change enablement; Learning and improvement loops</t>
  </si>
  <si>
    <t xml:space="preserve">benefit realization; adoption support; manager enablement; value dashboard</t>
  </si>
  <si>
    <t xml:space="preserve">Education; Financial services; Retail &amp; ecommerce; Public sector</t>
  </si>
  <si>
    <t xml:space="preserve">Value adoption dashboard</t>
  </si>
  <si>
    <t xml:space="preserve">Adoption and productivity dashboard with usage, quality, confidence, and missing learning-loop indicators</t>
  </si>
  <si>
    <t xml:space="preserve">The best dashboard combines value, quality, adoption, and learning evidence.</t>
  </si>
  <si>
    <t xml:space="preserve">A COO wants a dashboard to decide whether AI drafting should expand beyond one department.</t>
  </si>
  <si>
    <t xml:space="preserve">Which measures belong in the expansion dashboard?</t>
  </si>
  <si>
    <t xml:space="preserve">✔ outcome: Workflow outcome vs baseline, such as cycle time or resolved tickets.  (score 25)
✔ quality: Quality defects, rework, exceptions, and customer-impact incidents.  (score 25)
✔ adoption: Sustained use by role and manager coaching coverage.  (score 25)
✔ learning: Override reasons, user feedback, and prompt/workflow updates.  (score 25)
· volume: Total prompts sent as the single success metric.  (score 0)</t>
  </si>
  <si>
    <t xml:space="preserve">outcome; quality; adoption; learning  (multi-select: all required)</t>
  </si>
  <si>
    <t xml:space="preserve">outcome: Correct. Value needs a baseline outcome.
quality: Correct. Speed without quality is incomplete.
adoption: Correct. Change evidence matters for scale.
learning: Correct. Learning loops show whether the system improves.
volume: Activity volume alone does not prove value.</t>
  </si>
  <si>
    <t xml:space="preserve">DEPTH-EXP-D6-CHANGE-082</t>
  </si>
  <si>
    <t xml:space="preserve">manager enablement; communication; training plan; support channel</t>
  </si>
  <si>
    <t xml:space="preserve">Manager enablement plan</t>
  </si>
  <si>
    <t xml:space="preserve">AI rollout plan with manager checklist, training sessions, support channel, and feedback loop gaps</t>
  </si>
  <si>
    <t xml:space="preserve">Change leadership asks what managers will do after access is granted.</t>
  </si>
  <si>
    <t xml:space="preserve">A company launches an AI assistant, but managers are unsure how to coach safe and useful use.</t>
  </si>
  <si>
    <t xml:space="preserve">Write a 30-day manager enablement plan in 2-4 sentences.</t>
  </si>
  <si>
    <t xml:space="preserve">examples: Gives role-specific examples (22 pts; keywords: example, workflow, role, scenario, task)
review: Defines review routines (22 pts; keywords: review, check, quality, override, sample)
support: Creates support channel or office hours (18 pts; keywords: support, office hours, channel, questions, help)
feedback: Uses feedback loop (22 pts; keywords: feedback, learn, loop, update, share)
metric: Tracks adoption and quality (14 pts; keywords: metric, adoption, quality, measure, trust)</t>
  </si>
  <si>
    <t xml:space="preserve">Give managers role-specific starter workflows and a checklist for evidence, data, and review. Hold weekly office hours, sample AI-assisted outputs with teams, collect override and question patterns, and update guidance while tracking adoption, quality, trust, and support needs over 30 days.</t>
  </si>
  <si>
    <t xml:space="preserve">DEPTH-EXP-D6-CHANGE-083</t>
  </si>
  <si>
    <t xml:space="preserve">D6-change; D4-governance</t>
  </si>
  <si>
    <t xml:space="preserve">Trust and challenge culture; Change enablement; Learning and improvement loops; Regulatory and policy fluency; Fairness, ethics, and rights; Security and governance controls</t>
  </si>
  <si>
    <t xml:space="preserve">change resistance; trust repair; incident learning; accountability</t>
  </si>
  <si>
    <t xml:space="preserve">Trust repair map</t>
  </si>
  <si>
    <t xml:space="preserve">Incident timeline showing AI error, customer impact, manager confusion, and weak learning ownership</t>
  </si>
  <si>
    <t xml:space="preserve">Trust repair requires governance fixes and human change routines.</t>
  </si>
  <si>
    <t xml:space="preserve">Teams lose trust after an AI incident and managers receive conflicting guidance.</t>
  </si>
  <si>
    <t xml:space="preserve">Match each trust signal to the leadership action.</t>
  </si>
  <si>
    <t xml:space="preserve">Employees fear blame for AI mistakes  →  Use blameless review focused on controls and learning   [choices: Use blameless review focused on controls and learning | Name and shame reviewers | Hide incidents | Remove all questions]
Managers give different rules for the same workflow  →  Publish one approved playbook and escalation path   [choices: Publish one approved playbook and escalation path | Let each team guess | Ask the model to set policy | Track only logins]
Same error repeats after fixes  →  Assign owner for root cause and prevention metrics   [choices: Assign owner for root cause and prevention metrics | Ignore because speed improved | Disable audit logs | Reward prompt volume]
Users avoid useful low-risk AI tasks  →  Coach safe starter workflows with visible review support   [choices: Coach safe starter workflows with visible review support | Mandate high-risk automation | Cancel all training | Hide examples]</t>
  </si>
  <si>
    <t xml:space="preserve">Employees fear blame for AI mistakes → Use blameless review focused on controls and learning; Managers give different rules for the same workflow → Publish one approved playbook and escalation path; Same error repeats after fixes → Assign owner for root cause and prevention metrics; Users avoid useful low-risk AI tasks → Coach safe starter workflows with visible review support</t>
  </si>
  <si>
    <t xml:space="preserve">DEPTH-EXP-D6-COLLAB-084</t>
  </si>
  <si>
    <t xml:space="preserve">challenge culture; peer review; shared criteria; learning ownership</t>
  </si>
  <si>
    <t xml:space="preserve">/stimuli/gen-exp-school-policy-draft.svg</t>
  </si>
  <si>
    <t xml:space="preserve">Group AI review</t>
  </si>
  <si>
    <t xml:space="preserve">Group project draft with AI summary, source mismatch, reviewer notes, and missing challenge step</t>
  </si>
  <si>
    <t xml:space="preserve">Healthy collaboration makes evidence, disagreement, and reviewer roles visible.</t>
  </si>
  <si>
    <t xml:space="preserve">A project team uses AI to summarize sources, but one member notices a source exception was removed from the final draft.</t>
  </si>
  <si>
    <t xml:space="preserve">Which collaboration moves should the team use before submitting?</t>
  </si>
  <si>
    <t xml:space="preserve">✔ reviewer: Assign a named reviewer for the final source-faithfulness check.  (score 25)
✔ source: Compare the final wording against the source exception.  (score 25)
✔ challenge: Invite and document the teammate challenge before final approval.  (score 25)
✔ learn: Update the team prompt or checklist so exceptions are preserved next time.  (score 25)
· speed: Submit quickly because the AI summary is shorter.  (score 0)</t>
  </si>
  <si>
    <t xml:space="preserve">reviewer; source; challenge; learn  (multi-select: all required)</t>
  </si>
  <si>
    <t xml:space="preserve">reviewer: Correct. Role clarity prevents invisible gaps.
source: Correct. The source exception is material.
challenge: Correct. Challenge culture improves quality.
learn: Correct. Collaboration improves through learning loops.
speed: Speed should not erase important source conditions.</t>
  </si>
  <si>
    <t xml:space="preserve">DEPTH-EXP-D6-CHANGE-085</t>
  </si>
  <si>
    <t xml:space="preserve">D6-change; D5-value</t>
  </si>
  <si>
    <t xml:space="preserve">Trust and challenge culture; Change enablement; Learning and improvement loops; Use-case evaluation; ROI and measurement; Portfolio prioritization</t>
  </si>
  <si>
    <t xml:space="preserve">change rollout; pilot learning; adoption metrics; scale criteria</t>
  </si>
  <si>
    <t xml:space="preserve">AI rollout sequence</t>
  </si>
  <si>
    <t xml:space="preserve">Rollout plan with pilot group, training gap, support channel, quality review, and scale decision</t>
  </si>
  <si>
    <t xml:space="preserve">The order links human adoption work to value realization.</t>
  </si>
  <si>
    <t xml:space="preserve">A department wants to scale an AI assistant after a promising pilot, but adoption is uneven.</t>
  </si>
  <si>
    <t xml:space="preserve">Order the scale-readiness steps.</t>
  </si>
  <si>
    <t xml:space="preserve">#1  listen: Review user feedback, override reasons, and adoption barriers.
#2  coach: Coach managers on safe role-specific workflows.
#3  measure: Measure quality, value, trust, and support demand against baseline.
#4  adjust: Update prompts, controls, and training for weak spots.
#5  scale: Scale only where evidence and manager support are strong.</t>
  </si>
  <si>
    <t xml:space="preserve">listen &gt; coach &gt; measure &gt; adjust &gt; scale</t>
  </si>
  <si>
    <t xml:space="preserve">DEPTH-EXP-D1-D2-086</t>
  </si>
  <si>
    <t xml:space="preserve">D1-concepts; D1-systems; D2-prompting</t>
  </si>
  <si>
    <t xml:space="preserve">Core AI concepts; Generative AI mechanics; Capability boundaries; AI systems literacy; Prompt design; Tool selection and integration; Output refinement</t>
  </si>
  <si>
    <t xml:space="preserve">model vs app; RAG; memory; prompt repair</t>
  </si>
  <si>
    <t xml:space="preserve">AI assistant anatomy</t>
  </si>
  <si>
    <t xml:space="preserve">AI concept workbench with model, app, retrieval, memory, and prompt components</t>
  </si>
  <si>
    <t xml:space="preserve">Match each assistant behavior to the concept a user should understand.</t>
  </si>
  <si>
    <t xml:space="preserve">A training cohort is reviewing why one AI assistant answered from stale memory while another used current policy sources.</t>
  </si>
  <si>
    <t xml:space="preserve">Match each behavior to the best explanation.</t>
  </si>
  <si>
    <t xml:space="preserve">The model gives a plausible answer without the new policy  →  Training data or prior context may be stale   [choices: Training data or prior context may be stale | The answer is automatically audited | The prompt is always perfect | The app has no settings]
The assistant quotes the approved policy repository  →  Retrieval is grounding the answer in a source   [choices: Retrieval is grounding the answer in a source | Memory replaces governance | A benchmark approved the output | The UI color created accuracy]
The app remembers a user preference next week  →  Saved memory is part of the product system   [choices: Saved memory is part of the product system | The base model changed every file | The prompt disappeared | No privacy review can apply]
The user tells AI to cite evidence and mark uncertainty  →  Prompt constraints guide the task and review behavior   [choices: Prompt constraints guide the task and review behavior | A license term | A fraud signal | An adoption metric]</t>
  </si>
  <si>
    <t xml:space="preserve">The model gives a plausible answer without the new policy → Training data or prior context may be stale; The assistant quotes the approved policy repository → Retrieval is grounding the answer in a source; The app remembers a user preference next week → Saved memory is part of the product system; The user tells AI to cite evidence and mark uncertainty → Prompt constraints guide the task and review behavior</t>
  </si>
  <si>
    <t xml:space="preserve">DEPTH-EXP-D2-D5-087</t>
  </si>
  <si>
    <t xml:space="preserve">D2-workflows; D5-strategy</t>
  </si>
  <si>
    <t xml:space="preserve">Tool selection and integration; Agentic workflows; Output refinement; Use-case evaluation; Portfolio prioritization; Strategy and transformation</t>
  </si>
  <si>
    <t xml:space="preserve">agent workflow; portfolio gate; operating model; scale criteria</t>
  </si>
  <si>
    <t xml:space="preserve">Workflow-to-strategy gate</t>
  </si>
  <si>
    <t xml:space="preserve">Executive board packet showing AI portfolio options, workflow readiness, controls, and scale gates</t>
  </si>
  <si>
    <t xml:space="preserve">Strategy becomes practical only when workflow design and scale evidence connect.</t>
  </si>
  <si>
    <t xml:space="preserve">A transformation sponsor wants to move from scattered AI experiments to a governed portfolio of repeatable workflows.</t>
  </si>
  <si>
    <t xml:space="preserve">Order the operating steps.</t>
  </si>
  <si>
    <t xml:space="preserve">#1  inventory: Inventory workflows by pain, volume, risk, and owner.
#2  pattern: Choose reusable AI patterns such as retrieval, drafting, or triage.
#3  controls: Define data, tool, review, and escalation controls.
#4  pilot: Pilot with baseline, success, stop, and learning criteria.
#5  portfolio: Fund scale only for patterns that meet evidence gates.</t>
  </si>
  <si>
    <t xml:space="preserve">inventory &gt; pattern &gt; controls &gt; pilot &gt; portfolio</t>
  </si>
  <si>
    <t xml:space="preserve">DEPTH-EXP-D3-MEDIA-088</t>
  </si>
  <si>
    <t xml:space="preserve">login fraud; deepfake lure; account security; artifact review</t>
  </si>
  <si>
    <t xml:space="preserve">/stimuli/fraud-login.svg</t>
  </si>
  <si>
    <t xml:space="preserve">Login alert review</t>
  </si>
  <si>
    <t xml:space="preserve">Suspicious login alert with unfamiliar device, urgent link, mismatched domain, and support chat pressure</t>
  </si>
  <si>
    <t xml:space="preserve">The user must inspect link, domain, device, timing, and pressure cues.</t>
  </si>
  <si>
    <t xml:space="preserve">A login alert says an account will be locked unless the user verifies through a link in the message.</t>
  </si>
  <si>
    <t xml:space="preserve">Which signals should stop the user from clicking the link?</t>
  </si>
  <si>
    <t xml:space="preserve">✔ domain: The link domain does not match the service domain.  (score 25)
✔ pressure: The message uses urgent account-lock pressure.  (score 25)
✔ device: The device/location claim should be checked independently.  (score 25)
✔ channel: The safest path is opening the service directly, not the message link.  (score 25)
· logo: The logo looks familiar, so the link is safe.  (score 0)</t>
  </si>
  <si>
    <t xml:space="preserve">domain; pressure; device; channel  (multi-select: all required)</t>
  </si>
  <si>
    <t xml:space="preserve">domain: Correct. Domain mismatch is a high-value signal.
pressure: Correct. Pressure can push users past verification.
device: Correct. Use the account app or known URL.
channel: Correct. Official-channel verification reduces fraud risk.
logo: Brand visuals can be copied.</t>
  </si>
  <si>
    <t xml:space="preserve">DEPTH-EXP-D3-D6-089</t>
  </si>
  <si>
    <t xml:space="preserve">D3-media; D6-change</t>
  </si>
  <si>
    <t xml:space="preserve">Media provenance; Fraud and manipulation detection; Trust and challenge culture; Change enablement; Learning and improvement loops</t>
  </si>
  <si>
    <t xml:space="preserve">media provenance; team response; communication; learning loop</t>
  </si>
  <si>
    <t xml:space="preserve">HR &amp; People; Finance; Marketing; Sales; Customer Service; Engineering &amp; Data; Operations</t>
  </si>
  <si>
    <t xml:space="preserve">/stimuli/flood-claim-review-dashboard.png</t>
  </si>
  <si>
    <t xml:space="preserve">Viral claim review dashboard</t>
  </si>
  <si>
    <t xml:space="preserve">Analyst dashboard comparing a viral flood claim against weather, traffic-camera, source-history, and alert evidence.</t>
  </si>
  <si>
    <t xml:space="preserve">The written answer should combine verification evidence and team communication.</t>
  </si>
  <si>
    <t xml:space="preserve">A team chat is about to repost an urgent disaster image, while an analyst dashboard shows mixed evidence about timing, weather, traffic, and source history.</t>
  </si>
  <si>
    <t xml:space="preserve">Write 2-4 sentences telling the group what to do next and how to improve future sharing.</t>
  </si>
  <si>
    <t xml:space="preserve">provenance: Requires source/date/location verification (32 pts; keywords: source, date, location, original, verify)
avoid: Avoids amplifying unverified content (24 pts; keywords: unverified, do not share, avoid, wait, caution)
official: Uses official or trusted updates (20 pts; keywords: official, trusted, authority, news, local)
norm: Creates a team norm or learning loop (22 pts; keywords: rule, norm, checklist, next time, team)</t>
  </si>
  <si>
    <t xml:space="preserve">Do not repost it yet. Check the original source, timestamp, location clues, and official local updates, and label it unverified until confirmed. For future urgent posts, use a team checklist: source, date, location, and trusted confirmation before sharing.</t>
  </si>
  <si>
    <t xml:space="preserve">DEPTH-EXP-D1-CONCEPTS-090</t>
  </si>
  <si>
    <t xml:space="preserve">hallucination; grounding; temperature; model limits</t>
  </si>
  <si>
    <t xml:space="preserve">Model limits review</t>
  </si>
  <si>
    <t xml:space="preserve">AI concept card contrasting fluent answers, grounded answers, temperature, and model limits</t>
  </si>
  <si>
    <t xml:space="preserve">The item checks whether users can explain common AI reliability misconceptions.</t>
  </si>
  <si>
    <t xml:space="preserve">A workshop participant says a lower temperature, longer prompt, and confident citation style guarantee that an AI answer is true.</t>
  </si>
  <si>
    <t xml:space="preserve">Which corrections should the facilitator make?</t>
  </si>
  <si>
    <t xml:space="preserve">✔ grounding: Truth requires support from reliable sources or validated evidence.  (score 25)
✔ temperature: Lower temperature may reduce variation but does not guarantee correctness.  (score 25)
✔ citation: Citation style must be checked against the actual source.  (score 25)
✔ verify: Users should compare important claims with source material before acting.  (score 25)
· guarantee: A confident answer is enough when the prompt is detailed.  (score 0)</t>
  </si>
  <si>
    <t xml:space="preserve">grounding; temperature; citation; verify  (multi-select: all required)</t>
  </si>
  <si>
    <t xml:space="preserve">grounding: Correct. Grounding and verification are separate from style.
temperature: Correct. Sampling settings are not fact checks.
citation: Correct. A citation-looking answer can still mismatch evidence.
verify: Correct. Verification is the practical behavior.
guarantee: Confidence is not evidence.</t>
  </si>
  <si>
    <t xml:space="preserve">DEPTH-EXP-D2-PROMPT-091</t>
  </si>
  <si>
    <t xml:space="preserve">prompt repair; source constraints; output format; review checks</t>
  </si>
  <si>
    <t xml:space="preserve">Customer notes prompt audit</t>
  </si>
  <si>
    <t xml:space="preserve">Customer notes with verified facts, unknown account details, policy constraints, and a weak AI prompt</t>
  </si>
  <si>
    <t xml:space="preserve">Select the missing prompt ingredients before asking AI for a customer-facing draft.</t>
  </si>
  <si>
    <t xml:space="preserve">A teammate prompts AI with “write a customer update” after pasting notes that include verified facts, unknowns, and policy limits.</t>
  </si>
  <si>
    <t xml:space="preserve">Which prompt additions would make the AI draft more usable and safer?</t>
  </si>
  <si>
    <t xml:space="preserve">✔ facts: Tell AI to use only verified notes and approved policy language.  (score 25)
✔ unknowns: Require missing facts to be listed instead of guessed.  (score 25)
✔ format: Specify output sections: draft, evidence used, and open questions.  (score 25)
✔ review: Add a final checklist for factual accuracy, tone, and approval needs.  (score 25)
· flair: Ask for a persuasive answer even if facts are missing.  (score 0)</t>
  </si>
  <si>
    <t xml:space="preserve">facts; unknowns; format; review  (multi-select: all required)</t>
  </si>
  <si>
    <t xml:space="preserve">facts: Correct. Source constraints reduce invented claims.
unknowns: Correct. Unknowns should stay visible.
format: Correct. Format makes review easier.
review: Correct. Review checks turn drafting into a workflow.
flair: Persuasion without evidence creates risk.</t>
  </si>
  <si>
    <t xml:space="preserve">TREND-D1-CORE-CONCEPTS-AWARENESS-01</t>
  </si>
  <si>
    <t xml:space="preserve">Market trends</t>
  </si>
  <si>
    <t xml:space="preserve">judgment</t>
  </si>
  <si>
    <t xml:space="preserve">D1-core-concepts</t>
  </si>
  <si>
    <t xml:space="preserve">Core AI concepts</t>
  </si>
  <si>
    <t xml:space="preserve">AI vocabulary; LLM basics; models vs apps; capability patterns; AI market trends; agentic AI; multimodal AI; evaluation</t>
  </si>
  <si>
    <t xml:space="preserve">A teammate says the company should adopt AI agents because every new model can now take actions across tools. Focus competency: Core AI concepts. The user should show they recognizes core ai concepts using practical signals such as AI vocabulary, LLM basics, models vs apps.</t>
  </si>
  <si>
    <t xml:space="preserve">Which first question best checks whether the user understands this current AI trend?</t>
  </si>
  <si>
    <t xml:space="preserve">✔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</si>
  <si>
    <t xml:space="preserve">best: Ask what task the agent will perform, what tools it can access, what approval gates exist, and where a human remains accountable.</t>
  </si>
  <si>
    <t xml:space="preserve">best: Strong awareness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</si>
  <si>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TREND-D1-CORE-CONCEPTS-APPLIED-01</t>
  </si>
  <si>
    <t xml:space="preserve">A content team wants to use AI to generate campaign copy, short video drafts, and product images from a single brief. Focus competency: Core AI concepts. The user should show they uses core ai concepts using practical signals such as AI vocabulary, LLM basics, models vs apps.</t>
  </si>
  <si>
    <t xml:space="preserve">What practical setup best tests this capability without over-trusting the output?</t>
  </si>
  <si>
    <t xml:space="preserve">✔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</si>
  <si>
    <t xml:space="preserve">best: Create a source-backed brief, define brand/IP checks, review image and video claims separately, and measure revision rate before scaling.</t>
  </si>
  <si>
    <t xml:space="preserve">best: Strong applied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</si>
  <si>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TREND-D1-CORE-CONCEPTS-APPLIED-02</t>
  </si>
  <si>
    <t xml:space="preserve">A team is moving from prompt-only chat to a RAG assistant over policies, tickets, and product documents. Focus competency: Core AI concepts. The user should show they uses core ai concepts using practical signals such as AI vocabulary, LLM basics, models vs apps.</t>
  </si>
  <si>
    <t xml:space="preserve">Which applied action best shows understanding of context engineering and retrieval quality?</t>
  </si>
  <si>
    <t xml:space="preserve">✔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</si>
  <si>
    <t xml:space="preserve">best: Test whether retrieved sources are current, relevant, cited, and sufficient for the answer before trusting the assistant.</t>
  </si>
  <si>
    <t xml:space="preserve">TREND-D1-CORE-CONCEPTS-PROFICIENT-01</t>
  </si>
  <si>
    <t xml:space="preserve">An operations group wants an AI agent to triage requests, update records, and trigger follow-up emails. Focus competency: Core AI concepts. The user should show they handles tradeoffs in core ai concepts using practical signals such as AI vocabulary, LLM basics, models vs apps.</t>
  </si>
  <si>
    <t xml:space="preserve">Which response best handles the tradeoffs in current agent deployment?</t>
  </si>
  <si>
    <t xml:space="preserve">✔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</si>
  <si>
    <t xml:space="preserve">best: Start read-only, log every proposed action, require approval for customer-impacting writes, monitor failures, and expand authority only after evidence improves.</t>
  </si>
  <si>
    <t xml:space="preserve">best: Strong proficient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</si>
  <si>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TREND-D1-CORE-CONCEPTS-PROFICIENT-02</t>
  </si>
  <si>
    <t xml:space="preserve">A vendor shows high benchmark scores for a domain-specific model and claims it will outperform general models in your workflow. Focus competency: Core AI concepts. The user should show they handles tradeoffs in core ai concepts using practical signals such as AI vocabulary, LLM basics, models vs apps.</t>
  </si>
  <si>
    <t xml:space="preserve">What is the strongest proficient evaluation response?</t>
  </si>
  <si>
    <t xml:space="preserve">✔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</si>
  <si>
    <t xml:space="preserve">best: Run a task-specific eval with your data, failure cases, cost/latency constraints, safety checks, and reviewer agreement before selecting the model.</t>
  </si>
  <si>
    <t xml:space="preserve">TREND-D1-CORE-CONCEPTS-ADVANCED-01</t>
  </si>
  <si>
    <t xml:space="preserve">Advanced</t>
  </si>
  <si>
    <t xml:space="preserve">Leadership wants to scale generative AI, agents, and multimodal workflows across functions while governance capacity is limited. Focus competency: Core AI concepts. The user should show they designs scalable controls for core ai concepts using practical signals such as AI vocabulary, LLM basics, models vs apps.</t>
  </si>
  <si>
    <t xml:space="preserve">Which advanced decision best reflects the 2026 AI market shift from experimentation to operating model?</t>
  </si>
  <si>
    <t xml:space="preserve">✔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</si>
  <si>
    <t xml:space="preserve">best: Create a tiered AI operating model with use-case intake, risk-based controls, eval evidence, incident review, role training, and measurable value gates.</t>
  </si>
  <si>
    <t xml:space="preserve">best: Strong advanced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</si>
  <si>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TREND-D1-CORE-CONCEPTS-ADVANCED-02</t>
  </si>
  <si>
    <t xml:space="preserve">A regional business wants AI systems that respect local language, sector rules, data residency, and vendor dependence concerns. Focus competency: Core AI concepts. The user should show they designs scalable controls for core ai concepts using practical signals such as AI vocabulary, LLM basics, models vs apps.</t>
  </si>
  <si>
    <t xml:space="preserve">What is the strongest advanced response?</t>
  </si>
  <si>
    <t xml:space="preserve">✔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</si>
  <si>
    <t xml:space="preserve">best: Compare model capability with data residency, language performance, auditability, vendor exit paths, and local regulatory obligations before designing the rollout.</t>
  </si>
  <si>
    <t xml:space="preserve">TREND-D1-GENAI-MECHANICS-AWARENESS-01</t>
  </si>
  <si>
    <t xml:space="preserve">D1-genai-mechanics</t>
  </si>
  <si>
    <t xml:space="preserve">Generative AI mechanics</t>
  </si>
  <si>
    <t xml:space="preserve">tokens; embeddings; RAG and grounding; fine-tuning; AI market trends; agentic AI; multimodal AI; evaluation</t>
  </si>
  <si>
    <t xml:space="preserve">Marketing; Engineering &amp; Data</t>
  </si>
  <si>
    <t xml:space="preserve">A teammate says the company should adopt AI agents because every new model can now take actions across tools. Focus competency: Generative AI mechanics. The user should show they recognizes generative ai mechanics using practical signals such as tokens, embeddings, RAG and grounding.</t>
  </si>
  <si>
    <t xml:space="preserve">best: Strong awareness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</si>
  <si>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TREND-D1-GENAI-MECHANICS-APPLIED-01</t>
  </si>
  <si>
    <t xml:space="preserve">A content team wants to use AI to generate campaign copy, short video drafts, and product images from a single brief. Focus competency: Generative AI mechanics. The user should show they uses generative ai mechanics using practical signals such as tokens, embeddings, RAG and grounding.</t>
  </si>
  <si>
    <t xml:space="preserve">best: Strong applied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</si>
  <si>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TREND-D1-GENAI-MECHANICS-APPLIED-02</t>
  </si>
  <si>
    <t xml:space="preserve">A team is moving from prompt-only chat to a RAG assistant over policies, tickets, and product documents. Focus competency: Generative AI mechanics. The user should show they uses generative ai mechanics using practical signals such as tokens, embeddings, RAG and grounding.</t>
  </si>
  <si>
    <t xml:space="preserve">TREND-D1-GENAI-MECHANICS-PROFICIENT-01</t>
  </si>
  <si>
    <t xml:space="preserve">An operations group wants an AI agent to triage requests, update records, and trigger follow-up emails. Focus competency: Generative AI mechanics. The user should show they handles tradeoffs in generative ai mechanics using practical signals such as tokens, embeddings, RAG and grounding.</t>
  </si>
  <si>
    <t xml:space="preserve">best: Strong proficient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</si>
  <si>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TREND-D1-GENAI-MECHANICS-PROFICIENT-02</t>
  </si>
  <si>
    <t xml:space="preserve">A vendor shows high benchmark scores for a domain-specific model and claims it will outperform general models in your workflow. Focus competency: Generative AI mechanics. The user should show they handles tradeoffs in generative ai mechanics using practical signals such as tokens, embeddings, RAG and grounding.</t>
  </si>
  <si>
    <t xml:space="preserve">TREND-D1-GENAI-MECHANICS-ADVANCED-01</t>
  </si>
  <si>
    <t xml:space="preserve">Leadership wants to scale generative AI, agents, and multimodal workflows across functions while governance capacity is limited. Focus competency: Generative AI mechanics. The user should show they designs scalable controls for generative ai mechanics using practical signals such as tokens, embeddings, RAG and grounding.</t>
  </si>
  <si>
    <t xml:space="preserve">best: Strong advanced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</si>
  <si>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TREND-D1-GENAI-MECHANICS-ADVANCED-02</t>
  </si>
  <si>
    <t xml:space="preserve">A regional business wants AI systems that respect local language, sector rules, data residency, and vendor dependence concerns. Focus competency: Generative AI mechanics. The user should show they designs scalable controls for generative ai mechanics using practical signals such as tokens, embeddings, RAG and grounding.</t>
  </si>
  <si>
    <t xml:space="preserve">TREND-D1-CAPABILITY-LIMITS-AWARENESS-01</t>
  </si>
  <si>
    <t xml:space="preserve">D1-capability-limits</t>
  </si>
  <si>
    <t xml:space="preserve">Capability boundaries</t>
  </si>
  <si>
    <t xml:space="preserve">hallucination; staleness; uncertainty; model limits; AI market trends; agentic AI; multimodal AI; evaluation</t>
  </si>
  <si>
    <t xml:space="preserve">Sales; Customer Service</t>
  </si>
  <si>
    <t xml:space="preserve">Board / Investor</t>
  </si>
  <si>
    <t xml:space="preserve">A teammate says the company should adopt AI agents because every new model can now take actions across tools. Focus competency: Capability boundaries. The user should show they recognizes capability boundaries using practical signals such as hallucination, staleness, uncertainty.</t>
  </si>
  <si>
    <t xml:space="preserve">best: Strong awareness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</si>
  <si>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TREND-D1-CAPABILITY-LIMITS-APPLIED-01</t>
  </si>
  <si>
    <t xml:space="preserve">A content team wants to use AI to generate campaign copy, short video drafts, and product images from a single brief. Focus competency: Capability boundaries. The user should show they uses capability boundaries using practical signals such as hallucination, staleness, uncertainty.</t>
  </si>
  <si>
    <t xml:space="preserve">best: Strong applied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</si>
  <si>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TREND-D1-CAPABILITY-LIMITS-APPLIED-02</t>
  </si>
  <si>
    <t xml:space="preserve">A team is moving from prompt-only chat to a RAG assistant over policies, tickets, and product documents. Focus competency: Capability boundaries. The user should show they uses capability boundaries using practical signals such as hallucination, staleness, uncertainty.</t>
  </si>
  <si>
    <t xml:space="preserve">TREND-D1-CAPABILITY-LIMITS-PROFICIENT-01</t>
  </si>
  <si>
    <t xml:space="preserve">An operations group wants an AI agent to triage requests, update records, and trigger follow-up emails. Focus competency: Capability boundaries. The user should show they handles tradeoffs in capability boundaries using practical signals such as hallucination, staleness, uncertainty.</t>
  </si>
  <si>
    <t xml:space="preserve">best: Strong proficient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</si>
  <si>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TREND-D1-CAPABILITY-LIMITS-PROFICIENT-02</t>
  </si>
  <si>
    <t xml:space="preserve">A vendor shows high benchmark scores for a domain-specific model and claims it will outperform general models in your workflow. Focus competency: Capability boundaries. The user should show they handles tradeoffs in capability boundaries using practical signals such as hallucination, staleness, uncertainty.</t>
  </si>
  <si>
    <t xml:space="preserve">TREND-D1-CAPABILITY-LIMITS-ADVANCED-01</t>
  </si>
  <si>
    <t xml:space="preserve">Leadership wants to scale generative AI, agents, and multimodal workflows across functions while governance capacity is limited. Focus competency: Capability boundaries. The user should show they designs scalable controls for capability boundaries using practical signals such as hallucination, staleness, uncertainty.</t>
  </si>
  <si>
    <t xml:space="preserve">best: Strong advanced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</si>
  <si>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TREND-D1-CAPABILITY-LIMITS-ADVANCED-02</t>
  </si>
  <si>
    <t xml:space="preserve">A regional business wants AI systems that respect local language, sector rules, data residency, and vendor dependence concerns. Focus competency: Capability boundaries. The user should show they designs scalable controls for capability boundaries using practical signals such as hallucination, staleness, uncertainty.</t>
  </si>
  <si>
    <t xml:space="preserve">TREND-D1-AI-SYSTEMS-AWARENESS-01</t>
  </si>
  <si>
    <t xml:space="preserve">D1-ai-systems</t>
  </si>
  <si>
    <t xml:space="preserve">AI systems literacy</t>
  </si>
  <si>
    <t xml:space="preserve">context windows; memory; tool connectors; agent components; AI market trends; agentic AI; multimodal AI; evaluation</t>
  </si>
  <si>
    <t xml:space="preserve">General work; Finance; Engineering &amp; Data; Operations</t>
  </si>
  <si>
    <t xml:space="preserve">A teammate says the company should adopt AI agents because every new model can now take actions across tools. Focus competency: AI systems literacy. The user should show they recognizes ai systems literacy using practical signals such as context windows, memory, tool connectors.</t>
  </si>
  <si>
    <t xml:space="preserve">best: Strong awareness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</si>
  <si>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TREND-D1-AI-SYSTEMS-APPLIED-01</t>
  </si>
  <si>
    <t xml:space="preserve">A content team wants to use AI to generate campaign copy, short video drafts, and product images from a single brief. Focus competency: AI systems literacy. The user should show they uses ai systems literacy using practical signals such as context windows, memory, tool connectors.</t>
  </si>
  <si>
    <t xml:space="preserve">best: Strong applied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</si>
  <si>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TREND-D1-AI-SYSTEMS-APPLIED-02</t>
  </si>
  <si>
    <t xml:space="preserve">A team is moving from prompt-only chat to a RAG assistant over policies, tickets, and product documents. Focus competency: AI systems literacy. The user should show they uses ai systems literacy using practical signals such as context windows, memory, tool connectors.</t>
  </si>
  <si>
    <t xml:space="preserve">TREND-D1-AI-SYSTEMS-PROFICIENT-01</t>
  </si>
  <si>
    <t xml:space="preserve">An operations group wants an AI agent to triage requests, update records, and trigger follow-up emails. Focus competency: AI systems literacy. The user should show they handles tradeoffs in ai systems literacy using practical signals such as context windows, memory, tool connectors.</t>
  </si>
  <si>
    <t xml:space="preserve">best: Strong proficient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</si>
  <si>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TREND-D1-AI-SYSTEMS-PROFICIENT-02</t>
  </si>
  <si>
    <t xml:space="preserve">A vendor shows high benchmark scores for a domain-specific model and claims it will outperform general models in your workflow. Focus competency: AI systems literacy. The user should show they handles tradeoffs in ai systems literacy using practical signals such as context windows, memory, tool connectors.</t>
  </si>
  <si>
    <t xml:space="preserve">TREND-D1-AI-SYSTEMS-ADVANCED-01</t>
  </si>
  <si>
    <t xml:space="preserve">Leadership wants to scale generative AI, agents, and multimodal workflows across functions while governance capacity is limited. Focus competency: AI systems literacy. The user should show they designs scalable controls for ai systems literacy using practical signals such as context windows, memory, tool connectors.</t>
  </si>
  <si>
    <t xml:space="preserve">best: Strong advanced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</si>
  <si>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TREND-D1-AI-SYSTEMS-ADVANCED-02</t>
  </si>
  <si>
    <t xml:space="preserve">A regional business wants AI systems that respect local language, sector rules, data residency, and vendor dependence concerns. Focus competency: AI systems literacy. The user should show they designs scalable controls for ai systems literacy using practical signals such as context windows, memory, tool connectors.</t>
  </si>
  <si>
    <t xml:space="preserve">TREND-D2-PROMPT-DESIGN-AWARENESS-01</t>
  </si>
  <si>
    <t xml:space="preserve">D2-prompt-design</t>
  </si>
  <si>
    <t xml:space="preserve">Prompt design</t>
  </si>
  <si>
    <t xml:space="preserve">prompt repair; role and task framing; constraints; examples; AI market trends; agentic AI; multimodal AI; evaluation</t>
  </si>
  <si>
    <t xml:space="preserve">General work; HR &amp; People; Marketing; Sales; Customer Service</t>
  </si>
  <si>
    <t xml:space="preserve">A teammate says the company should adopt AI agents because every new model can now take actions across tools. Focus competency: Prompt design. The user should show they recognizes prompt design using practical signals such as prompt repair, role and task framing, constraints.</t>
  </si>
  <si>
    <t xml:space="preserve">best: Strong awareness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</si>
  <si>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TREND-D2-PROMPT-DESIGN-APPLIED-01</t>
  </si>
  <si>
    <t xml:space="preserve">A content team wants to use AI to generate campaign copy, short video drafts, and product images from a single brief. Focus competency: Prompt design. The user should show they uses prompt design using practical signals such as prompt repair, role and task framing, constraints.</t>
  </si>
  <si>
    <t xml:space="preserve">best: Strong applied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</si>
  <si>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TREND-D2-PROMPT-DESIGN-APPLIED-02</t>
  </si>
  <si>
    <t xml:space="preserve">A team is moving from prompt-only chat to a RAG assistant over policies, tickets, and product documents. Focus competency: Prompt design. The user should show they uses prompt design using practical signals such as prompt repair, role and task framing, constraints.</t>
  </si>
  <si>
    <t xml:space="preserve">TREND-D2-PROMPT-DESIGN-PROFICIENT-01</t>
  </si>
  <si>
    <t xml:space="preserve">An operations group wants an AI agent to triage requests, update records, and trigger follow-up emails. Focus competency: Prompt design. The user should show they handles tradeoffs in prompt design using practical signals such as prompt repair, role and task framing, constraints.</t>
  </si>
  <si>
    <t xml:space="preserve">best: Strong proficient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</si>
  <si>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TREND-D2-PROMPT-DESIGN-PROFICIENT-02</t>
  </si>
  <si>
    <t xml:space="preserve">A vendor shows high benchmark scores for a domain-specific model and claims it will outperform general models in your workflow. Focus competency: Prompt design. The user should show they handles tradeoffs in prompt design using practical signals such as prompt repair, role and task framing, constraints.</t>
  </si>
  <si>
    <t xml:space="preserve">TREND-D2-PROMPT-DESIGN-ADVANCED-01</t>
  </si>
  <si>
    <t xml:space="preserve">Leadership wants to scale generative AI, agents, and multimodal workflows across functions while governance capacity is limited. Focus competency: Prompt design. The user should show they designs scalable controls for prompt design using practical signals such as prompt repair, role and task framing, constraints.</t>
  </si>
  <si>
    <t xml:space="preserve">best: Strong advanced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</si>
  <si>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TREND-D2-PROMPT-DESIGN-ADVANCED-02</t>
  </si>
  <si>
    <t xml:space="preserve">A regional business wants AI systems that respect local language, sector rules, data residency, and vendor dependence concerns. Focus competency: Prompt design. The user should show they designs scalable controls for prompt design using practical signals such as prompt repair, role and task framing, constraints.</t>
  </si>
  <si>
    <t xml:space="preserve">TREND-D2-TOOL-SELECTION-AWARENESS-01</t>
  </si>
  <si>
    <t xml:space="preserve">tool fit; MCP/connectors; repository use; product choice; AI market trends; agentic AI; multimodal AI; evaluation</t>
  </si>
  <si>
    <t xml:space="preserve">A teammate says the company should adopt AI agents because every new model can now take actions across tools. Focus competency: Tool selection and integration. The user should show they recognizes tool selection and integration using practical signals such as tool fit, MCP/connectors, repository use.</t>
  </si>
  <si>
    <t xml:space="preserve">best: Strong awareness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</si>
  <si>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TREND-D2-TOOL-SELECTION-APPLIED-01</t>
  </si>
  <si>
    <t xml:space="preserve">A content team wants to use AI to generate campaign copy, short video drafts, and product images from a single brief. Focus competency: Tool selection and integration. The user should show they uses tool selection and integration using practical signals such as tool fit, MCP/connectors, repository use.</t>
  </si>
  <si>
    <t xml:space="preserve">best: Strong applied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</si>
  <si>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TREND-D2-TOOL-SELECTION-APPLIED-02</t>
  </si>
  <si>
    <t xml:space="preserve">A team is moving from prompt-only chat to a RAG assistant over policies, tickets, and product documents. Focus competency: Tool selection and integration. The user should show they uses tool selection and integration using practical signals such as tool fit, MCP/connectors, repository use.</t>
  </si>
  <si>
    <t xml:space="preserve">TREND-D2-TOOL-SELECTION-PROFICIENT-01</t>
  </si>
  <si>
    <t xml:space="preserve">An operations group wants an AI agent to triage requests, update records, and trigger follow-up emails. Focus competency: Tool selection and integration. The user should show they handles tradeoffs in tool selection and integration using practical signals such as tool fit, MCP/connectors, repository use.</t>
  </si>
  <si>
    <t xml:space="preserve">best: Strong proficient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</si>
  <si>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TREND-D2-TOOL-SELECTION-PROFICIENT-02</t>
  </si>
  <si>
    <t xml:space="preserve">A vendor shows high benchmark scores for a domain-specific model and claims it will outperform general models in your workflow. Focus competency: Tool selection and integration. The user should show they handles tradeoffs in tool selection and integration using practical signals such as tool fit, MCP/connectors, repository use.</t>
  </si>
  <si>
    <t xml:space="preserve">TREND-D2-TOOL-SELECTION-ADVANCED-01</t>
  </si>
  <si>
    <t xml:space="preserve">Leadership wants to scale generative AI, agents, and multimodal workflows across functions while governance capacity is limited. Focus competency: Tool selection and integration. The user should show they designs scalable controls for tool selection and integration using practical signals such as tool fit, MCP/connectors, repository use.</t>
  </si>
  <si>
    <t xml:space="preserve">best: Strong advanced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</si>
  <si>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TREND-D2-TOOL-SELECTION-ADVANCED-02</t>
  </si>
  <si>
    <t xml:space="preserve">A regional business wants AI systems that respect local language, sector rules, data residency, and vendor dependence concerns. Focus competency: Tool selection and integration. The user should show they designs scalable controls for tool selection and integration using practical signals such as tool fit, MCP/connectors, repository use.</t>
  </si>
  <si>
    <t xml:space="preserve">TREND-D2-AGENTIC-WORKFLOWS-AWARENESS-01</t>
  </si>
  <si>
    <t xml:space="preserve">D2-agentic-workflows</t>
  </si>
  <si>
    <t xml:space="preserve">Agentic workflows</t>
  </si>
  <si>
    <t xml:space="preserve">workflow mapping; agent setup; handoffs; approval gates; AI market trends; agentic AI; multimodal AI; evaluation</t>
  </si>
  <si>
    <t xml:space="preserve">General work; Finance; Customer Service; Engineering &amp; Data; Operations</t>
  </si>
  <si>
    <t xml:space="preserve">A teammate says the company should adopt AI agents because every new model can now take actions across tools. Focus competency: Agentic workflows. The user should show they recognizes agentic workflows using practical signals such as workflow mapping, agent setup, handoffs.</t>
  </si>
  <si>
    <t xml:space="preserve">best: Strong awareness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</si>
  <si>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TREND-D2-AGENTIC-WORKFLOWS-APPLIED-01</t>
  </si>
  <si>
    <t xml:space="preserve">A content team wants to use AI to generate campaign copy, short video drafts, and product images from a single brief. Focus competency: Agentic workflows. The user should show they uses agentic workflows using practical signals such as workflow mapping, agent setup, handoffs.</t>
  </si>
  <si>
    <t xml:space="preserve">best: Strong applied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</si>
  <si>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TREND-D2-AGENTIC-WORKFLOWS-APPLIED-02</t>
  </si>
  <si>
    <t xml:space="preserve">A team is moving from prompt-only chat to a RAG assistant over policies, tickets, and product documents. Focus competency: Agentic workflows. The user should show they uses agentic workflows using practical signals such as workflow mapping, agent setup, handoffs.</t>
  </si>
  <si>
    <t xml:space="preserve">TREND-D2-AGENTIC-WORKFLOWS-PROFICIENT-01</t>
  </si>
  <si>
    <t xml:space="preserve">An operations group wants an AI agent to triage requests, update records, and trigger follow-up emails. Focus competency: Agentic workflows. The user should show they handles tradeoffs in agentic workflows using practical signals such as workflow mapping, agent setup, handoffs.</t>
  </si>
  <si>
    <t xml:space="preserve">best: Strong proficient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</si>
  <si>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TREND-D2-AGENTIC-WORKFLOWS-PROFICIENT-02</t>
  </si>
  <si>
    <t xml:space="preserve">A vendor shows high benchmark scores for a domain-specific model and claims it will outperform general models in your workflow. Focus competency: Agentic workflows. The user should show they handles tradeoffs in agentic workflows using practical signals such as workflow mapping, agent setup, handoffs.</t>
  </si>
  <si>
    <t xml:space="preserve">TREND-D2-AGENTIC-WORKFLOWS-ADVANCED-01</t>
  </si>
  <si>
    <t xml:space="preserve">Leadership wants to scale generative AI, agents, and multimodal workflows across functions while governance capacity is limited. Focus competency: Agentic workflows. The user should show they designs scalable controls for agentic workflows using practical signals such as workflow mapping, agent setup, handoffs.</t>
  </si>
  <si>
    <t xml:space="preserve">best: Strong advanced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</si>
  <si>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TREND-D2-AGENTIC-WORKFLOWS-ADVANCED-02</t>
  </si>
  <si>
    <t xml:space="preserve">A regional business wants AI systems that respect local language, sector rules, data residency, and vendor dependence concerns. Focus competency: Agentic workflows. The user should show they designs scalable controls for agentic workflows using practical signals such as workflow mapping, agent setup, handoffs.</t>
  </si>
  <si>
    <t xml:space="preserve">TREND-D2-OUTPUT-REFINEMENT-AWARENESS-01</t>
  </si>
  <si>
    <t xml:space="preserve">iteration; rubric review; context setup; quality checks; AI market trends; agentic AI; multimodal AI; evaluation</t>
  </si>
  <si>
    <t xml:space="preserve">A teammate says the company should adopt AI agents because every new model can now take actions across tools. Focus competency: Output refinement. The user should show they recognizes output refinement using practical signals such as iteration, rubric review, context setup.</t>
  </si>
  <si>
    <t xml:space="preserve">best: Strong awareness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</si>
  <si>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TREND-D2-OUTPUT-REFINEMENT-APPLIED-01</t>
  </si>
  <si>
    <t xml:space="preserve">A content team wants to use AI to generate campaign copy, short video drafts, and product images from a single brief. Focus competency: Output refinement. The user should show they uses output refinement using practical signals such as iteration, rubric review, context setup.</t>
  </si>
  <si>
    <t xml:space="preserve">best: Strong applied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</si>
  <si>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TREND-D2-OUTPUT-REFINEMENT-APPLIED-02</t>
  </si>
  <si>
    <t xml:space="preserve">A team is moving from prompt-only chat to a RAG assistant over policies, tickets, and product documents. Focus competency: Output refinement. The user should show they uses output refinement using practical signals such as iteration, rubric review, context setup.</t>
  </si>
  <si>
    <t xml:space="preserve">TREND-D2-OUTPUT-REFINEMENT-PROFICIENT-01</t>
  </si>
  <si>
    <t xml:space="preserve">An operations group wants an AI agent to triage requests, update records, and trigger follow-up emails. Focus competency: Output refinement. The user should show they handles tradeoffs in output refinement using practical signals such as iteration, rubric review, context setup.</t>
  </si>
  <si>
    <t xml:space="preserve">best: Strong proficient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</si>
  <si>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TREND-D2-OUTPUT-REFINEMENT-PROFICIENT-02</t>
  </si>
  <si>
    <t xml:space="preserve">A vendor shows high benchmark scores for a domain-specific model and claims it will outperform general models in your workflow. Focus competency: Output refinement. The user should show they handles tradeoffs in output refinement using practical signals such as iteration, rubric review, context setup.</t>
  </si>
  <si>
    <t xml:space="preserve">TREND-D2-OUTPUT-REFINEMENT-ADVANCED-01</t>
  </si>
  <si>
    <t xml:space="preserve">Leadership wants to scale generative AI, agents, and multimodal workflows across functions while governance capacity is limited. Focus competency: Output refinement. The user should show they designs scalable controls for output refinement using practical signals such as iteration, rubric review, context setup.</t>
  </si>
  <si>
    <t xml:space="preserve">best: Strong advanced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</si>
  <si>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TREND-D2-OUTPUT-REFINEMENT-ADVANCED-02</t>
  </si>
  <si>
    <t xml:space="preserve">A regional business wants AI systems that respect local language, sector rules, data residency, and vendor dependence concerns. Focus competency: Output refinement. The user should show they designs scalable controls for output refinement using practical signals such as iteration, rubric review, context setup.</t>
  </si>
  <si>
    <t xml:space="preserve">TREND-D3-SOURCE-VERIFICATION-AWARENESS-01</t>
  </si>
  <si>
    <t xml:space="preserve">D3-source-verification</t>
  </si>
  <si>
    <t xml:space="preserve">Source and claim verification</t>
  </si>
  <si>
    <t xml:space="preserve">source checking; citation support; claim review; triangulation; AI market trends; agentic AI; multimodal AI; evaluation</t>
  </si>
  <si>
    <t xml:space="preserve">A teammate says the company should adopt AI agents because every new model can now take actions across tools. Focus competency: Source and claim verification. The user should show they recognizes source and claim verification using practical signals such as source checking, citation support, claim review.</t>
  </si>
  <si>
    <t xml:space="preserve">best: Strong awareness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</si>
  <si>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TREND-D3-SOURCE-VERIFICATION-APPLIED-01</t>
  </si>
  <si>
    <t xml:space="preserve">A content team wants to use AI to generate campaign copy, short video drafts, and product images from a single brief. Focus competency: Source and claim verification. The user should show they uses source and claim verification using practical signals such as source checking, citation support, claim review.</t>
  </si>
  <si>
    <t xml:space="preserve">best: Strong applied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</si>
  <si>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TREND-D3-SOURCE-VERIFICATION-APPLIED-02</t>
  </si>
  <si>
    <t xml:space="preserve">A team is moving from prompt-only chat to a RAG assistant over policies, tickets, and product documents. Focus competency: Source and claim verification. The user should show they uses source and claim verification using practical signals such as source checking, citation support, claim review.</t>
  </si>
  <si>
    <t xml:space="preserve">TREND-D3-SOURCE-VERIFICATION-PROFICIENT-01</t>
  </si>
  <si>
    <t xml:space="preserve">An operations group wants an AI agent to triage requests, update records, and trigger follow-up emails. Focus competency: Source and claim verification. The user should show they handles tradeoffs in source and claim verification using practical signals such as source checking, citation support, claim review.</t>
  </si>
  <si>
    <t xml:space="preserve">best: Strong proficient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</si>
  <si>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TREND-D3-SOURCE-VERIFICATION-PROFICIENT-02</t>
  </si>
  <si>
    <t xml:space="preserve">A vendor shows high benchmark scores for a domain-specific model and claims it will outperform general models in your workflow. Focus competency: Source and claim verification. The user should show they handles tradeoffs in source and claim verification using practical signals such as source checking, citation support, claim review.</t>
  </si>
  <si>
    <t xml:space="preserve">TREND-D3-SOURCE-VERIFICATION-ADVANCED-01</t>
  </si>
  <si>
    <t xml:space="preserve">Leadership wants to scale generative AI, agents, and multimodal workflows across functions while governance capacity is limited. Focus competency: Source and claim verification. The user should show they designs scalable controls for source and claim verification using practical signals such as source checking, citation support, claim review.</t>
  </si>
  <si>
    <t xml:space="preserve">best: Strong advanced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</si>
  <si>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TREND-D3-SOURCE-VERIFICATION-ADVANCED-02</t>
  </si>
  <si>
    <t xml:space="preserve">A regional business wants AI systems that respect local language, sector rules, data residency, and vendor dependence concerns. Focus competency: Source and claim verification. The user should show they designs scalable controls for source and claim verification using practical signals such as source checking, citation support, claim review.</t>
  </si>
  <si>
    <t xml:space="preserve">TREND-D3-DATA-CHART-JUDGMENT-AWARENESS-01</t>
  </si>
  <si>
    <t xml:space="preserve">D3-data-chart-judgment</t>
  </si>
  <si>
    <t xml:space="preserve">Data and chart judgment</t>
  </si>
  <si>
    <t xml:space="preserve">chart forensics; baseline checks; causality; benchmark fit; AI market trends; agentic AI; multimodal AI; evaluation</t>
  </si>
  <si>
    <t xml:space="preserve">Board / Investor; CFO / Risk leader</t>
  </si>
  <si>
    <t xml:space="preserve">A teammate says the company should adopt AI agents because every new model can now take actions across tools. Focus competency: Data and chart judgment. The user should show they recognizes data and chart judgment using practical signals such as chart forensics, baseline checks, causality.</t>
  </si>
  <si>
    <t xml:space="preserve">best: Strong awareness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</si>
  <si>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TREND-D3-DATA-CHART-JUDGMENT-APPLIED-01</t>
  </si>
  <si>
    <t xml:space="preserve">A content team wants to use AI to generate campaign copy, short video drafts, and product images from a single brief. Focus competency: Data and chart judgment. The user should show they uses data and chart judgment using practical signals such as chart forensics, baseline checks, causality.</t>
  </si>
  <si>
    <t xml:space="preserve">best: Strong applied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</si>
  <si>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TREND-D3-DATA-CHART-JUDGMENT-APPLIED-02</t>
  </si>
  <si>
    <t xml:space="preserve">A team is moving from prompt-only chat to a RAG assistant over policies, tickets, and product documents. Focus competency: Data and chart judgment. The user should show they uses data and chart judgment using practical signals such as chart forensics, baseline checks, causality.</t>
  </si>
  <si>
    <t xml:space="preserve">TREND-D3-DATA-CHART-JUDGMENT-PROFICIENT-01</t>
  </si>
  <si>
    <t xml:space="preserve">An operations group wants an AI agent to triage requests, update records, and trigger follow-up emails. Focus competency: Data and chart judgment. The user should show they handles tradeoffs in data and chart judgment using practical signals such as chart forensics, baseline checks, causality.</t>
  </si>
  <si>
    <t xml:space="preserve">best: Strong proficient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</si>
  <si>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TREND-D3-DATA-CHART-JUDGMENT-PROFICIENT-02</t>
  </si>
  <si>
    <t xml:space="preserve">A vendor shows high benchmark scores for a domain-specific model and claims it will outperform general models in your workflow. Focus competency: Data and chart judgment. The user should show they handles tradeoffs in data and chart judgment using practical signals such as chart forensics, baseline checks, causality.</t>
  </si>
  <si>
    <t xml:space="preserve">TREND-D3-DATA-CHART-JUDGMENT-ADVANCED-01</t>
  </si>
  <si>
    <t xml:space="preserve">Leadership wants to scale generative AI, agents, and multimodal workflows across functions while governance capacity is limited. Focus competency: Data and chart judgment. The user should show they designs scalable controls for data and chart judgment using practical signals such as chart forensics, baseline checks, causality.</t>
  </si>
  <si>
    <t xml:space="preserve">best: Strong advanced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</si>
  <si>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TREND-D3-DATA-CHART-JUDGMENT-ADVANCED-02</t>
  </si>
  <si>
    <t xml:space="preserve">A regional business wants AI systems that respect local language, sector rules, data residency, and vendor dependence concerns. Focus competency: Data and chart judgment. The user should show they designs scalable controls for data and chart judgment using practical signals such as chart forensics, baseline checks, causality.</t>
  </si>
  <si>
    <t xml:space="preserve">TREND-D3-MEDIA-PROVENANCE-AWARENESS-01</t>
  </si>
  <si>
    <t xml:space="preserve">D3-media-provenance</t>
  </si>
  <si>
    <t xml:space="preserve">Media provenance</t>
  </si>
  <si>
    <t xml:space="preserve">synthetic media signals; image context; caption checks; provenance; AI market trends; agentic AI; multimodal AI; evaluation</t>
  </si>
  <si>
    <t xml:space="preserve">A teammate says the company should adopt AI agents because every new model can now take actions across tools. Focus competency: Media provenance. The user should show they recognizes media provenance using practical signals such as synthetic media signals, image context, caption checks.</t>
  </si>
  <si>
    <t xml:space="preserve">best: Strong awareness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</si>
  <si>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TREND-D3-MEDIA-PROVENANCE-APPLIED-01</t>
  </si>
  <si>
    <t xml:space="preserve">A content team wants to use AI to generate campaign copy, short video drafts, and product images from a single brief. Focus competency: Media provenance. The user should show they uses media provenance using practical signals such as synthetic media signals, image context, caption checks.</t>
  </si>
  <si>
    <t xml:space="preserve">best: Strong applied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</si>
  <si>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TREND-D3-MEDIA-PROVENANCE-APPLIED-02</t>
  </si>
  <si>
    <t xml:space="preserve">A team is moving from prompt-only chat to a RAG assistant over policies, tickets, and product documents. Focus competency: Media provenance. The user should show they uses media provenance using practical signals such as synthetic media signals, image context, caption checks.</t>
  </si>
  <si>
    <t xml:space="preserve">TREND-D3-MEDIA-PROVENANCE-PROFICIENT-01</t>
  </si>
  <si>
    <t xml:space="preserve">An operations group wants an AI agent to triage requests, update records, and trigger follow-up emails. Focus competency: Media provenance. The user should show they handles tradeoffs in media provenance using practical signals such as synthetic media signals, image context, caption checks.</t>
  </si>
  <si>
    <t xml:space="preserve">best: Strong proficient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</si>
  <si>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TREND-D3-MEDIA-PROVENANCE-PROFICIENT-02</t>
  </si>
  <si>
    <t xml:space="preserve">A vendor shows high benchmark scores for a domain-specific model and claims it will outperform general models in your workflow. Focus competency: Media provenance. The user should show they handles tradeoffs in media provenance using practical signals such as synthetic media signals, image context, caption checks.</t>
  </si>
  <si>
    <t xml:space="preserve">TREND-D3-MEDIA-PROVENANCE-ADVANCED-01</t>
  </si>
  <si>
    <t xml:space="preserve">Leadership wants to scale generative AI, agents, and multimodal workflows across functions while governance capacity is limited. Focus competency: Media provenance. The user should show they designs scalable controls for media provenance using practical signals such as synthetic media signals, image context, caption checks.</t>
  </si>
  <si>
    <t xml:space="preserve">best: Strong advanced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</si>
  <si>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TREND-D3-MEDIA-PROVENANCE-ADVANCED-02</t>
  </si>
  <si>
    <t xml:space="preserve">A regional business wants AI systems that respect local language, sector rules, data residency, and vendor dependence concerns. Focus competency: Media provenance. The user should show they designs scalable controls for media provenance using practical signals such as synthetic media signals, image context, caption checks.</t>
  </si>
  <si>
    <t xml:space="preserve">TREND-D3-FRAUD-DETECTION-AWARENESS-01</t>
  </si>
  <si>
    <t xml:space="preserve">D3-fraud-detection</t>
  </si>
  <si>
    <t xml:space="preserve">Fraud and manipulation detection</t>
  </si>
  <si>
    <t xml:space="preserve">phishing checks; suspicious artifacts; invoice fraud; impersonation; AI market trends; agentic AI; multimodal AI; evaluation</t>
  </si>
  <si>
    <t xml:space="preserve">Finance; Sales; Customer Service</t>
  </si>
  <si>
    <t xml:space="preserve">A teammate says the company should adopt AI agents because every new model can now take actions across tools. Focus competency: Fraud and manipulation detection. The user should show they recognizes fraud and manipulation detection using practical signals such as phishing checks, suspicious artifacts, invoice fraud.</t>
  </si>
  <si>
    <t xml:space="preserve">best: Strong awareness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</si>
  <si>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TREND-D3-FRAUD-DETECTION-APPLIED-01</t>
  </si>
  <si>
    <t xml:space="preserve">A content team wants to use AI to generate campaign copy, short video drafts, and product images from a single brief. Focus competency: Fraud and manipulation detection. The user should show they uses fraud and manipulation detection using practical signals such as phishing checks, suspicious artifacts, invoice fraud.</t>
  </si>
  <si>
    <t xml:space="preserve">best: Strong applied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</si>
  <si>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TREND-D3-FRAUD-DETECTION-APPLIED-02</t>
  </si>
  <si>
    <t xml:space="preserve">A team is moving from prompt-only chat to a RAG assistant over policies, tickets, and product documents. Focus competency: Fraud and manipulation detection. The user should show they uses fraud and manipulation detection using practical signals such as phishing checks, suspicious artifacts, invoice fraud.</t>
  </si>
  <si>
    <t xml:space="preserve">TREND-D3-FRAUD-DETECTION-PROFICIENT-01</t>
  </si>
  <si>
    <t xml:space="preserve">An operations group wants an AI agent to triage requests, update records, and trigger follow-up emails. Focus competency: Fraud and manipulation detection. The user should show they handles tradeoffs in fraud and manipulation detection using practical signals such as phishing checks, suspicious artifacts, invoice fraud.</t>
  </si>
  <si>
    <t xml:space="preserve">best: Strong proficient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</si>
  <si>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TREND-D3-FRAUD-DETECTION-PROFICIENT-02</t>
  </si>
  <si>
    <t xml:space="preserve">A vendor shows high benchmark scores for a domain-specific model and claims it will outperform general models in your workflow. Focus competency: Fraud and manipulation detection. The user should show they handles tradeoffs in fraud and manipulation detection using practical signals such as phishing checks, suspicious artifacts, invoice fraud.</t>
  </si>
  <si>
    <t xml:space="preserve">TREND-D3-FRAUD-DETECTION-ADVANCED-01</t>
  </si>
  <si>
    <t xml:space="preserve">Leadership wants to scale generative AI, agents, and multimodal workflows across functions while governance capacity is limited. Focus competency: Fraud and manipulation detection. The user should show they designs scalable controls for fraud and manipulation detection using practical signals such as phishing checks, suspicious artifacts, invoice fraud.</t>
  </si>
  <si>
    <t xml:space="preserve">best: Strong advanced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</si>
  <si>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TREND-D3-FRAUD-DETECTION-ADVANCED-02</t>
  </si>
  <si>
    <t xml:space="preserve">A regional business wants AI systems that respect local language, sector rules, data residency, and vendor dependence concerns. Focus competency: Fraud and manipulation detection. The user should show they designs scalable controls for fraud and manipulation detection using practical signals such as phishing checks, suspicious artifacts, invoice fraud.</t>
  </si>
  <si>
    <t xml:space="preserve">TREND-D4-DATA-PRIVACY-AWARENESS-01</t>
  </si>
  <si>
    <t xml:space="preserve">D4-data-privacy</t>
  </si>
  <si>
    <t xml:space="preserve">Data protection and privacy</t>
  </si>
  <si>
    <t xml:space="preserve">data minimization; sensitive data; retention; consent; AI market trends; agentic AI; multimodal AI; evaluation</t>
  </si>
  <si>
    <t xml:space="preserve">CHRO / People leader; CIO / CDO / CTO</t>
  </si>
  <si>
    <t xml:space="preserve">A teammate says the company should adopt AI agents because every new model can now take actions across tools. Focus competency: Data protection and privacy. The user should show they recognizes data protection and privacy using practical signals such as data minimization, sensitive data, retention.</t>
  </si>
  <si>
    <t xml:space="preserve">best: Strong awareness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</si>
  <si>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TREND-D4-DATA-PRIVACY-APPLIED-01</t>
  </si>
  <si>
    <t xml:space="preserve">A content team wants to use AI to generate campaign copy, short video drafts, and product images from a single brief. Focus competency: Data protection and privacy. The user should show they uses data protection and privacy using practical signals such as data minimization, sensitive data, retention.</t>
  </si>
  <si>
    <t xml:space="preserve">best: Strong applied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</si>
  <si>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TREND-D4-DATA-PRIVACY-APPLIED-02</t>
  </si>
  <si>
    <t xml:space="preserve">A team is moving from prompt-only chat to a RAG assistant over policies, tickets, and product documents. Focus competency: Data protection and privacy. The user should show they uses data protection and privacy using practical signals such as data minimization, sensitive data, retention.</t>
  </si>
  <si>
    <t xml:space="preserve">TREND-D4-DATA-PRIVACY-PROFICIENT-01</t>
  </si>
  <si>
    <t xml:space="preserve">An operations group wants an AI agent to triage requests, update records, and trigger follow-up emails. Focus competency: Data protection and privacy. The user should show they handles tradeoffs in data protection and privacy using practical signals such as data minimization, sensitive data, retention.</t>
  </si>
  <si>
    <t xml:space="preserve">best: Strong proficient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</si>
  <si>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TREND-D4-DATA-PRIVACY-PROFICIENT-02</t>
  </si>
  <si>
    <t xml:space="preserve">A vendor shows high benchmark scores for a domain-specific model and claims it will outperform general models in your workflow. Focus competency: Data protection and privacy. The user should show they handles tradeoffs in data protection and privacy using practical signals such as data minimization, sensitive data, retention.</t>
  </si>
  <si>
    <t xml:space="preserve">TREND-D4-DATA-PRIVACY-ADVANCED-01</t>
  </si>
  <si>
    <t xml:space="preserve">Leadership wants to scale generative AI, agents, and multimodal workflows across functions while governance capacity is limited. Focus competency: Data protection and privacy. The user should show they designs scalable controls for data protection and privacy using practical signals such as data minimization, sensitive data, retention.</t>
  </si>
  <si>
    <t xml:space="preserve">best: Strong advanced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</si>
  <si>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TREND-D4-DATA-PRIVACY-ADVANCED-02</t>
  </si>
  <si>
    <t xml:space="preserve">A regional business wants AI systems that respect local language, sector rules, data residency, and vendor dependence concerns. Focus competency: Data protection and privacy. The user should show they designs scalable controls for data protection and privacy using practical signals such as data minimization, sensitive data, retention.</t>
  </si>
  <si>
    <t xml:space="preserve">TREND-D4-REGULATORY-POLICY-AWARENESS-01</t>
  </si>
  <si>
    <t xml:space="preserve">D4-regulatory-policy</t>
  </si>
  <si>
    <t xml:space="preserve">Regulatory and policy fluency</t>
  </si>
  <si>
    <t xml:space="preserve">policy alignment; sector obligations; disclosure; documentation; AI market trends; agentic AI; multimodal AI; evaluation</t>
  </si>
  <si>
    <t xml:space="preserve">HR &amp; People; Finance; Marketing</t>
  </si>
  <si>
    <t xml:space="preserve">A teammate says the company should adopt AI agents because every new model can now take actions across tools. Focus competency: Regulatory and policy fluency. The user should show they recognizes regulatory and policy fluency using practical signals such as policy alignment, sector obligations, disclosure.</t>
  </si>
  <si>
    <t xml:space="preserve">best: Strong awareness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</si>
  <si>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TREND-D4-REGULATORY-POLICY-APPLIED-01</t>
  </si>
  <si>
    <t xml:space="preserve">A content team wants to use AI to generate campaign copy, short video drafts, and product images from a single brief. Focus competency: Regulatory and policy fluency. The user should show they uses regulatory and policy fluency using practical signals such as policy alignment, sector obligations, disclosure.</t>
  </si>
  <si>
    <t xml:space="preserve">best: Strong applied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</si>
  <si>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TREND-D4-REGULATORY-POLICY-APPLIED-02</t>
  </si>
  <si>
    <t xml:space="preserve">A team is moving from prompt-only chat to a RAG assistant over policies, tickets, and product documents. Focus competency: Regulatory and policy fluency. The user should show they uses regulatory and policy fluency using practical signals such as policy alignment, sector obligations, disclosure.</t>
  </si>
  <si>
    <t xml:space="preserve">TREND-D4-REGULATORY-POLICY-PROFICIENT-01</t>
  </si>
  <si>
    <t xml:space="preserve">An operations group wants an AI agent to triage requests, update records, and trigger follow-up emails. Focus competency: Regulatory and policy fluency. The user should show they handles tradeoffs in regulatory and policy fluency using practical signals such as policy alignment, sector obligations, disclosure.</t>
  </si>
  <si>
    <t xml:space="preserve">best: Strong proficient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</si>
  <si>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TREND-D4-REGULATORY-POLICY-PROFICIENT-02</t>
  </si>
  <si>
    <t xml:space="preserve">A vendor shows high benchmark scores for a domain-specific model and claims it will outperform general models in your workflow. Focus competency: Regulatory and policy fluency. The user should show they handles tradeoffs in regulatory and policy fluency using practical signals such as policy alignment, sector obligations, disclosure.</t>
  </si>
  <si>
    <t xml:space="preserve">TREND-D4-REGULATORY-POLICY-ADVANCED-01</t>
  </si>
  <si>
    <t xml:space="preserve">Leadership wants to scale generative AI, agents, and multimodal workflows across functions while governance capacity is limited. Focus competency: Regulatory and policy fluency. The user should show they designs scalable controls for regulatory and policy fluency using practical signals such as policy alignment, sector obligations, disclosure.</t>
  </si>
  <si>
    <t xml:space="preserve">best: Strong advanced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</si>
  <si>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TREND-D4-REGULATORY-POLICY-ADVANCED-02</t>
  </si>
  <si>
    <t xml:space="preserve">A regional business wants AI systems that respect local language, sector rules, data residency, and vendor dependence concerns. Focus competency: Regulatory and policy fluency. The user should show they designs scalable controls for regulatory and policy fluency using practical signals such as policy alignment, sector obligations, disclosure.</t>
  </si>
  <si>
    <t xml:space="preserve">TREND-D4-FAIRNESS-ETHICS-AWARENESS-01</t>
  </si>
  <si>
    <t xml:space="preserve">D4-fairness-ethics</t>
  </si>
  <si>
    <t xml:space="preserve">Fairness, ethics, and rights</t>
  </si>
  <si>
    <t xml:space="preserve">bias testing; impact review; IP/content rights; human impact; AI market trends; agentic AI; multimodal AI; evaluation</t>
  </si>
  <si>
    <t xml:space="preserve">HR &amp; People; Marketing</t>
  </si>
  <si>
    <t xml:space="preserve">Board / Investor; CHRO / People leader</t>
  </si>
  <si>
    <t xml:space="preserve">A teammate says the company should adopt AI agents because every new model can now take actions across tools. Focus competency: Fairness, ethics, and rights. The user should show they recognizes fairness, ethics, and rights using practical signals such as bias testing, impact review, IP/content rights.</t>
  </si>
  <si>
    <t xml:space="preserve">best: Strong awareness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</si>
  <si>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TREND-D4-FAIRNESS-ETHICS-APPLIED-01</t>
  </si>
  <si>
    <t xml:space="preserve">A content team wants to use AI to generate campaign copy, short video drafts, and product images from a single brief. Focus competency: Fairness, ethics, and rights. The user should show they uses fairness, ethics, and rights using practical signals such as bias testing, impact review, IP/content rights.</t>
  </si>
  <si>
    <t xml:space="preserve">best: Strong applied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</si>
  <si>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TREND-D4-FAIRNESS-ETHICS-APPLIED-02</t>
  </si>
  <si>
    <t xml:space="preserve">A team is moving from prompt-only chat to a RAG assistant over policies, tickets, and product documents. Focus competency: Fairness, ethics, and rights. The user should show they uses fairness, ethics, and rights using practical signals such as bias testing, impact review, IP/content rights.</t>
  </si>
  <si>
    <t xml:space="preserve">TREND-D4-FAIRNESS-ETHICS-PROFICIENT-01</t>
  </si>
  <si>
    <t xml:space="preserve">An operations group wants an AI agent to triage requests, update records, and trigger follow-up emails. Focus competency: Fairness, ethics, and rights. The user should show they handles tradeoffs in fairness, ethics, and rights using practical signals such as bias testing, impact review, IP/content rights.</t>
  </si>
  <si>
    <t xml:space="preserve">best: Strong proficient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</si>
  <si>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TREND-D4-FAIRNESS-ETHICS-PROFICIENT-02</t>
  </si>
  <si>
    <t xml:space="preserve">A vendor shows high benchmark scores for a domain-specific model and claims it will outperform general models in your workflow. Focus competency: Fairness, ethics, and rights. The user should show they handles tradeoffs in fairness, ethics, and rights using practical signals such as bias testing, impact review, IP/content rights.</t>
  </si>
  <si>
    <t xml:space="preserve">TREND-D4-FAIRNESS-ETHICS-ADVANCED-01</t>
  </si>
  <si>
    <t xml:space="preserve">Leadership wants to scale generative AI, agents, and multimodal workflows across functions while governance capacity is limited. Focus competency: Fairness, ethics, and rights. The user should show they designs scalable controls for fairness, ethics, and rights using practical signals such as bias testing, impact review, IP/content rights.</t>
  </si>
  <si>
    <t xml:space="preserve">best: Strong advanced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</si>
  <si>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TREND-D4-FAIRNESS-ETHICS-ADVANCED-02</t>
  </si>
  <si>
    <t xml:space="preserve">A regional business wants AI systems that respect local language, sector rules, data residency, and vendor dependence concerns. Focus competency: Fairness, ethics, and rights. The user should show they designs scalable controls for fairness, ethics, and rights using practical signals such as bias testing, impact review, IP/content rights.</t>
  </si>
  <si>
    <t xml:space="preserve">TREND-D4-SECURITY-GOVERNANCE-AWARENESS-01</t>
  </si>
  <si>
    <t xml:space="preserve">D4-security-governance</t>
  </si>
  <si>
    <t xml:space="preserve">Security and governance controls</t>
  </si>
  <si>
    <t xml:space="preserve">least privilege; audit logs; vendor controls; incident response; AI market trends; agentic AI; multimodal AI; evaluation</t>
  </si>
  <si>
    <t xml:space="preserve">Financial services; Public sector</t>
  </si>
  <si>
    <t xml:space="preserve">CEO / Managing Director; Board / Investor; CFO / Risk leader; CIO / CDO / CTO; Transformation sponsor</t>
  </si>
  <si>
    <t xml:space="preserve">A teammate says the company should adopt AI agents because every new model can now take actions across tools. Focus competency: Security and governance controls. The user should show they recognizes security and governance controls using practical signals such as least privilege, audit logs, vendor controls.</t>
  </si>
  <si>
    <t xml:space="preserve">best: Strong awareness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</si>
  <si>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TREND-D4-SECURITY-GOVERNANCE-APPLIED-01</t>
  </si>
  <si>
    <t xml:space="preserve">A content team wants to use AI to generate campaign copy, short video drafts, and product images from a single brief. Focus competency: Security and governance controls. The user should show they uses security and governance controls using practical signals such as least privilege, audit logs, vendor controls.</t>
  </si>
  <si>
    <t xml:space="preserve">best: Strong applied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</si>
  <si>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TREND-D4-SECURITY-GOVERNANCE-APPLIED-02</t>
  </si>
  <si>
    <t xml:space="preserve">A team is moving from prompt-only chat to a RAG assistant over policies, tickets, and product documents. Focus competency: Security and governance controls. The user should show they uses security and governance controls using practical signals such as least privilege, audit logs, vendor controls.</t>
  </si>
  <si>
    <t xml:space="preserve">TREND-D4-SECURITY-GOVERNANCE-PROFICIENT-01</t>
  </si>
  <si>
    <t xml:space="preserve">An operations group wants an AI agent to triage requests, update records, and trigger follow-up emails. Focus competency: Security and governance controls. The user should show they handles tradeoffs in security and governance controls using practical signals such as least privilege, audit logs, vendor controls.</t>
  </si>
  <si>
    <t xml:space="preserve">best: Strong proficient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</si>
  <si>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TREND-D4-SECURITY-GOVERNANCE-PROFICIENT-02</t>
  </si>
  <si>
    <t xml:space="preserve">A vendor shows high benchmark scores for a domain-specific model and claims it will outperform general models in your workflow. Focus competency: Security and governance controls. The user should show they handles tradeoffs in security and governance controls using practical signals such as least privilege, audit logs, vendor controls.</t>
  </si>
  <si>
    <t xml:space="preserve">TREND-D4-SECURITY-GOVERNANCE-ADVANCED-01</t>
  </si>
  <si>
    <t xml:space="preserve">Leadership wants to scale generative AI, agents, and multimodal workflows across functions while governance capacity is limited. Focus competency: Security and governance controls. The user should show they designs scalable controls for security and governance controls using practical signals such as least privilege, audit logs, vendor controls.</t>
  </si>
  <si>
    <t xml:space="preserve">best: Strong advanced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</si>
  <si>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TREND-D4-SECURITY-GOVERNANCE-ADVANCED-02</t>
  </si>
  <si>
    <t xml:space="preserve">A regional business wants AI systems that respect local language, sector rules, data residency, and vendor dependence concerns. Focus competency: Security and governance controls. The user should show they designs scalable controls for security and governance controls using practical signals such as least privilege, audit logs, vendor controls.</t>
  </si>
  <si>
    <t xml:space="preserve">TREND-D5-USECASE-FIT-AWARENESS-01</t>
  </si>
  <si>
    <t xml:space="preserve">D5-usecase-fit</t>
  </si>
  <si>
    <t xml:space="preserve">Use-case evaluation</t>
  </si>
  <si>
    <t xml:space="preserve">problem fit; feasibility; data readiness; user value; AI market trends; agentic AI; multimodal AI; evaluation</t>
  </si>
  <si>
    <t xml:space="preserve">General work; HR &amp; People; Marketing; Sales; Engineering &amp; Data; Operations</t>
  </si>
  <si>
    <t xml:space="preserve">CEO / Managing Director; CHRO / People leader; Transformation sponsor</t>
  </si>
  <si>
    <t xml:space="preserve">A teammate says the company should adopt AI agents because every new model can now take actions across tools. Focus competency: Use-case evaluation. The user should show they recognizes use-case evaluation using practical signals such as problem fit, feasibility, data readiness.</t>
  </si>
  <si>
    <t xml:space="preserve">best: Strong awareness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</si>
  <si>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TREND-D5-USECASE-FIT-APPLIED-01</t>
  </si>
  <si>
    <t xml:space="preserve">A content team wants to use AI to generate campaign copy, short video drafts, and product images from a single brief. Focus competency: Use-case evaluation. The user should show they uses use-case evaluation using practical signals such as problem fit, feasibility, data readiness.</t>
  </si>
  <si>
    <t xml:space="preserve">best: Strong applied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</si>
  <si>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TREND-D5-USECASE-FIT-APPLIED-02</t>
  </si>
  <si>
    <t xml:space="preserve">A team is moving from prompt-only chat to a RAG assistant over policies, tickets, and product documents. Focus competency: Use-case evaluation. The user should show they uses use-case evaluation using practical signals such as problem fit, feasibility, data readiness.</t>
  </si>
  <si>
    <t xml:space="preserve">TREND-D5-USECASE-FIT-PROFICIENT-01</t>
  </si>
  <si>
    <t xml:space="preserve">An operations group wants an AI agent to triage requests, update records, and trigger follow-up emails. Focus competency: Use-case evaluation. The user should show they handles tradeoffs in use-case evaluation using practical signals such as problem fit, feasibility, data readiness.</t>
  </si>
  <si>
    <t xml:space="preserve">best: Strong proficient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</si>
  <si>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TREND-D5-USECASE-FIT-PROFICIENT-02</t>
  </si>
  <si>
    <t xml:space="preserve">A vendor shows high benchmark scores for a domain-specific model and claims it will outperform general models in your workflow. Focus competency: Use-case evaluation. The user should show they handles tradeoffs in use-case evaluation using practical signals such as problem fit, feasibility, data readiness.</t>
  </si>
  <si>
    <t xml:space="preserve">TREND-D5-USECASE-FIT-ADVANCED-01</t>
  </si>
  <si>
    <t xml:space="preserve">Leadership wants to scale generative AI, agents, and multimodal workflows across functions while governance capacity is limited. Focus competency: Use-case evaluation. The user should show they designs scalable controls for use-case evaluation using practical signals such as problem fit, feasibility, data readiness.</t>
  </si>
  <si>
    <t xml:space="preserve">best: Strong advanced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</si>
  <si>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TREND-D5-USECASE-FIT-ADVANCED-02</t>
  </si>
  <si>
    <t xml:space="preserve">A regional business wants AI systems that respect local language, sector rules, data residency, and vendor dependence concerns. Focus competency: Use-case evaluation. The user should show they designs scalable controls for use-case evaluation using practical signals such as problem fit, feasibility, data readiness.</t>
  </si>
  <si>
    <t xml:space="preserve">TREND-D5-ROI-METRICS-AWARENESS-01</t>
  </si>
  <si>
    <t xml:space="preserve">D5-roi-metrics</t>
  </si>
  <si>
    <t xml:space="preserve">ROI and measurement</t>
  </si>
  <si>
    <t xml:space="preserve">baseline metrics; KPI design; ROI evidence; quality measures; AI market trends; agentic AI; multimodal AI; evaluation</t>
  </si>
  <si>
    <t xml:space="preserve">General work; Finance; Marketing; Sales; Operations</t>
  </si>
  <si>
    <t xml:space="preserve">CEO / Managing Director; Board / Investor; CFO / Risk leader; Transformation sponsor</t>
  </si>
  <si>
    <t xml:space="preserve">A teammate says the company should adopt AI agents because every new model can now take actions across tools. Focus competency: ROI and measurement. The user should show they recognizes roi and measurement using practical signals such as baseline metrics, KPI design, ROI evidence.</t>
  </si>
  <si>
    <t xml:space="preserve">best: Strong awareness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</si>
  <si>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TREND-D5-ROI-METRICS-APPLIED-01</t>
  </si>
  <si>
    <t xml:space="preserve">A content team wants to use AI to generate campaign copy, short video drafts, and product images from a single brief. Focus competency: ROI and measurement. The user should show they uses roi and measurement using practical signals such as baseline metrics, KPI design, ROI evidence.</t>
  </si>
  <si>
    <t xml:space="preserve">best: Strong applied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</si>
  <si>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TREND-D5-ROI-METRICS-APPLIED-02</t>
  </si>
  <si>
    <t xml:space="preserve">A team is moving from prompt-only chat to a RAG assistant over policies, tickets, and product documents. Focus competency: ROI and measurement. The user should show they uses roi and measurement using practical signals such as baseline metrics, KPI design, ROI evidence.</t>
  </si>
  <si>
    <t xml:space="preserve">TREND-D5-ROI-METRICS-PROFICIENT-01</t>
  </si>
  <si>
    <t xml:space="preserve">An operations group wants an AI agent to triage requests, update records, and trigger follow-up emails. Focus competency: ROI and measurement. The user should show they handles tradeoffs in roi and measurement using practical signals such as baseline metrics, KPI design, ROI evidence.</t>
  </si>
  <si>
    <t xml:space="preserve">best: Strong proficient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</si>
  <si>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TREND-D5-ROI-METRICS-PROFICIENT-02</t>
  </si>
  <si>
    <t xml:space="preserve">A vendor shows high benchmark scores for a domain-specific model and claims it will outperform general models in your workflow. Focus competency: ROI and measurement. The user should show they handles tradeoffs in roi and measurement using practical signals such as baseline metrics, KPI design, ROI evidence.</t>
  </si>
  <si>
    <t xml:space="preserve">TREND-D5-ROI-METRICS-ADVANCED-01</t>
  </si>
  <si>
    <t xml:space="preserve">Leadership wants to scale generative AI, agents, and multimodal workflows across functions while governance capacity is limited. Focus competency: ROI and measurement. The user should show they designs scalable controls for roi and measurement using practical signals such as baseline metrics, KPI design, ROI evidence.</t>
  </si>
  <si>
    <t xml:space="preserve">best: Strong advanced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</si>
  <si>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TREND-D5-ROI-METRICS-ADVANCED-02</t>
  </si>
  <si>
    <t xml:space="preserve">A regional business wants AI systems that respect local language, sector rules, data residency, and vendor dependence concerns. Focus competency: ROI and measurement. The user should show they designs scalable controls for roi and measurement using practical signals such as baseline metrics, KPI design, ROI evidence.</t>
  </si>
  <si>
    <t xml:space="preserve">TREND-D5-PORTFOLIO-PRIORITIZATION-AWARENESS-01</t>
  </si>
  <si>
    <t xml:space="preserve">D5-portfolio-prioritization</t>
  </si>
  <si>
    <t xml:space="preserve">Portfolio prioritization</t>
  </si>
  <si>
    <t xml:space="preserve">risk-adjusted value; pilot gates; resource allocation; stage gates; AI market trends; agentic AI; multimodal AI; evaluation</t>
  </si>
  <si>
    <t xml:space="preserve">Finance; Operations</t>
  </si>
  <si>
    <t xml:space="preserve">A teammate says the company should adopt AI agents because every new model can now take actions across tools. Focus competency: Portfolio prioritization. The user should show they recognizes portfolio prioritization using practical signals such as risk-adjusted value, pilot gates, resource allocation.</t>
  </si>
  <si>
    <t xml:space="preserve">best: Strong awareness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</si>
  <si>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TREND-D5-PORTFOLIO-PRIORITIZATION-APPLIED-01</t>
  </si>
  <si>
    <t xml:space="preserve">A content team wants to use AI to generate campaign copy, short video drafts, and product images from a single brief. Focus competency: Portfolio prioritization. The user should show they uses portfolio prioritization using practical signals such as risk-adjusted value, pilot gates, resource allocation.</t>
  </si>
  <si>
    <t xml:space="preserve">best: Strong applied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</si>
  <si>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TREND-D5-PORTFOLIO-PRIORITIZATION-APPLIED-02</t>
  </si>
  <si>
    <t xml:space="preserve">A team is moving from prompt-only chat to a RAG assistant over policies, tickets, and product documents. Focus competency: Portfolio prioritization. The user should show they uses portfolio prioritization using practical signals such as risk-adjusted value, pilot gates, resource allocation.</t>
  </si>
  <si>
    <t xml:space="preserve">TREND-D5-PORTFOLIO-PRIORITIZATION-PROFICIENT-01</t>
  </si>
  <si>
    <t xml:space="preserve">An operations group wants an AI agent to triage requests, update records, and trigger follow-up emails. Focus competency: Portfolio prioritization. The user should show they handles tradeoffs in portfolio prioritization using practical signals such as risk-adjusted value, pilot gates, resource allocation.</t>
  </si>
  <si>
    <t xml:space="preserve">best: Strong proficient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</si>
  <si>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TREND-D5-PORTFOLIO-PRIORITIZATION-PROFICIENT-02</t>
  </si>
  <si>
    <t xml:space="preserve">A vendor shows high benchmark scores for a domain-specific model and claims it will outperform general models in your workflow. Focus competency: Portfolio prioritization. The user should show they handles tradeoffs in portfolio prioritization using practical signals such as risk-adjusted value, pilot gates, resource allocation.</t>
  </si>
  <si>
    <t xml:space="preserve">TREND-D5-PORTFOLIO-PRIORITIZATION-ADVANCED-01</t>
  </si>
  <si>
    <t xml:space="preserve">Leadership wants to scale generative AI, agents, and multimodal workflows across functions while governance capacity is limited. Focus competency: Portfolio prioritization. The user should show they designs scalable controls for portfolio prioritization using practical signals such as risk-adjusted value, pilot gates, resource allocation.</t>
  </si>
  <si>
    <t xml:space="preserve">best: Strong advanced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</si>
  <si>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TREND-D5-PORTFOLIO-PRIORITIZATION-ADVANCED-02</t>
  </si>
  <si>
    <t xml:space="preserve">A regional business wants AI systems that respect local language, sector rules, data residency, and vendor dependence concerns. Focus competency: Portfolio prioritization. The user should show they designs scalable controls for portfolio prioritization using practical signals such as risk-adjusted value, pilot gates, resource allocation.</t>
  </si>
  <si>
    <t xml:space="preserve">TREND-D5-TRANSFORMATION-STRATEGY-AWARENESS-01</t>
  </si>
  <si>
    <t xml:space="preserve">D5-transformation-strategy</t>
  </si>
  <si>
    <t xml:space="preserve">Strategy and transformation</t>
  </si>
  <si>
    <t xml:space="preserve">business-case design; scale criteria; trend judgment; operating model; AI market trends; agentic AI; multimodal AI; evaluation</t>
  </si>
  <si>
    <t xml:space="preserve">A teammate says the company should adopt AI agents because every new model can now take actions across tools. Focus competency: Strategy and transformation. The user should show they recognizes strategy and transformation using practical signals such as business-case design, scale criteria, trend judgment.</t>
  </si>
  <si>
    <t xml:space="preserve">best: Strong awareness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</si>
  <si>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TREND-D5-TRANSFORMATION-STRATEGY-APPLIED-01</t>
  </si>
  <si>
    <t xml:space="preserve">A content team wants to use AI to generate campaign copy, short video drafts, and product images from a single brief. Focus competency: Strategy and transformation. The user should show they uses strategy and transformation using practical signals such as business-case design, scale criteria, trend judgment.</t>
  </si>
  <si>
    <t xml:space="preserve">best: Strong applied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</si>
  <si>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TREND-D5-TRANSFORMATION-STRATEGY-APPLIED-02</t>
  </si>
  <si>
    <t xml:space="preserve">A team is moving from prompt-only chat to a RAG assistant over policies, tickets, and product documents. Focus competency: Strategy and transformation. The user should show they uses strategy and transformation using practical signals such as business-case design, scale criteria, trend judgment.</t>
  </si>
  <si>
    <t xml:space="preserve">TREND-D5-TRANSFORMATION-STRATEGY-PROFICIENT-01</t>
  </si>
  <si>
    <t xml:space="preserve">An operations group wants an AI agent to triage requests, update records, and trigger follow-up emails. Focus competency: Strategy and transformation. The user should show they handles tradeoffs in strategy and transformation using practical signals such as business-case design, scale criteria, trend judgment.</t>
  </si>
  <si>
    <t xml:space="preserve">best: Strong proficient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</si>
  <si>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TREND-D5-TRANSFORMATION-STRATEGY-PROFICIENT-02</t>
  </si>
  <si>
    <t xml:space="preserve">A vendor shows high benchmark scores for a domain-specific model and claims it will outperform general models in your workflow. Focus competency: Strategy and transformation. The user should show they handles tradeoffs in strategy and transformation using practical signals such as business-case design, scale criteria, trend judgment.</t>
  </si>
  <si>
    <t xml:space="preserve">TREND-D5-TRANSFORMATION-STRATEGY-ADVANCED-01</t>
  </si>
  <si>
    <t xml:space="preserve">Leadership wants to scale generative AI, agents, and multimodal workflows across functions while governance capacity is limited. Focus competency: Strategy and transformation. The user should show they designs scalable controls for strategy and transformation using practical signals such as business-case design, scale criteria, trend judgment.</t>
  </si>
  <si>
    <t xml:space="preserve">best: Strong advanced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</si>
  <si>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TREND-D5-TRANSFORMATION-STRATEGY-ADVANCED-02</t>
  </si>
  <si>
    <t xml:space="preserve">A regional business wants AI systems that respect local language, sector rules, data residency, and vendor dependence concerns. Focus competency: Strategy and transformation. The user should show they designs scalable controls for strategy and transformation using practical signals such as business-case design, scale criteria, trend judgment.</t>
  </si>
  <si>
    <t xml:space="preserve">TREND-D6-ROLE-CLARITY-AWARENESS-01</t>
  </si>
  <si>
    <t xml:space="preserve">role boundaries; review routines; human accountability; handoffs; AI market trends; agentic AI; multimodal AI; evaluation</t>
  </si>
  <si>
    <t xml:space="preserve">A teammate says the company should adopt AI agents because every new model can now take actions across tools. Focus competency: Human-AI role clarity. The user should show they recognizes human-ai role clarity using practical signals such as role boundaries, review routines, human accountability.</t>
  </si>
  <si>
    <t xml:space="preserve">best: Strong awareness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</si>
  <si>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TREND-D6-ROLE-CLARITY-APPLIED-01</t>
  </si>
  <si>
    <t xml:space="preserve">A content team wants to use AI to generate campaign copy, short video drafts, and product images from a single brief. Focus competency: Human-AI role clarity. The user should show they uses human-ai role clarity using practical signals such as role boundaries, review routines, human accountability.</t>
  </si>
  <si>
    <t xml:space="preserve">best: Strong applied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</si>
  <si>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TREND-D6-ROLE-CLARITY-APPLIED-02</t>
  </si>
  <si>
    <t xml:space="preserve">A team is moving from prompt-only chat to a RAG assistant over policies, tickets, and product documents. Focus competency: Human-AI role clarity. The user should show they uses human-ai role clarity using practical signals such as role boundaries, review routines, human accountability.</t>
  </si>
  <si>
    <t xml:space="preserve">TREND-D6-ROLE-CLARITY-PROFICIENT-01</t>
  </si>
  <si>
    <t xml:space="preserve">An operations group wants an AI agent to triage requests, update records, and trigger follow-up emails. Focus competency: Human-AI role clarity. The user should show they handles tradeoffs in human-ai role clarity using practical signals such as role boundaries, review routines, human accountability.</t>
  </si>
  <si>
    <t xml:space="preserve">best: Strong proficient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</si>
  <si>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TREND-D6-ROLE-CLARITY-PROFICIENT-02</t>
  </si>
  <si>
    <t xml:space="preserve">A vendor shows high benchmark scores for a domain-specific model and claims it will outperform general models in your workflow. Focus competency: Human-AI role clarity. The user should show they handles tradeoffs in human-ai role clarity using practical signals such as role boundaries, review routines, human accountability.</t>
  </si>
  <si>
    <t xml:space="preserve">TREND-D6-ROLE-CLARITY-ADVANCED-01</t>
  </si>
  <si>
    <t xml:space="preserve">Leadership wants to scale generative AI, agents, and multimodal workflows across functions while governance capacity is limited. Focus competency: Human-AI role clarity. The user should show they designs scalable controls for human-ai role clarity using practical signals such as role boundaries, review routines, human accountability.</t>
  </si>
  <si>
    <t xml:space="preserve">best: Strong advanced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</si>
  <si>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TREND-D6-ROLE-CLARITY-ADVANCED-02</t>
  </si>
  <si>
    <t xml:space="preserve">A regional business wants AI systems that respect local language, sector rules, data residency, and vendor dependence concerns. Focus competency: Human-AI role clarity. The user should show they designs scalable controls for human-ai role clarity using practical signals such as role boundaries, review routines, human accountability.</t>
  </si>
  <si>
    <t xml:space="preserve">TREND-D6-TRUST-CULTURE-AWARENESS-01</t>
  </si>
  <si>
    <t xml:space="preserve">D6-trust-culture</t>
  </si>
  <si>
    <t xml:space="preserve">Trust and challenge culture</t>
  </si>
  <si>
    <t xml:space="preserve">challenge culture; psychological safety; transparency; manager modeling; AI market trends; agentic AI; multimodal AI; evaluation</t>
  </si>
  <si>
    <t xml:space="preserve">HR &amp; People; Customer Service</t>
  </si>
  <si>
    <t xml:space="preserve">Public sector</t>
  </si>
  <si>
    <t xml:space="preserve">CEO / Managing Director; Board / Investor; CHRO / People leader</t>
  </si>
  <si>
    <t xml:space="preserve">A teammate says the company should adopt AI agents because every new model can now take actions across tools. Focus competency: Trust and challenge culture. The user should show they recognizes trust and challenge culture using practical signals such as challenge culture, psychological safety, transparency.</t>
  </si>
  <si>
    <t xml:space="preserve">best: Strong awareness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</si>
  <si>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TREND-D6-TRUST-CULTURE-APPLIED-01</t>
  </si>
  <si>
    <t xml:space="preserve">A content team wants to use AI to generate campaign copy, short video drafts, and product images from a single brief. Focus competency: Trust and challenge culture. The user should show they uses trust and challenge culture using practical signals such as challenge culture, psychological safety, transparency.</t>
  </si>
  <si>
    <t xml:space="preserve">best: Strong applied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</si>
  <si>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TREND-D6-TRUST-CULTURE-APPLIED-02</t>
  </si>
  <si>
    <t xml:space="preserve">A team is moving from prompt-only chat to a RAG assistant over policies, tickets, and product documents. Focus competency: Trust and challenge culture. The user should show they uses trust and challenge culture using practical signals such as challenge culture, psychological safety, transparency.</t>
  </si>
  <si>
    <t xml:space="preserve">TREND-D6-TRUST-CULTURE-PROFICIENT-01</t>
  </si>
  <si>
    <t xml:space="preserve">An operations group wants an AI agent to triage requests, update records, and trigger follow-up emails. Focus competency: Trust and challenge culture. The user should show they handles tradeoffs in trust and challenge culture using practical signals such as challenge culture, psychological safety, transparency.</t>
  </si>
  <si>
    <t xml:space="preserve">best: Strong proficient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</si>
  <si>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TREND-D6-TRUST-CULTURE-PROFICIENT-02</t>
  </si>
  <si>
    <t xml:space="preserve">A vendor shows high benchmark scores for a domain-specific model and claims it will outperform general models in your workflow. Focus competency: Trust and challenge culture. The user should show they handles tradeoffs in trust and challenge culture using practical signals such as challenge culture, psychological safety, transparency.</t>
  </si>
  <si>
    <t xml:space="preserve">TREND-D6-TRUST-CULTURE-ADVANCED-01</t>
  </si>
  <si>
    <t xml:space="preserve">Leadership wants to scale generative AI, agents, and multimodal workflows across functions while governance capacity is limited. Focus competency: Trust and challenge culture. The user should show they designs scalable controls for trust and challenge culture using practical signals such as challenge culture, psychological safety, transparency.</t>
  </si>
  <si>
    <t xml:space="preserve">best: Strong advanced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</si>
  <si>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TREND-D6-TRUST-CULTURE-ADVANCED-02</t>
  </si>
  <si>
    <t xml:space="preserve">A regional business wants AI systems that respect local language, sector rules, data residency, and vendor dependence concerns. Focus competency: Trust and challenge culture. The user should show they designs scalable controls for trust and challenge culture using practical signals such as challenge culture, psychological safety, transparency.</t>
  </si>
  <si>
    <t xml:space="preserve">TREND-D6-CHANGE-ENABLEMENT-AWARENESS-01</t>
  </si>
  <si>
    <t xml:space="preserve">D6-change-enablement</t>
  </si>
  <si>
    <t xml:space="preserve">Change enablement</t>
  </si>
  <si>
    <t xml:space="preserve">adoption support; communication; coaching loops; champion networks; AI market trends; agentic AI; multimodal AI; evaluation</t>
  </si>
  <si>
    <t xml:space="preserve">HR &amp; People; Operations</t>
  </si>
  <si>
    <t xml:space="preserve">Education</t>
  </si>
  <si>
    <t xml:space="preserve">A teammate says the company should adopt AI agents because every new model can now take actions across tools. Focus competency: Change enablement. The user should show they recognizes change enablement using practical signals such as adoption support, communication, coaching loops.</t>
  </si>
  <si>
    <t xml:space="preserve">best: Strong awareness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</si>
  <si>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TREND-D6-CHANGE-ENABLEMENT-APPLIED-01</t>
  </si>
  <si>
    <t xml:space="preserve">A content team wants to use AI to generate campaign copy, short video drafts, and product images from a single brief. Focus competency: Change enablement. The user should show they uses change enablement using practical signals such as adoption support, communication, coaching loops.</t>
  </si>
  <si>
    <t xml:space="preserve">best: Strong applied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</si>
  <si>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TREND-D6-CHANGE-ENABLEMENT-APPLIED-02</t>
  </si>
  <si>
    <t xml:space="preserve">A team is moving from prompt-only chat to a RAG assistant over policies, tickets, and product documents. Focus competency: Change enablement. The user should show they uses change enablement using practical signals such as adoption support, communication, coaching loops.</t>
  </si>
  <si>
    <t xml:space="preserve">TREND-D6-CHANGE-ENABLEMENT-PROFICIENT-01</t>
  </si>
  <si>
    <t xml:space="preserve">An operations group wants an AI agent to triage requests, update records, and trigger follow-up emails. Focus competency: Change enablement. The user should show they handles tradeoffs in change enablement using practical signals such as adoption support, communication, coaching loops.</t>
  </si>
  <si>
    <t xml:space="preserve">best: Strong proficient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</si>
  <si>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TREND-D6-CHANGE-ENABLEMENT-PROFICIENT-02</t>
  </si>
  <si>
    <t xml:space="preserve">A vendor shows high benchmark scores for a domain-specific model and claims it will outperform general models in your workflow. Focus competency: Change enablement. The user should show they handles tradeoffs in change enablement using practical signals such as adoption support, communication, coaching loops.</t>
  </si>
  <si>
    <t xml:space="preserve">TREND-D6-CHANGE-ENABLEMENT-ADVANCED-01</t>
  </si>
  <si>
    <t xml:space="preserve">Leadership wants to scale generative AI, agents, and multimodal workflows across functions while governance capacity is limited. Focus competency: Change enablement. The user should show they designs scalable controls for change enablement using practical signals such as adoption support, communication, coaching loops.</t>
  </si>
  <si>
    <t xml:space="preserve">best: Strong advanced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</si>
  <si>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TREND-D6-CHANGE-ENABLEMENT-ADVANCED-02</t>
  </si>
  <si>
    <t xml:space="preserve">A regional business wants AI systems that respect local language, sector rules, data residency, and vendor dependence concerns. Focus competency: Change enablement. The user should show they designs scalable controls for change enablement using practical signals such as adoption support, communication, coaching loops.</t>
  </si>
  <si>
    <t xml:space="preserve">TREND-D6-LEARNING-LOOPS-AWARENESS-01</t>
  </si>
  <si>
    <t xml:space="preserve">D6-learning-loops</t>
  </si>
  <si>
    <t xml:space="preserve">Learning and improvement loops</t>
  </si>
  <si>
    <t xml:space="preserve">learning ownership; feedback loops; continuous improvement; reassessment; AI market trends; agentic AI; multimodal AI; evaluation</t>
  </si>
  <si>
    <t xml:space="preserve">A teammate says the company should adopt AI agents because every new model can now take actions across tools. Focus competency: Learning and improvement loops. The user should show they recognizes learning and improvement loops using practical signals such as learning ownership, feedback loops, continuous improvement.</t>
  </si>
  <si>
    <t xml:space="preserve">best: Strong awareness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</si>
  <si>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TREND-D6-LEARNING-LOOPS-APPLIED-01</t>
  </si>
  <si>
    <t xml:space="preserve">A content team wants to use AI to generate campaign copy, short video drafts, and product images from a single brief. Focus competency: Learning and improvement loops. The user should show they uses learning and improvement loops using practical signals such as learning ownership, feedback loops, continuous improvement.</t>
  </si>
  <si>
    <t xml:space="preserve">best: Strong applied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</si>
  <si>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TREND-D6-LEARNING-LOOPS-APPLIED-02</t>
  </si>
  <si>
    <t xml:space="preserve">A team is moving from prompt-only chat to a RAG assistant over policies, tickets, and product documents. Focus competency: Learning and improvement loops. The user should show they uses learning and improvement loops using practical signals such as learning ownership, feedback loops, continuous improvement.</t>
  </si>
  <si>
    <t xml:space="preserve">TREND-D6-LEARNING-LOOPS-PROFICIENT-01</t>
  </si>
  <si>
    <t xml:space="preserve">An operations group wants an AI agent to triage requests, update records, and trigger follow-up emails. Focus competency: Learning and improvement loops. The user should show they handles tradeoffs in learning and improvement loops using practical signals such as learning ownership, feedback loops, continuous improvement.</t>
  </si>
  <si>
    <t xml:space="preserve">best: Strong proficient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</si>
  <si>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TREND-D6-LEARNING-LOOPS-PROFICIENT-02</t>
  </si>
  <si>
    <t xml:space="preserve">A vendor shows high benchmark scores for a domain-specific model and claims it will outperform general models in your workflow. Focus competency: Learning and improvement loops. The user should show they handles tradeoffs in learning and improvement loops using practical signals such as learning ownership, feedback loops, continuous improvement.</t>
  </si>
  <si>
    <t xml:space="preserve">TREND-D6-LEARNING-LOOPS-ADVANCED-01</t>
  </si>
  <si>
    <t xml:space="preserve">Leadership wants to scale generative AI, agents, and multimodal workflows across functions while governance capacity is limited. Focus competency: Learning and improvement loops. The user should show they designs scalable controls for learning and improvement loops using practical signals such as learning ownership, feedback loops, continuous improvement.</t>
  </si>
  <si>
    <t xml:space="preserve">best: Strong advanced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</si>
  <si>
    <t xml:space="preserve">TREND-D6-LEARNING-LOOPS-ADVANCED-02</t>
  </si>
  <si>
    <t xml:space="preserve">A regional business wants AI systems that respect local language, sector rules, data residency, and vendor dependence concerns. Focus competency: Learning and improvement loops. The user should show they designs scalable controls for learning and improvement loops using practical signals such as learning ownership, feedback loops, continuous improvement.</t>
  </si>
  <si>
    <t xml:space="preserve">ADV-D1-CORE-CONCEPTS-01</t>
  </si>
  <si>
    <t xml:space="preserve">Advanced competency</t>
  </si>
  <si>
    <t xml:space="preserve">Free / Premium; Executive</t>
  </si>
  <si>
    <t xml:space="preserve">AI vocabulary; LLM basics; models vs apps; capability patterns</t>
  </si>
  <si>
    <t xml:space="preserve">A cross-functional team wants to scale an AI workflow from a controlled pilot to three departments. Focus competency: Core AI concepts. Relevant skills: AI vocabulary, LLM basics, models vs apps.</t>
  </si>
  <si>
    <t xml:space="preserve">Which decision best demonstrates advanced judgment for this competency?</t>
  </si>
  <si>
    <t xml:space="preserve">✔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</si>
  <si>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core ai concepts before scaling.</t>
  </si>
  <si>
    <t xml:space="preserve">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</si>
  <si>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ADV-D1-CORE-CONCEPTS-02</t>
  </si>
  <si>
    <t xml:space="preserve">A recent AI-assisted workflow incident exposed unclear ownership, weak evidence, and a rushed approval path. Focus competency: Core AI concepts. Relevant skills: AI vocabulary, LLM basics, models vs apps.</t>
  </si>
  <si>
    <t xml:space="preserve">What should the review team do before restoring or expanding the workflow?</t>
  </si>
  <si>
    <t xml:space="preserve">ADV-D1-CORE-CONCEPTS-03</t>
  </si>
  <si>
    <t xml:space="preserve">A vendor claims its AI capability is enterprise-ready, but the evidence package is incomplete and business sponsors are eager to proceed. Focus competency: Core AI concepts. Relevant skills: AI vocabulary, LLM basics, models vs apps.</t>
  </si>
  <si>
    <t xml:space="preserve">Which approval condition is strongest?</t>
  </si>
  <si>
    <t xml:space="preserve">ADV-D1-CORE-CONCEPTS-04</t>
  </si>
  <si>
    <t xml:space="preserve">Leadership needs a short recommendation that balances value, user impact, data boundaries, and operational controls. Focus competency: Core AI concepts. Relevant skills: AI vocabulary, LLM basics, models vs apps.</t>
  </si>
  <si>
    <t xml:space="preserve">Which recommendation is most decision-ready?</t>
  </si>
  <si>
    <t xml:space="preserve">ADV-D1-CORE-CONCEPTS-05</t>
  </si>
  <si>
    <t xml:space="preserve">A team is redesigning a high-volume process so AI can assist without hiding uncertainty or weakening accountability. Focus competency: Core AI concepts. Relevant skills: AI vocabulary, LLM basics, models vs apps.</t>
  </si>
  <si>
    <t xml:space="preserve">Which redesign choice is strongest?</t>
  </si>
  <si>
    <t xml:space="preserve">ADV-D1-CORE-CONCEPTS-06</t>
  </si>
  <si>
    <t xml:space="preserve">The pilot looks promising, but the team has not separated speed, quality, user trust, cost, and risk outcomes. Focus competency: Core AI concepts. Relevant skills: AI vocabulary, LLM basics, models vs apps.</t>
  </si>
  <si>
    <t xml:space="preserve">What measurement plan should govern the next phase?</t>
  </si>
  <si>
    <t xml:space="preserve">ADV-D1-CORE-CONCEPTS-07</t>
  </si>
  <si>
    <t xml:space="preserve">Two internal policies point in different directions, and the AI system gives a confident recommendation anyway. Focus competency: Core AI concepts. Relevant skills: AI vocabulary, LLM basics, models vs apps.</t>
  </si>
  <si>
    <t xml:space="preserve">What is the best advanced response?</t>
  </si>
  <si>
    <t xml:space="preserve">ADV-D1-CORE-CONCEPTS-08</t>
  </si>
  <si>
    <t xml:space="preserve">The proposed workflow would combine customer, employee, vendor, and operational data across multiple tools. Focus competency: Core AI concepts. Relevant skills: AI vocabulary, LLM basics, models vs apps.</t>
  </si>
  <si>
    <t xml:space="preserve">Which control set best supports responsible use?</t>
  </si>
  <si>
    <t xml:space="preserve">ADV-D1-CORE-CONCEPTS-09</t>
  </si>
  <si>
    <t xml:space="preserve">A product owner argues that the newest model removes the need for the old review process. Focus competency: Core AI concepts. Relevant skills: AI vocabulary, LLM basics, models vs apps.</t>
  </si>
  <si>
    <t xml:space="preserve">Which challenge is most appropriate?</t>
  </si>
  <si>
    <t xml:space="preserve">ADV-D1-CORE-CONCEPTS-10</t>
  </si>
  <si>
    <t xml:space="preserve">The first deployment is live and teams are reporting mixed outcomes, edge cases, and workarounds. Focus competency: Core AI concepts. Relevant skills: AI vocabulary, LLM basics, models vs apps.</t>
  </si>
  <si>
    <t xml:space="preserve">What should the owner do next?</t>
  </si>
  <si>
    <t xml:space="preserve">ADV-D1-GENAI-MECHANICS-01</t>
  </si>
  <si>
    <t xml:space="preserve">tokens; embeddings; RAG and grounding; fine-tuning</t>
  </si>
  <si>
    <t xml:space="preserve">A cross-functional team wants to scale an AI workflow from a controlled pilot to three departments. Focus competency: Generative AI mechanics. Relevant skills: tokens, embeddings, RAG and grounding.</t>
  </si>
  <si>
    <t xml:space="preserve">✔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</si>
  <si>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generative ai mechanics before scaling.</t>
  </si>
  <si>
    <t xml:space="preserve">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</si>
  <si>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ADV-D1-GENAI-MECHANICS-02</t>
  </si>
  <si>
    <t xml:space="preserve">A recent AI-assisted workflow incident exposed unclear ownership, weak evidence, and a rushed approval path. Focus competency: Generative AI mechanics. Relevant skills: tokens, embeddings, RAG and grounding.</t>
  </si>
  <si>
    <t xml:space="preserve">ADV-D1-GENAI-MECHANICS-03</t>
  </si>
  <si>
    <t xml:space="preserve">A vendor claims its AI capability is enterprise-ready, but the evidence package is incomplete and business sponsors are eager to proceed. Focus competency: Generative AI mechanics. Relevant skills: tokens, embeddings, RAG and grounding.</t>
  </si>
  <si>
    <t xml:space="preserve">ADV-D1-GENAI-MECHANICS-04</t>
  </si>
  <si>
    <t xml:space="preserve">Leadership needs a short recommendation that balances value, user impact, data boundaries, and operational controls. Focus competency: Generative AI mechanics. Relevant skills: tokens, embeddings, RAG and grounding.</t>
  </si>
  <si>
    <t xml:space="preserve">ADV-D1-GENAI-MECHANICS-05</t>
  </si>
  <si>
    <t xml:space="preserve">A team is redesigning a high-volume process so AI can assist without hiding uncertainty or weakening accountability. Focus competency: Generative AI mechanics. Relevant skills: tokens, embeddings, RAG and grounding.</t>
  </si>
  <si>
    <t xml:space="preserve">ADV-D1-GENAI-MECHANICS-06</t>
  </si>
  <si>
    <t xml:space="preserve">The pilot looks promising, but the team has not separated speed, quality, user trust, cost, and risk outcomes. Focus competency: Generative AI mechanics. Relevant skills: tokens, embeddings, RAG and grounding.</t>
  </si>
  <si>
    <t xml:space="preserve">ADV-D1-GENAI-MECHANICS-07</t>
  </si>
  <si>
    <t xml:space="preserve">Two internal policies point in different directions, and the AI system gives a confident recommendation anyway. Focus competency: Generative AI mechanics. Relevant skills: tokens, embeddings, RAG and grounding.</t>
  </si>
  <si>
    <t xml:space="preserve">ADV-D1-GENAI-MECHANICS-08</t>
  </si>
  <si>
    <t xml:space="preserve">The proposed workflow would combine customer, employee, vendor, and operational data across multiple tools. Focus competency: Generative AI mechanics. Relevant skills: tokens, embeddings, RAG and grounding.</t>
  </si>
  <si>
    <t xml:space="preserve">ADV-D1-GENAI-MECHANICS-09</t>
  </si>
  <si>
    <t xml:space="preserve">A product owner argues that the newest model removes the need for the old review process. Focus competency: Generative AI mechanics. Relevant skills: tokens, embeddings, RAG and grounding.</t>
  </si>
  <si>
    <t xml:space="preserve">ADV-D1-GENAI-MECHANICS-10</t>
  </si>
  <si>
    <t xml:space="preserve">The first deployment is live and teams are reporting mixed outcomes, edge cases, and workarounds. Focus competency: Generative AI mechanics. Relevant skills: tokens, embeddings, RAG and grounding.</t>
  </si>
  <si>
    <t xml:space="preserve">ADV-D1-CAPABILITY-LIMITS-01</t>
  </si>
  <si>
    <t xml:space="preserve">hallucination; staleness; uncertainty; model limits</t>
  </si>
  <si>
    <t xml:space="preserve">A cross-functional team wants to scale an AI workflow from a controlled pilot to three departments. Focus competency: Capability boundaries. Relevant skills: hallucination, staleness, uncertainty.</t>
  </si>
  <si>
    <t xml:space="preserve">✔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</si>
  <si>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capability boundaries before scaling.</t>
  </si>
  <si>
    <t xml:space="preserve">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</si>
  <si>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ADV-D1-CAPABILITY-LIMITS-02</t>
  </si>
  <si>
    <t xml:space="preserve">A recent AI-assisted workflow incident exposed unclear ownership, weak evidence, and a rushed approval path. Focus competency: Capability boundaries. Relevant skills: hallucination, staleness, uncertainty.</t>
  </si>
  <si>
    <t xml:space="preserve">ADV-D1-CAPABILITY-LIMITS-03</t>
  </si>
  <si>
    <t xml:space="preserve">A vendor claims its AI capability is enterprise-ready, but the evidence package is incomplete and business sponsors are eager to proceed. Focus competency: Capability boundaries. Relevant skills: hallucination, staleness, uncertainty.</t>
  </si>
  <si>
    <t xml:space="preserve">ADV-D1-CAPABILITY-LIMITS-04</t>
  </si>
  <si>
    <t xml:space="preserve">Leadership needs a short recommendation that balances value, user impact, data boundaries, and operational controls. Focus competency: Capability boundaries. Relevant skills: hallucination, staleness, uncertainty.</t>
  </si>
  <si>
    <t xml:space="preserve">ADV-D1-CAPABILITY-LIMITS-05</t>
  </si>
  <si>
    <t xml:space="preserve">A team is redesigning a high-volume process so AI can assist without hiding uncertainty or weakening accountability. Focus competency: Capability boundaries. Relevant skills: hallucination, staleness, uncertainty.</t>
  </si>
  <si>
    <t xml:space="preserve">ADV-D1-CAPABILITY-LIMITS-06</t>
  </si>
  <si>
    <t xml:space="preserve">The pilot looks promising, but the team has not separated speed, quality, user trust, cost, and risk outcomes. Focus competency: Capability boundaries. Relevant skills: hallucination, staleness, uncertainty.</t>
  </si>
  <si>
    <t xml:space="preserve">ADV-D1-CAPABILITY-LIMITS-07</t>
  </si>
  <si>
    <t xml:space="preserve">Two internal policies point in different directions, and the AI system gives a confident recommendation anyway. Focus competency: Capability boundaries. Relevant skills: hallucination, staleness, uncertainty.</t>
  </si>
  <si>
    <t xml:space="preserve">ADV-D1-CAPABILITY-LIMITS-08</t>
  </si>
  <si>
    <t xml:space="preserve">The proposed workflow would combine customer, employee, vendor, and operational data across multiple tools. Focus competency: Capability boundaries. Relevant skills: hallucination, staleness, uncertainty.</t>
  </si>
  <si>
    <t xml:space="preserve">ADV-D1-CAPABILITY-LIMITS-09</t>
  </si>
  <si>
    <t xml:space="preserve">A product owner argues that the newest model removes the need for the old review process. Focus competency: Capability boundaries. Relevant skills: hallucination, staleness, uncertainty.</t>
  </si>
  <si>
    <t xml:space="preserve">ADV-D1-CAPABILITY-LIMITS-10</t>
  </si>
  <si>
    <t xml:space="preserve">The first deployment is live and teams are reporting mixed outcomes, edge cases, and workarounds. Focus competency: Capability boundaries. Relevant skills: hallucination, staleness, uncertainty.</t>
  </si>
  <si>
    <t xml:space="preserve">ADV-D1-AI-SYSTEMS-01</t>
  </si>
  <si>
    <t xml:space="preserve">context windows; memory; tool connectors; agent components</t>
  </si>
  <si>
    <t xml:space="preserve">A cross-functional team wants to scale an AI workflow from a controlled pilot to three departments. Focus competency: AI systems literacy. Relevant skills: context windows, memory, tool connectors.</t>
  </si>
  <si>
    <t xml:space="preserve">✔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</si>
  <si>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ai systems literacy before scaling.</t>
  </si>
  <si>
    <t xml:space="preserve">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</si>
  <si>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ADV-D1-AI-SYSTEMS-02</t>
  </si>
  <si>
    <t xml:space="preserve">A recent AI-assisted workflow incident exposed unclear ownership, weak evidence, and a rushed approval path. Focus competency: AI systems literacy. Relevant skills: context windows, memory, tool connectors.</t>
  </si>
  <si>
    <t xml:space="preserve">ADV-D1-AI-SYSTEMS-03</t>
  </si>
  <si>
    <t xml:space="preserve">A vendor claims its AI capability is enterprise-ready, but the evidence package is incomplete and business sponsors are eager to proceed. Focus competency: AI systems literacy. Relevant skills: context windows, memory, tool connectors.</t>
  </si>
  <si>
    <t xml:space="preserve">ADV-D1-AI-SYSTEMS-04</t>
  </si>
  <si>
    <t xml:space="preserve">Leadership needs a short recommendation that balances value, user impact, data boundaries, and operational controls. Focus competency: AI systems literacy. Relevant skills: context windows, memory, tool connectors.</t>
  </si>
  <si>
    <t xml:space="preserve">ADV-D1-AI-SYSTEMS-05</t>
  </si>
  <si>
    <t xml:space="preserve">A team is redesigning a high-volume process so AI can assist without hiding uncertainty or weakening accountability. Focus competency: AI systems literacy. Relevant skills: context windows, memory, tool connectors.</t>
  </si>
  <si>
    <t xml:space="preserve">ADV-D1-AI-SYSTEMS-06</t>
  </si>
  <si>
    <t xml:space="preserve">The pilot looks promising, but the team has not separated speed, quality, user trust, cost, and risk outcomes. Focus competency: AI systems literacy. Relevant skills: context windows, memory, tool connectors.</t>
  </si>
  <si>
    <t xml:space="preserve">ADV-D1-AI-SYSTEMS-07</t>
  </si>
  <si>
    <t xml:space="preserve">Two internal policies point in different directions, and the AI system gives a confident recommendation anyway. Focus competency: AI systems literacy. Relevant skills: context windows, memory, tool connectors.</t>
  </si>
  <si>
    <t xml:space="preserve">ADV-D1-AI-SYSTEMS-08</t>
  </si>
  <si>
    <t xml:space="preserve">The proposed workflow would combine customer, employee, vendor, and operational data across multiple tools. Focus competency: AI systems literacy. Relevant skills: context windows, memory, tool connectors.</t>
  </si>
  <si>
    <t xml:space="preserve">ADV-D1-AI-SYSTEMS-09</t>
  </si>
  <si>
    <t xml:space="preserve">A product owner argues that the newest model removes the need for the old review process. Focus competency: AI systems literacy. Relevant skills: context windows, memory, tool connectors.</t>
  </si>
  <si>
    <t xml:space="preserve">ADV-D1-AI-SYSTEMS-10</t>
  </si>
  <si>
    <t xml:space="preserve">The first deployment is live and teams are reporting mixed outcomes, edge cases, and workarounds. Focus competency: AI systems literacy. Relevant skills: context windows, memory, tool connectors.</t>
  </si>
  <si>
    <t xml:space="preserve">ADV-D2-PROMPT-DESIGN-01</t>
  </si>
  <si>
    <t xml:space="preserve">prompt repair; role and task framing; constraints; examples</t>
  </si>
  <si>
    <t xml:space="preserve">A cross-functional team wants to scale an AI workflow from a controlled pilot to three departments. Focus competency: Prompt design. Relevant skills: prompt repair, role and task framing, constraints.</t>
  </si>
  <si>
    <t xml:space="preserve">✔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</si>
  <si>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prompt design before scaling.</t>
  </si>
  <si>
    <t xml:space="preserve">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</si>
  <si>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ADV-D2-PROMPT-DESIGN-02</t>
  </si>
  <si>
    <t xml:space="preserve">A recent AI-assisted workflow incident exposed unclear ownership, weak evidence, and a rushed approval path. Focus competency: Prompt design. Relevant skills: prompt repair, role and task framing, constraints.</t>
  </si>
  <si>
    <t xml:space="preserve">ADV-D2-PROMPT-DESIGN-03</t>
  </si>
  <si>
    <t xml:space="preserve">A vendor claims its AI capability is enterprise-ready, but the evidence package is incomplete and business sponsors are eager to proceed. Focus competency: Prompt design. Relevant skills: prompt repair, role and task framing, constraints.</t>
  </si>
  <si>
    <t xml:space="preserve">ADV-D2-PROMPT-DESIGN-04</t>
  </si>
  <si>
    <t xml:space="preserve">Leadership needs a short recommendation that balances value, user impact, data boundaries, and operational controls. Focus competency: Prompt design. Relevant skills: prompt repair, role and task framing, constraints.</t>
  </si>
  <si>
    <t xml:space="preserve">ADV-D2-PROMPT-DESIGN-05</t>
  </si>
  <si>
    <t xml:space="preserve">A team is redesigning a high-volume process so AI can assist without hiding uncertainty or weakening accountability. Focus competency: Prompt design. Relevant skills: prompt repair, role and task framing, constraints.</t>
  </si>
  <si>
    <t xml:space="preserve">ADV-D2-PROMPT-DESIGN-06</t>
  </si>
  <si>
    <t xml:space="preserve">The pilot looks promising, but the team has not separated speed, quality, user trust, cost, and risk outcomes. Focus competency: Prompt design. Relevant skills: prompt repair, role and task framing, constraints.</t>
  </si>
  <si>
    <t xml:space="preserve">ADV-D2-PROMPT-DESIGN-07</t>
  </si>
  <si>
    <t xml:space="preserve">Two internal policies point in different directions, and the AI system gives a confident recommendation anyway. Focus competency: Prompt design. Relevant skills: prompt repair, role and task framing, constraints.</t>
  </si>
  <si>
    <t xml:space="preserve">ADV-D2-PROMPT-DESIGN-08</t>
  </si>
  <si>
    <t xml:space="preserve">The proposed workflow would combine customer, employee, vendor, and operational data across multiple tools. Focus competency: Prompt design. Relevant skills: prompt repair, role and task framing, constraints.</t>
  </si>
  <si>
    <t xml:space="preserve">ADV-D2-PROMPT-DESIGN-09</t>
  </si>
  <si>
    <t xml:space="preserve">A product owner argues that the newest model removes the need for the old review process. Focus competency: Prompt design. Relevant skills: prompt repair, role and task framing, constraints.</t>
  </si>
  <si>
    <t xml:space="preserve">ADV-D2-PROMPT-DESIGN-10</t>
  </si>
  <si>
    <t xml:space="preserve">The first deployment is live and teams are reporting mixed outcomes, edge cases, and workarounds. Focus competency: Prompt design. Relevant skills: prompt repair, role and task framing, constraints.</t>
  </si>
  <si>
    <t xml:space="preserve">ADV-D2-TOOL-SELECTION-01</t>
  </si>
  <si>
    <t xml:space="preserve">tool fit; MCP/connectors; repository use; product choice</t>
  </si>
  <si>
    <t xml:space="preserve">A cross-functional team wants to scale an AI workflow from a controlled pilot to three departments. Focus competency: Tool selection and integration. Relevant skills: tool fit, MCP/connectors, repository use.</t>
  </si>
  <si>
    <t xml:space="preserve">✔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</si>
  <si>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tool selection and integration before scaling.</t>
  </si>
  <si>
    <t xml:space="preserve">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</si>
  <si>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ADV-D2-TOOL-SELECTION-02</t>
  </si>
  <si>
    <t xml:space="preserve">A recent AI-assisted workflow incident exposed unclear ownership, weak evidence, and a rushed approval path. Focus competency: Tool selection and integration. Relevant skills: tool fit, MCP/connectors, repository use.</t>
  </si>
  <si>
    <t xml:space="preserve">ADV-D2-TOOL-SELECTION-03</t>
  </si>
  <si>
    <t xml:space="preserve">A vendor claims its AI capability is enterprise-ready, but the evidence package is incomplete and business sponsors are eager to proceed. Focus competency: Tool selection and integration. Relevant skills: tool fit, MCP/connectors, repository use.</t>
  </si>
  <si>
    <t xml:space="preserve">ADV-D2-TOOL-SELECTION-04</t>
  </si>
  <si>
    <t xml:space="preserve">Leadership needs a short recommendation that balances value, user impact, data boundaries, and operational controls. Focus competency: Tool selection and integration. Relevant skills: tool fit, MCP/connectors, repository use.</t>
  </si>
  <si>
    <t xml:space="preserve">ADV-D2-TOOL-SELECTION-05</t>
  </si>
  <si>
    <t xml:space="preserve">A team is redesigning a high-volume process so AI can assist without hiding uncertainty or weakening accountability. Focus competency: Tool selection and integration. Relevant skills: tool fit, MCP/connectors, repository use.</t>
  </si>
  <si>
    <t xml:space="preserve">ADV-D2-TOOL-SELECTION-06</t>
  </si>
  <si>
    <t xml:space="preserve">The pilot looks promising, but the team has not separated speed, quality, user trust, cost, and risk outcomes. Focus competency: Tool selection and integration. Relevant skills: tool fit, MCP/connectors, repository use.</t>
  </si>
  <si>
    <t xml:space="preserve">ADV-D2-TOOL-SELECTION-07</t>
  </si>
  <si>
    <t xml:space="preserve">Two internal policies point in different directions, and the AI system gives a confident recommendation anyway. Focus competency: Tool selection and integration. Relevant skills: tool fit, MCP/connectors, repository use.</t>
  </si>
  <si>
    <t xml:space="preserve">ADV-D2-TOOL-SELECTION-08</t>
  </si>
  <si>
    <t xml:space="preserve">The proposed workflow would combine customer, employee, vendor, and operational data across multiple tools. Focus competency: Tool selection and integration. Relevant skills: tool fit, MCP/connectors, repository use.</t>
  </si>
  <si>
    <t xml:space="preserve">ADV-D2-TOOL-SELECTION-09</t>
  </si>
  <si>
    <t xml:space="preserve">A product owner argues that the newest model removes the need for the old review process. Focus competency: Tool selection and integration. Relevant skills: tool fit, MCP/connectors, repository use.</t>
  </si>
  <si>
    <t xml:space="preserve">ADV-D2-TOOL-SELECTION-10</t>
  </si>
  <si>
    <t xml:space="preserve">The first deployment is live and teams are reporting mixed outcomes, edge cases, and workarounds. Focus competency: Tool selection and integration. Relevant skills: tool fit, MCP/connectors, repository use.</t>
  </si>
  <si>
    <t xml:space="preserve">ADV-D2-AGENTIC-WORKFLOWS-01</t>
  </si>
  <si>
    <t xml:space="preserve">workflow mapping; agent setup; handoffs; approval gates</t>
  </si>
  <si>
    <t xml:space="preserve">A cross-functional team wants to scale an AI workflow from a controlled pilot to three departments. Focus competency: Agentic workflows. Relevant skills: workflow mapping, agent setup, handoffs.</t>
  </si>
  <si>
    <t xml:space="preserve">✔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</si>
  <si>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agentic workflows before scaling.</t>
  </si>
  <si>
    <t xml:space="preserve">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</si>
  <si>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ADV-D2-AGENTIC-WORKFLOWS-02</t>
  </si>
  <si>
    <t xml:space="preserve">A recent AI-assisted workflow incident exposed unclear ownership, weak evidence, and a rushed approval path. Focus competency: Agentic workflows. Relevant skills: workflow mapping, agent setup, handoffs.</t>
  </si>
  <si>
    <t xml:space="preserve">ADV-D2-AGENTIC-WORKFLOWS-03</t>
  </si>
  <si>
    <t xml:space="preserve">A vendor claims its AI capability is enterprise-ready, but the evidence package is incomplete and business sponsors are eager to proceed. Focus competency: Agentic workflows. Relevant skills: workflow mapping, agent setup, handoffs.</t>
  </si>
  <si>
    <t xml:space="preserve">ADV-D2-AGENTIC-WORKFLOWS-04</t>
  </si>
  <si>
    <t xml:space="preserve">Leadership needs a short recommendation that balances value, user impact, data boundaries, and operational controls. Focus competency: Agentic workflows. Relevant skills: workflow mapping, agent setup, handoffs.</t>
  </si>
  <si>
    <t xml:space="preserve">ADV-D2-AGENTIC-WORKFLOWS-05</t>
  </si>
  <si>
    <t xml:space="preserve">A team is redesigning a high-volume process so AI can assist without hiding uncertainty or weakening accountability. Focus competency: Agentic workflows. Relevant skills: workflow mapping, agent setup, handoffs.</t>
  </si>
  <si>
    <t xml:space="preserve">ADV-D2-AGENTIC-WORKFLOWS-06</t>
  </si>
  <si>
    <t xml:space="preserve">The pilot looks promising, but the team has not separated speed, quality, user trust, cost, and risk outcomes. Focus competency: Agentic workflows. Relevant skills: workflow mapping, agent setup, handoffs.</t>
  </si>
  <si>
    <t xml:space="preserve">ADV-D2-AGENTIC-WORKFLOWS-07</t>
  </si>
  <si>
    <t xml:space="preserve">Two internal policies point in different directions, and the AI system gives a confident recommendation anyway. Focus competency: Agentic workflows. Relevant skills: workflow mapping, agent setup, handoffs.</t>
  </si>
  <si>
    <t xml:space="preserve">ADV-D2-AGENTIC-WORKFLOWS-08</t>
  </si>
  <si>
    <t xml:space="preserve">The proposed workflow would combine customer, employee, vendor, and operational data across multiple tools. Focus competency: Agentic workflows. Relevant skills: workflow mapping, agent setup, handoffs.</t>
  </si>
  <si>
    <t xml:space="preserve">ADV-D2-AGENTIC-WORKFLOWS-09</t>
  </si>
  <si>
    <t xml:space="preserve">A product owner argues that the newest model removes the need for the old review process. Focus competency: Agentic workflows. Relevant skills: workflow mapping, agent setup, handoffs.</t>
  </si>
  <si>
    <t xml:space="preserve">ADV-D2-AGENTIC-WORKFLOWS-10</t>
  </si>
  <si>
    <t xml:space="preserve">The first deployment is live and teams are reporting mixed outcomes, edge cases, and workarounds. Focus competency: Agentic workflows. Relevant skills: workflow mapping, agent setup, handoffs.</t>
  </si>
  <si>
    <t xml:space="preserve">ADV-D2-OUTPUT-REFINEMENT-01</t>
  </si>
  <si>
    <t xml:space="preserve">iteration; rubric review; context setup; quality checks</t>
  </si>
  <si>
    <t xml:space="preserve">A cross-functional team wants to scale an AI workflow from a controlled pilot to three departments. Focus competency: Output refinement. Relevant skills: iteration, rubric review, context setup.</t>
  </si>
  <si>
    <t xml:space="preserve">✔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</si>
  <si>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output refinement before scaling.</t>
  </si>
  <si>
    <t xml:space="preserve">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</si>
  <si>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ADV-D2-OUTPUT-REFINEMENT-02</t>
  </si>
  <si>
    <t xml:space="preserve">A recent AI-assisted workflow incident exposed unclear ownership, weak evidence, and a rushed approval path. Focus competency: Output refinement. Relevant skills: iteration, rubric review, context setup.</t>
  </si>
  <si>
    <t xml:space="preserve">ADV-D2-OUTPUT-REFINEMENT-03</t>
  </si>
  <si>
    <t xml:space="preserve">A vendor claims its AI capability is enterprise-ready, but the evidence package is incomplete and business sponsors are eager to proceed. Focus competency: Output refinement. Relevant skills: iteration, rubric review, context setup.</t>
  </si>
  <si>
    <t xml:space="preserve">ADV-D2-OUTPUT-REFINEMENT-04</t>
  </si>
  <si>
    <t xml:space="preserve">Leadership needs a short recommendation that balances value, user impact, data boundaries, and operational controls. Focus competency: Output refinement. Relevant skills: iteration, rubric review, context setup.</t>
  </si>
  <si>
    <t xml:space="preserve">ADV-D2-OUTPUT-REFINEMENT-05</t>
  </si>
  <si>
    <t xml:space="preserve">A team is redesigning a high-volume process so AI can assist without hiding uncertainty or weakening accountability. Focus competency: Output refinement. Relevant skills: iteration, rubric review, context setup.</t>
  </si>
  <si>
    <t xml:space="preserve">ADV-D2-OUTPUT-REFINEMENT-06</t>
  </si>
  <si>
    <t xml:space="preserve">The pilot looks promising, but the team has not separated speed, quality, user trust, cost, and risk outcomes. Focus competency: Output refinement. Relevant skills: iteration, rubric review, context setup.</t>
  </si>
  <si>
    <t xml:space="preserve">ADV-D2-OUTPUT-REFINEMENT-07</t>
  </si>
  <si>
    <t xml:space="preserve">Two internal policies point in different directions, and the AI system gives a confident recommendation anyway. Focus competency: Output refinement. Relevant skills: iteration, rubric review, context setup.</t>
  </si>
  <si>
    <t xml:space="preserve">ADV-D2-OUTPUT-REFINEMENT-08</t>
  </si>
  <si>
    <t xml:space="preserve">The proposed workflow would combine customer, employee, vendor, and operational data across multiple tools. Focus competency: Output refinement. Relevant skills: iteration, rubric review, context setup.</t>
  </si>
  <si>
    <t xml:space="preserve">ADV-D2-OUTPUT-REFINEMENT-09</t>
  </si>
  <si>
    <t xml:space="preserve">A product owner argues that the newest model removes the need for the old review process. Focus competency: Output refinement. Relevant skills: iteration, rubric review, context setup.</t>
  </si>
  <si>
    <t xml:space="preserve">ADV-D2-OUTPUT-REFINEMENT-10</t>
  </si>
  <si>
    <t xml:space="preserve">The first deployment is live and teams are reporting mixed outcomes, edge cases, and workarounds. Focus competency: Output refinement. Relevant skills: iteration, rubric review, context setup.</t>
  </si>
  <si>
    <t xml:space="preserve">ADV-D3-SOURCE-VERIFICATION-01</t>
  </si>
  <si>
    <t xml:space="preserve">source checking; citation support; claim review; triangulation</t>
  </si>
  <si>
    <t xml:space="preserve">A cross-functional team wants to scale an AI workflow from a controlled pilot to three departments. Focus competency: Source and claim verification. Relevant skills: source checking, citation support, claim review.</t>
  </si>
  <si>
    <t xml:space="preserve">✔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</si>
  <si>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source and claim verification before scaling.</t>
  </si>
  <si>
    <t xml:space="preserve">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</si>
  <si>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ADV-D3-SOURCE-VERIFICATION-02</t>
  </si>
  <si>
    <t xml:space="preserve">A recent AI-assisted workflow incident exposed unclear ownership, weak evidence, and a rushed approval path. Focus competency: Source and claim verification. Relevant skills: source checking, citation support, claim review.</t>
  </si>
  <si>
    <t xml:space="preserve">ADV-D3-SOURCE-VERIFICATION-03</t>
  </si>
  <si>
    <t xml:space="preserve">A vendor claims its AI capability is enterprise-ready, but the evidence package is incomplete and business sponsors are eager to proceed. Focus competency: Source and claim verification. Relevant skills: source checking, citation support, claim review.</t>
  </si>
  <si>
    <t xml:space="preserve">ADV-D3-SOURCE-VERIFICATION-04</t>
  </si>
  <si>
    <t xml:space="preserve">Leadership needs a short recommendation that balances value, user impact, data boundaries, and operational controls. Focus competency: Source and claim verification. Relevant skills: source checking, citation support, claim review.</t>
  </si>
  <si>
    <t xml:space="preserve">ADV-D3-SOURCE-VERIFICATION-05</t>
  </si>
  <si>
    <t xml:space="preserve">A team is redesigning a high-volume process so AI can assist without hiding uncertainty or weakening accountability. Focus competency: Source and claim verification. Relevant skills: source checking, citation support, claim review.</t>
  </si>
  <si>
    <t xml:space="preserve">ADV-D3-SOURCE-VERIFICATION-06</t>
  </si>
  <si>
    <t xml:space="preserve">The pilot looks promising, but the team has not separated speed, quality, user trust, cost, and risk outcomes. Focus competency: Source and claim verification. Relevant skills: source checking, citation support, claim review.</t>
  </si>
  <si>
    <t xml:space="preserve">ADV-D3-SOURCE-VERIFICATION-07</t>
  </si>
  <si>
    <t xml:space="preserve">Two internal policies point in different directions, and the AI system gives a confident recommendation anyway. Focus competency: Source and claim verification. Relevant skills: source checking, citation support, claim review.</t>
  </si>
  <si>
    <t xml:space="preserve">ADV-D3-SOURCE-VERIFICATION-08</t>
  </si>
  <si>
    <t xml:space="preserve">The proposed workflow would combine customer, employee, vendor, and operational data across multiple tools. Focus competency: Source and claim verification. Relevant skills: source checking, citation support, claim review.</t>
  </si>
  <si>
    <t xml:space="preserve">ADV-D3-SOURCE-VERIFICATION-09</t>
  </si>
  <si>
    <t xml:space="preserve">A product owner argues that the newest model removes the need for the old review process. Focus competency: Source and claim verification. Relevant skills: source checking, citation support, claim review.</t>
  </si>
  <si>
    <t xml:space="preserve">ADV-D3-SOURCE-VERIFICATION-10</t>
  </si>
  <si>
    <t xml:space="preserve">The first deployment is live and teams are reporting mixed outcomes, edge cases, and workarounds. Focus competency: Source and claim verification. Relevant skills: source checking, citation support, claim review.</t>
  </si>
  <si>
    <t xml:space="preserve">ADV-D3-DATA-CHART-JUDGMENT-01</t>
  </si>
  <si>
    <t xml:space="preserve">chart forensics; baseline checks; causality; benchmark fit</t>
  </si>
  <si>
    <t xml:space="preserve">A cross-functional team wants to scale an AI workflow from a controlled pilot to three departments. Focus competency: Data and chart judgment. Relevant skills: chart forensics, baseline checks, causality.</t>
  </si>
  <si>
    <t xml:space="preserve">✔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</si>
  <si>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data and chart judgment before scaling.</t>
  </si>
  <si>
    <t xml:space="preserve">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</si>
  <si>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ADV-D3-DATA-CHART-JUDGMENT-02</t>
  </si>
  <si>
    <t xml:space="preserve">A recent AI-assisted workflow incident exposed unclear ownership, weak evidence, and a rushed approval path. Focus competency: Data and chart judgment. Relevant skills: chart forensics, baseline checks, causality.</t>
  </si>
  <si>
    <t xml:space="preserve">ADV-D3-DATA-CHART-JUDGMENT-03</t>
  </si>
  <si>
    <t xml:space="preserve">A vendor claims its AI capability is enterprise-ready, but the evidence package is incomplete and business sponsors are eager to proceed. Focus competency: Data and chart judgment. Relevant skills: chart forensics, baseline checks, causality.</t>
  </si>
  <si>
    <t xml:space="preserve">ADV-D3-DATA-CHART-JUDGMENT-04</t>
  </si>
  <si>
    <t xml:space="preserve">Leadership needs a short recommendation that balances value, user impact, data boundaries, and operational controls. Focus competency: Data and chart judgment. Relevant skills: chart forensics, baseline checks, causality.</t>
  </si>
  <si>
    <t xml:space="preserve">ADV-D3-DATA-CHART-JUDGMENT-05</t>
  </si>
  <si>
    <t xml:space="preserve">A team is redesigning a high-volume process so AI can assist without hiding uncertainty or weakening accountability. Focus competency: Data and chart judgment. Relevant skills: chart forensics, baseline checks, causality.</t>
  </si>
  <si>
    <t xml:space="preserve">ADV-D3-DATA-CHART-JUDGMENT-06</t>
  </si>
  <si>
    <t xml:space="preserve">The pilot looks promising, but the team has not separated speed, quality, user trust, cost, and risk outcomes. Focus competency: Data and chart judgment. Relevant skills: chart forensics, baseline checks, causality.</t>
  </si>
  <si>
    <t xml:space="preserve">ADV-D3-DATA-CHART-JUDGMENT-07</t>
  </si>
  <si>
    <t xml:space="preserve">Two internal policies point in different directions, and the AI system gives a confident recommendation anyway. Focus competency: Data and chart judgment. Relevant skills: chart forensics, baseline checks, causality.</t>
  </si>
  <si>
    <t xml:space="preserve">ADV-D3-DATA-CHART-JUDGMENT-08</t>
  </si>
  <si>
    <t xml:space="preserve">The proposed workflow would combine customer, employee, vendor, and operational data across multiple tools. Focus competency: Data and chart judgment. Relevant skills: chart forensics, baseline checks, causality.</t>
  </si>
  <si>
    <t xml:space="preserve">ADV-D3-DATA-CHART-JUDGMENT-09</t>
  </si>
  <si>
    <t xml:space="preserve">A product owner argues that the newest model removes the need for the old review process. Focus competency: Data and chart judgment. Relevant skills: chart forensics, baseline checks, causality.</t>
  </si>
  <si>
    <t xml:space="preserve">ADV-D3-DATA-CHART-JUDGMENT-10</t>
  </si>
  <si>
    <t xml:space="preserve">The first deployment is live and teams are reporting mixed outcomes, edge cases, and workarounds. Focus competency: Data and chart judgment. Relevant skills: chart forensics, baseline checks, causality.</t>
  </si>
  <si>
    <t xml:space="preserve">ADV-D3-MEDIA-PROVENANCE-01</t>
  </si>
  <si>
    <t xml:space="preserve">synthetic media signals; image context; caption checks; provenance</t>
  </si>
  <si>
    <t xml:space="preserve">A cross-functional team wants to scale an AI workflow from a controlled pilot to three departments. Focus competency: Media provenance. Relevant skills: synthetic media signals, image context, caption checks.</t>
  </si>
  <si>
    <t xml:space="preserve">✔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</si>
  <si>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media provenance before scaling.</t>
  </si>
  <si>
    <t xml:space="preserve">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</si>
  <si>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ADV-D3-MEDIA-PROVENANCE-02</t>
  </si>
  <si>
    <t xml:space="preserve">A recent AI-assisted workflow incident exposed unclear ownership, weak evidence, and a rushed approval path. Focus competency: Media provenance. Relevant skills: synthetic media signals, image context, caption checks.</t>
  </si>
  <si>
    <t xml:space="preserve">ADV-D3-MEDIA-PROVENANCE-03</t>
  </si>
  <si>
    <t xml:space="preserve">A vendor claims its AI capability is enterprise-ready, but the evidence package is incomplete and business sponsors are eager to proceed. Focus competency: Media provenance. Relevant skills: synthetic media signals, image context, caption checks.</t>
  </si>
  <si>
    <t xml:space="preserve">ADV-D3-MEDIA-PROVENANCE-04</t>
  </si>
  <si>
    <t xml:space="preserve">Leadership needs a short recommendation that balances value, user impact, data boundaries, and operational controls. Focus competency: Media provenance. Relevant skills: synthetic media signals, image context, caption checks.</t>
  </si>
  <si>
    <t xml:space="preserve">ADV-D3-MEDIA-PROVENANCE-05</t>
  </si>
  <si>
    <t xml:space="preserve">A team is redesigning a high-volume process so AI can assist without hiding uncertainty or weakening accountability. Focus competency: Media provenance. Relevant skills: synthetic media signals, image context, caption checks.</t>
  </si>
  <si>
    <t xml:space="preserve">ADV-D3-MEDIA-PROVENANCE-06</t>
  </si>
  <si>
    <t xml:space="preserve">The pilot looks promising, but the team has not separated speed, quality, user trust, cost, and risk outcomes. Focus competency: Media provenance. Relevant skills: synthetic media signals, image context, caption checks.</t>
  </si>
  <si>
    <t xml:space="preserve">ADV-D3-MEDIA-PROVENANCE-07</t>
  </si>
  <si>
    <t xml:space="preserve">Two internal policies point in different directions, and the AI system gives a confident recommendation anyway. Focus competency: Media provenance. Relevant skills: synthetic media signals, image context, caption checks.</t>
  </si>
  <si>
    <t xml:space="preserve">ADV-D3-MEDIA-PROVENANCE-08</t>
  </si>
  <si>
    <t xml:space="preserve">The proposed workflow would combine customer, employee, vendor, and operational data across multiple tools. Focus competency: Media provenance. Relevant skills: synthetic media signals, image context, caption checks.</t>
  </si>
  <si>
    <t xml:space="preserve">ADV-D3-MEDIA-PROVENANCE-09</t>
  </si>
  <si>
    <t xml:space="preserve">A product owner argues that the newest model removes the need for the old review process. Focus competency: Media provenance. Relevant skills: synthetic media signals, image context, caption checks.</t>
  </si>
  <si>
    <t xml:space="preserve">ADV-D3-MEDIA-PROVENANCE-10</t>
  </si>
  <si>
    <t xml:space="preserve">The first deployment is live and teams are reporting mixed outcomes, edge cases, and workarounds. Focus competency: Media provenance. Relevant skills: synthetic media signals, image context, caption checks.</t>
  </si>
  <si>
    <t xml:space="preserve">ADV-D3-FRAUD-DETECTION-01</t>
  </si>
  <si>
    <t xml:space="preserve">phishing checks; suspicious artifacts; invoice fraud; impersonation</t>
  </si>
  <si>
    <t xml:space="preserve">A cross-functional team wants to scale an AI workflow from a controlled pilot to three departments. Focus competency: Fraud and manipulation detection. Relevant skills: phishing checks, suspicious artifacts, invoice fraud.</t>
  </si>
  <si>
    <t xml:space="preserve">✔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</si>
  <si>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fraud and manipulation detection before scaling.</t>
  </si>
  <si>
    <t xml:space="preserve">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</si>
  <si>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ADV-D3-FRAUD-DETECTION-02</t>
  </si>
  <si>
    <t xml:space="preserve">A recent AI-assisted workflow incident exposed unclear ownership, weak evidence, and a rushed approval path. Focus competency: Fraud and manipulation detection. Relevant skills: phishing checks, suspicious artifacts, invoice fraud.</t>
  </si>
  <si>
    <t xml:space="preserve">ADV-D3-FRAUD-DETECTION-03</t>
  </si>
  <si>
    <t xml:space="preserve">A vendor claims its AI capability is enterprise-ready, but the evidence package is incomplete and business sponsors are eager to proceed. Focus competency: Fraud and manipulation detection. Relevant skills: phishing checks, suspicious artifacts, invoice fraud.</t>
  </si>
  <si>
    <t xml:space="preserve">ADV-D3-FRAUD-DETECTION-04</t>
  </si>
  <si>
    <t xml:space="preserve">Leadership needs a short recommendation that balances value, user impact, data boundaries, and operational controls. Focus competency: Fraud and manipulation detection. Relevant skills: phishing checks, suspicious artifacts, invoice fraud.</t>
  </si>
  <si>
    <t xml:space="preserve">ADV-D3-FRAUD-DETECTION-05</t>
  </si>
  <si>
    <t xml:space="preserve">A team is redesigning a high-volume process so AI can assist without hiding uncertainty or weakening accountability. Focus competency: Fraud and manipulation detection. Relevant skills: phishing checks, suspicious artifacts, invoice fraud.</t>
  </si>
  <si>
    <t xml:space="preserve">ADV-D3-FRAUD-DETECTION-06</t>
  </si>
  <si>
    <t xml:space="preserve">The pilot looks promising, but the team has not separated speed, quality, user trust, cost, and risk outcomes. Focus competency: Fraud and manipulation detection. Relevant skills: phishing checks, suspicious artifacts, invoice fraud.</t>
  </si>
  <si>
    <t xml:space="preserve">ADV-D3-FRAUD-DETECTION-07</t>
  </si>
  <si>
    <t xml:space="preserve">Two internal policies point in different directions, and the AI system gives a confident recommendation anyway. Focus competency: Fraud and manipulation detection. Relevant skills: phishing checks, suspicious artifacts, invoice fraud.</t>
  </si>
  <si>
    <t xml:space="preserve">ADV-D3-FRAUD-DETECTION-08</t>
  </si>
  <si>
    <t xml:space="preserve">The proposed workflow would combine customer, employee, vendor, and operational data across multiple tools. Focus competency: Fraud and manipulation detection. Relevant skills: phishing checks, suspicious artifacts, invoice fraud.</t>
  </si>
  <si>
    <t xml:space="preserve">ADV-D3-FRAUD-DETECTION-09</t>
  </si>
  <si>
    <t xml:space="preserve">A product owner argues that the newest model removes the need for the old review process. Focus competency: Fraud and manipulation detection. Relevant skills: phishing checks, suspicious artifacts, invoice fraud.</t>
  </si>
  <si>
    <t xml:space="preserve">ADV-D3-FRAUD-DETECTION-10</t>
  </si>
  <si>
    <t xml:space="preserve">The first deployment is live and teams are reporting mixed outcomes, edge cases, and workarounds. Focus competency: Fraud and manipulation detection. Relevant skills: phishing checks, suspicious artifacts, invoice fraud.</t>
  </si>
  <si>
    <t xml:space="preserve">ADV-D4-DATA-PRIVACY-01</t>
  </si>
  <si>
    <t xml:space="preserve">data minimization; sensitive data; retention; consent</t>
  </si>
  <si>
    <t xml:space="preserve">A cross-functional team wants to scale an AI workflow from a controlled pilot to three departments. Focus competency: Data protection and privacy. Relevant skills: data minimization, sensitive data, retention.</t>
  </si>
  <si>
    <t xml:space="preserve">✔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</si>
  <si>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data protection and privacy before scaling.</t>
  </si>
  <si>
    <t xml:space="preserve">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</si>
  <si>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ADV-D4-DATA-PRIVACY-02</t>
  </si>
  <si>
    <t xml:space="preserve">A recent AI-assisted workflow incident exposed unclear ownership, weak evidence, and a rushed approval path. Focus competency: Data protection and privacy. Relevant skills: data minimization, sensitive data, retention.</t>
  </si>
  <si>
    <t xml:space="preserve">ADV-D4-DATA-PRIVACY-03</t>
  </si>
  <si>
    <t xml:space="preserve">A vendor claims its AI capability is enterprise-ready, but the evidence package is incomplete and business sponsors are eager to proceed. Focus competency: Data protection and privacy. Relevant skills: data minimization, sensitive data, retention.</t>
  </si>
  <si>
    <t xml:space="preserve">ADV-D4-DATA-PRIVACY-04</t>
  </si>
  <si>
    <t xml:space="preserve">Leadership needs a short recommendation that balances value, user impact, data boundaries, and operational controls. Focus competency: Data protection and privacy. Relevant skills: data minimization, sensitive data, retention.</t>
  </si>
  <si>
    <t xml:space="preserve">ADV-D4-DATA-PRIVACY-05</t>
  </si>
  <si>
    <t xml:space="preserve">A team is redesigning a high-volume process so AI can assist without hiding uncertainty or weakening accountability. Focus competency: Data protection and privacy. Relevant skills: data minimization, sensitive data, retention.</t>
  </si>
  <si>
    <t xml:space="preserve">ADV-D4-DATA-PRIVACY-06</t>
  </si>
  <si>
    <t xml:space="preserve">The pilot looks promising, but the team has not separated speed, quality, user trust, cost, and risk outcomes. Focus competency: Data protection and privacy. Relevant skills: data minimization, sensitive data, retention.</t>
  </si>
  <si>
    <t xml:space="preserve">ADV-D4-DATA-PRIVACY-07</t>
  </si>
  <si>
    <t xml:space="preserve">Two internal policies point in different directions, and the AI system gives a confident recommendation anyway. Focus competency: Data protection and privacy. Relevant skills: data minimization, sensitive data, retention.</t>
  </si>
  <si>
    <t xml:space="preserve">ADV-D4-DATA-PRIVACY-08</t>
  </si>
  <si>
    <t xml:space="preserve">The proposed workflow would combine customer, employee, vendor, and operational data across multiple tools. Focus competency: Data protection and privacy. Relevant skills: data minimization, sensitive data, retention.</t>
  </si>
  <si>
    <t xml:space="preserve">ADV-D4-DATA-PRIVACY-09</t>
  </si>
  <si>
    <t xml:space="preserve">A product owner argues that the newest model removes the need for the old review process. Focus competency: Data protection and privacy. Relevant skills: data minimization, sensitive data, retention.</t>
  </si>
  <si>
    <t xml:space="preserve">ADV-D4-DATA-PRIVACY-10</t>
  </si>
  <si>
    <t xml:space="preserve">The first deployment is live and teams are reporting mixed outcomes, edge cases, and workarounds. Focus competency: Data protection and privacy. Relevant skills: data minimization, sensitive data, retention.</t>
  </si>
  <si>
    <t xml:space="preserve">ADV-D4-REGULATORY-POLICY-01</t>
  </si>
  <si>
    <t xml:space="preserve">policy alignment; sector obligations; disclosure; documentation</t>
  </si>
  <si>
    <t xml:space="preserve">A cross-functional team wants to scale an AI workflow from a controlled pilot to three departments. Focus competency: Regulatory and policy fluency. Relevant skills: policy alignment, sector obligations, disclosure.</t>
  </si>
  <si>
    <t xml:space="preserve">✔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</si>
  <si>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regulatory and policy fluency before scaling.</t>
  </si>
  <si>
    <t xml:space="preserve">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</si>
  <si>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ADV-D4-REGULATORY-POLICY-02</t>
  </si>
  <si>
    <t xml:space="preserve">A recent AI-assisted workflow incident exposed unclear ownership, weak evidence, and a rushed approval path. Focus competency: Regulatory and policy fluency. Relevant skills: policy alignment, sector obligations, disclosure.</t>
  </si>
  <si>
    <t xml:space="preserve">ADV-D4-REGULATORY-POLICY-03</t>
  </si>
  <si>
    <t xml:space="preserve">A vendor claims its AI capability is enterprise-ready, but the evidence package is incomplete and business sponsors are eager to proceed. Focus competency: Regulatory and policy fluency. Relevant skills: policy alignment, sector obligations, disclosure.</t>
  </si>
  <si>
    <t xml:space="preserve">ADV-D4-REGULATORY-POLICY-04</t>
  </si>
  <si>
    <t xml:space="preserve">Leadership needs a short recommendation that balances value, user impact, data boundaries, and operational controls. Focus competency: Regulatory and policy fluency. Relevant skills: policy alignment, sector obligations, disclosure.</t>
  </si>
  <si>
    <t xml:space="preserve">ADV-D4-REGULATORY-POLICY-05</t>
  </si>
  <si>
    <t xml:space="preserve">A team is redesigning a high-volume process so AI can assist without hiding uncertainty or weakening accountability. Focus competency: Regulatory and policy fluency. Relevant skills: policy alignment, sector obligations, disclosure.</t>
  </si>
  <si>
    <t xml:space="preserve">ADV-D4-REGULATORY-POLICY-06</t>
  </si>
  <si>
    <t xml:space="preserve">The pilot looks promising, but the team has not separated speed, quality, user trust, cost, and risk outcomes. Focus competency: Regulatory and policy fluency. Relevant skills: policy alignment, sector obligations, disclosure.</t>
  </si>
  <si>
    <t xml:space="preserve">ADV-D4-REGULATORY-POLICY-07</t>
  </si>
  <si>
    <t xml:space="preserve">Two internal policies point in different directions, and the AI system gives a confident recommendation anyway. Focus competency: Regulatory and policy fluency. Relevant skills: policy alignment, sector obligations, disclosure.</t>
  </si>
  <si>
    <t xml:space="preserve">ADV-D4-REGULATORY-POLICY-08</t>
  </si>
  <si>
    <t xml:space="preserve">The proposed workflow would combine customer, employee, vendor, and operational data across multiple tools. Focus competency: Regulatory and policy fluency. Relevant skills: policy alignment, sector obligations, disclosure.</t>
  </si>
  <si>
    <t xml:space="preserve">ADV-D4-REGULATORY-POLICY-09</t>
  </si>
  <si>
    <t xml:space="preserve">A product owner argues that the newest model removes the need for the old review process. Focus competency: Regulatory and policy fluency. Relevant skills: policy alignment, sector obligations, disclosure.</t>
  </si>
  <si>
    <t xml:space="preserve">ADV-D4-REGULATORY-POLICY-10</t>
  </si>
  <si>
    <t xml:space="preserve">The first deployment is live and teams are reporting mixed outcomes, edge cases, and workarounds. Focus competency: Regulatory and policy fluency. Relevant skills: policy alignment, sector obligations, disclosure.</t>
  </si>
  <si>
    <t xml:space="preserve">ADV-D4-FAIRNESS-ETHICS-01</t>
  </si>
  <si>
    <t xml:space="preserve">bias testing; impact review; IP/content rights; human impact</t>
  </si>
  <si>
    <t xml:space="preserve">A cross-functional team wants to scale an AI workflow from a controlled pilot to three departments. Focus competency: Fairness, ethics, and rights. Relevant skills: bias testing, impact review, IP/content rights.</t>
  </si>
  <si>
    <t xml:space="preserve">✔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</si>
  <si>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fairness, ethics, and rights before scaling.</t>
  </si>
  <si>
    <t xml:space="preserve">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</si>
  <si>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ADV-D4-FAIRNESS-ETHICS-02</t>
  </si>
  <si>
    <t xml:space="preserve">A recent AI-assisted workflow incident exposed unclear ownership, weak evidence, and a rushed approval path. Focus competency: Fairness, ethics, and rights. Relevant skills: bias testing, impact review, IP/content rights.</t>
  </si>
  <si>
    <t xml:space="preserve">ADV-D4-FAIRNESS-ETHICS-03</t>
  </si>
  <si>
    <t xml:space="preserve">A vendor claims its AI capability is enterprise-ready, but the evidence package is incomplete and business sponsors are eager to proceed. Focus competency: Fairness, ethics, and rights. Relevant skills: bias testing, impact review, IP/content rights.</t>
  </si>
  <si>
    <t xml:space="preserve">ADV-D4-FAIRNESS-ETHICS-04</t>
  </si>
  <si>
    <t xml:space="preserve">Leadership needs a short recommendation that balances value, user impact, data boundaries, and operational controls. Focus competency: Fairness, ethics, and rights. Relevant skills: bias testing, impact review, IP/content rights.</t>
  </si>
  <si>
    <t xml:space="preserve">ADV-D4-FAIRNESS-ETHICS-05</t>
  </si>
  <si>
    <t xml:space="preserve">A team is redesigning a high-volume process so AI can assist without hiding uncertainty or weakening accountability. Focus competency: Fairness, ethics, and rights. Relevant skills: bias testing, impact review, IP/content rights.</t>
  </si>
  <si>
    <t xml:space="preserve">ADV-D4-FAIRNESS-ETHICS-06</t>
  </si>
  <si>
    <t xml:space="preserve">The pilot looks promising, but the team has not separated speed, quality, user trust, cost, and risk outcomes. Focus competency: Fairness, ethics, and rights. Relevant skills: bias testing, impact review, IP/content rights.</t>
  </si>
  <si>
    <t xml:space="preserve">ADV-D4-FAIRNESS-ETHICS-07</t>
  </si>
  <si>
    <t xml:space="preserve">Two internal policies point in different directions, and the AI system gives a confident recommendation anyway. Focus competency: Fairness, ethics, and rights. Relevant skills: bias testing, impact review, IP/content rights.</t>
  </si>
  <si>
    <t xml:space="preserve">ADV-D4-FAIRNESS-ETHICS-08</t>
  </si>
  <si>
    <t xml:space="preserve">The proposed workflow would combine customer, employee, vendor, and operational data across multiple tools. Focus competency: Fairness, ethics, and rights. Relevant skills: bias testing, impact review, IP/content rights.</t>
  </si>
  <si>
    <t xml:space="preserve">ADV-D4-FAIRNESS-ETHICS-09</t>
  </si>
  <si>
    <t xml:space="preserve">A product owner argues that the newest model removes the need for the old review process. Focus competency: Fairness, ethics, and rights. Relevant skills: bias testing, impact review, IP/content rights.</t>
  </si>
  <si>
    <t xml:space="preserve">ADV-D4-FAIRNESS-ETHICS-10</t>
  </si>
  <si>
    <t xml:space="preserve">The first deployment is live and teams are reporting mixed outcomes, edge cases, and workarounds. Focus competency: Fairness, ethics, and rights. Relevant skills: bias testing, impact review, IP/content rights.</t>
  </si>
  <si>
    <t xml:space="preserve">ADV-D4-SECURITY-GOVERNANCE-01</t>
  </si>
  <si>
    <t xml:space="preserve">least privilege; audit logs; vendor controls; incident response</t>
  </si>
  <si>
    <t xml:space="preserve">A cross-functional team wants to scale an AI workflow from a controlled pilot to three departments. Focus competency: Security and governance controls. Relevant skills: least privilege, audit logs, vendor controls.</t>
  </si>
  <si>
    <t xml:space="preserve">✔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</si>
  <si>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security and governance controls before scaling.</t>
  </si>
  <si>
    <t xml:space="preserve">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</si>
  <si>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ADV-D4-SECURITY-GOVERNANCE-02</t>
  </si>
  <si>
    <t xml:space="preserve">A recent AI-assisted workflow incident exposed unclear ownership, weak evidence, and a rushed approval path. Focus competency: Security and governance controls. Relevant skills: least privilege, audit logs, vendor controls.</t>
  </si>
  <si>
    <t xml:space="preserve">ADV-D4-SECURITY-GOVERNANCE-03</t>
  </si>
  <si>
    <t xml:space="preserve">A vendor claims its AI capability is enterprise-ready, but the evidence package is incomplete and business sponsors are eager to proceed. Focus competency: Security and governance controls. Relevant skills: least privilege, audit logs, vendor controls.</t>
  </si>
  <si>
    <t xml:space="preserve">ADV-D4-SECURITY-GOVERNANCE-04</t>
  </si>
  <si>
    <t xml:space="preserve">Leadership needs a short recommendation that balances value, user impact, data boundaries, and operational controls. Focus competency: Security and governance controls. Relevant skills: least privilege, audit logs, vendor controls.</t>
  </si>
  <si>
    <t xml:space="preserve">ADV-D4-SECURITY-GOVERNANCE-05</t>
  </si>
  <si>
    <t xml:space="preserve">A team is redesigning a high-volume process so AI can assist without hiding uncertainty or weakening accountability. Focus competency: Security and governance controls. Relevant skills: least privilege, audit logs, vendor controls.</t>
  </si>
  <si>
    <t xml:space="preserve">ADV-D4-SECURITY-GOVERNANCE-06</t>
  </si>
  <si>
    <t xml:space="preserve">The pilot looks promising, but the team has not separated speed, quality, user trust, cost, and risk outcomes. Focus competency: Security and governance controls. Relevant skills: least privilege, audit logs, vendor controls.</t>
  </si>
  <si>
    <t xml:space="preserve">ADV-D4-SECURITY-GOVERNANCE-07</t>
  </si>
  <si>
    <t xml:space="preserve">Two internal policies point in different directions, and the AI system gives a confident recommendation anyway. Focus competency: Security and governance controls. Relevant skills: least privilege, audit logs, vendor controls.</t>
  </si>
  <si>
    <t xml:space="preserve">ADV-D4-SECURITY-GOVERNANCE-08</t>
  </si>
  <si>
    <t xml:space="preserve">The proposed workflow would combine customer, employee, vendor, and operational data across multiple tools. Focus competency: Security and governance controls. Relevant skills: least privilege, audit logs, vendor controls.</t>
  </si>
  <si>
    <t xml:space="preserve">ADV-D4-SECURITY-GOVERNANCE-09</t>
  </si>
  <si>
    <t xml:space="preserve">A product owner argues that the newest model removes the need for the old review process. Focus competency: Security and governance controls. Relevant skills: least privilege, audit logs, vendor controls.</t>
  </si>
  <si>
    <t xml:space="preserve">ADV-D4-SECURITY-GOVERNANCE-10</t>
  </si>
  <si>
    <t xml:space="preserve">The first deployment is live and teams are reporting mixed outcomes, edge cases, and workarounds. Focus competency: Security and governance controls. Relevant skills: least privilege, audit logs, vendor controls.</t>
  </si>
  <si>
    <t xml:space="preserve">ADV-D5-USECASE-FIT-01</t>
  </si>
  <si>
    <t xml:space="preserve">problem fit; feasibility; data readiness; user value</t>
  </si>
  <si>
    <t xml:space="preserve">A cross-functional team wants to scale an AI workflow from a controlled pilot to three departments. Focus competency: Use-case evaluation. Relevant skills: problem fit, feasibility, data readiness.</t>
  </si>
  <si>
    <t xml:space="preserve">✔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</si>
  <si>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use-case evaluation before scaling.</t>
  </si>
  <si>
    <t xml:space="preserve">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</si>
  <si>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ADV-D5-USECASE-FIT-02</t>
  </si>
  <si>
    <t xml:space="preserve">A recent AI-assisted workflow incident exposed unclear ownership, weak evidence, and a rushed approval path. Focus competency: Use-case evaluation. Relevant skills: problem fit, feasibility, data readiness.</t>
  </si>
  <si>
    <t xml:space="preserve">ADV-D5-USECASE-FIT-03</t>
  </si>
  <si>
    <t xml:space="preserve">A vendor claims its AI capability is enterprise-ready, but the evidence package is incomplete and business sponsors are eager to proceed. Focus competency: Use-case evaluation. Relevant skills: problem fit, feasibility, data readiness.</t>
  </si>
  <si>
    <t xml:space="preserve">ADV-D5-USECASE-FIT-04</t>
  </si>
  <si>
    <t xml:space="preserve">Leadership needs a short recommendation that balances value, user impact, data boundaries, and operational controls. Focus competency: Use-case evaluation. Relevant skills: problem fit, feasibility, data readiness.</t>
  </si>
  <si>
    <t xml:space="preserve">ADV-D5-USECASE-FIT-05</t>
  </si>
  <si>
    <t xml:space="preserve">A team is redesigning a high-volume process so AI can assist without hiding uncertainty or weakening accountability. Focus competency: Use-case evaluation. Relevant skills: problem fit, feasibility, data readiness.</t>
  </si>
  <si>
    <t xml:space="preserve">ADV-D5-USECASE-FIT-06</t>
  </si>
  <si>
    <t xml:space="preserve">The pilot looks promising, but the team has not separated speed, quality, user trust, cost, and risk outcomes. Focus competency: Use-case evaluation. Relevant skills: problem fit, feasibility, data readiness.</t>
  </si>
  <si>
    <t xml:space="preserve">ADV-D5-USECASE-FIT-07</t>
  </si>
  <si>
    <t xml:space="preserve">Two internal policies point in different directions, and the AI system gives a confident recommendation anyway. Focus competency: Use-case evaluation. Relevant skills: problem fit, feasibility, data readiness.</t>
  </si>
  <si>
    <t xml:space="preserve">ADV-D5-USECASE-FIT-08</t>
  </si>
  <si>
    <t xml:space="preserve">The proposed workflow would combine customer, employee, vendor, and operational data across multiple tools. Focus competency: Use-case evaluation. Relevant skills: problem fit, feasibility, data readiness.</t>
  </si>
  <si>
    <t xml:space="preserve">ADV-D5-USECASE-FIT-09</t>
  </si>
  <si>
    <t xml:space="preserve">A product owner argues that the newest model removes the need for the old review process. Focus competency: Use-case evaluation. Relevant skills: problem fit, feasibility, data readiness.</t>
  </si>
  <si>
    <t xml:space="preserve">ADV-D5-USECASE-FIT-10</t>
  </si>
  <si>
    <t xml:space="preserve">The first deployment is live and teams are reporting mixed outcomes, edge cases, and workarounds. Focus competency: Use-case evaluation. Relevant skills: problem fit, feasibility, data readiness.</t>
  </si>
  <si>
    <t xml:space="preserve">ADV-D5-ROI-METRICS-01</t>
  </si>
  <si>
    <t xml:space="preserve">baseline metrics; KPI design; ROI evidence; quality measures</t>
  </si>
  <si>
    <t xml:space="preserve">A cross-functional team wants to scale an AI workflow from a controlled pilot to three departments. Focus competency: ROI and measurement. Relevant skills: baseline metrics, KPI design, ROI evidence.</t>
  </si>
  <si>
    <t xml:space="preserve">✔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</si>
  <si>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roi and measurement before scaling.</t>
  </si>
  <si>
    <t xml:space="preserve">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</si>
  <si>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ADV-D5-ROI-METRICS-02</t>
  </si>
  <si>
    <t xml:space="preserve">A recent AI-assisted workflow incident exposed unclear ownership, weak evidence, and a rushed approval path. Focus competency: ROI and measurement. Relevant skills: baseline metrics, KPI design, ROI evidence.</t>
  </si>
  <si>
    <t xml:space="preserve">ADV-D5-ROI-METRICS-03</t>
  </si>
  <si>
    <t xml:space="preserve">A vendor claims its AI capability is enterprise-ready, but the evidence package is incomplete and business sponsors are eager to proceed. Focus competency: ROI and measurement. Relevant skills: baseline metrics, KPI design, ROI evidence.</t>
  </si>
  <si>
    <t xml:space="preserve">ADV-D5-ROI-METRICS-04</t>
  </si>
  <si>
    <t xml:space="preserve">Leadership needs a short recommendation that balances value, user impact, data boundaries, and operational controls. Focus competency: ROI and measurement. Relevant skills: baseline metrics, KPI design, ROI evidence.</t>
  </si>
  <si>
    <t xml:space="preserve">ADV-D5-ROI-METRICS-05</t>
  </si>
  <si>
    <t xml:space="preserve">A team is redesigning a high-volume process so AI can assist without hiding uncertainty or weakening accountability. Focus competency: ROI and measurement. Relevant skills: baseline metrics, KPI design, ROI evidence.</t>
  </si>
  <si>
    <t xml:space="preserve">ADV-D5-ROI-METRICS-06</t>
  </si>
  <si>
    <t xml:space="preserve">The pilot looks promising, but the team has not separated speed, quality, user trust, cost, and risk outcomes. Focus competency: ROI and measurement. Relevant skills: baseline metrics, KPI design, ROI evidence.</t>
  </si>
  <si>
    <t xml:space="preserve">ADV-D5-ROI-METRICS-07</t>
  </si>
  <si>
    <t xml:space="preserve">Two internal policies point in different directions, and the AI system gives a confident recommendation anyway. Focus competency: ROI and measurement. Relevant skills: baseline metrics, KPI design, ROI evidence.</t>
  </si>
  <si>
    <t xml:space="preserve">ADV-D5-ROI-METRICS-08</t>
  </si>
  <si>
    <t xml:space="preserve">The proposed workflow would combine customer, employee, vendor, and operational data across multiple tools. Focus competency: ROI and measurement. Relevant skills: baseline metrics, KPI design, ROI evidence.</t>
  </si>
  <si>
    <t xml:space="preserve">ADV-D5-ROI-METRICS-09</t>
  </si>
  <si>
    <t xml:space="preserve">A product owner argues that the newest model removes the need for the old review process. Focus competency: ROI and measurement. Relevant skills: baseline metrics, KPI design, ROI evidence.</t>
  </si>
  <si>
    <t xml:space="preserve">ADV-D5-ROI-METRICS-10</t>
  </si>
  <si>
    <t xml:space="preserve">The first deployment is live and teams are reporting mixed outcomes, edge cases, and workarounds. Focus competency: ROI and measurement. Relevant skills: baseline metrics, KPI design, ROI evidence.</t>
  </si>
  <si>
    <t xml:space="preserve">ADV-D5-PORTFOLIO-PRIORITIZATION-01</t>
  </si>
  <si>
    <t xml:space="preserve">risk-adjusted value; pilot gates; resource allocation; stage gates</t>
  </si>
  <si>
    <t xml:space="preserve">A cross-functional team wants to scale an AI workflow from a controlled pilot to three departments. Focus competency: Portfolio prioritization. Relevant skills: risk-adjusted value, pilot gates, resource allocation.</t>
  </si>
  <si>
    <t xml:space="preserve">✔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</si>
  <si>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portfolio prioritization before scaling.</t>
  </si>
  <si>
    <t xml:space="preserve">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</si>
  <si>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ADV-D5-PORTFOLIO-PRIORITIZATION-02</t>
  </si>
  <si>
    <t xml:space="preserve">A recent AI-assisted workflow incident exposed unclear ownership, weak evidence, and a rushed approval path. Focus competency: Portfolio prioritization. Relevant skills: risk-adjusted value, pilot gates, resource allocation.</t>
  </si>
  <si>
    <t xml:space="preserve">ADV-D5-PORTFOLIO-PRIORITIZATION-03</t>
  </si>
  <si>
    <t xml:space="preserve">A vendor claims its AI capability is enterprise-ready, but the evidence package is incomplete and business sponsors are eager to proceed. Focus competency: Portfolio prioritization. Relevant skills: risk-adjusted value, pilot gates, resource allocation.</t>
  </si>
  <si>
    <t xml:space="preserve">ADV-D5-PORTFOLIO-PRIORITIZATION-04</t>
  </si>
  <si>
    <t xml:space="preserve">Leadership needs a short recommendation that balances value, user impact, data boundaries, and operational controls. Focus competency: Portfolio prioritization. Relevant skills: risk-adjusted value, pilot gates, resource allocation.</t>
  </si>
  <si>
    <t xml:space="preserve">ADV-D5-PORTFOLIO-PRIORITIZATION-05</t>
  </si>
  <si>
    <t xml:space="preserve">A team is redesigning a high-volume process so AI can assist without hiding uncertainty or weakening accountability. Focus competency: Portfolio prioritization. Relevant skills: risk-adjusted value, pilot gates, resource allocation.</t>
  </si>
  <si>
    <t xml:space="preserve">ADV-D5-PORTFOLIO-PRIORITIZATION-06</t>
  </si>
  <si>
    <t xml:space="preserve">The pilot looks promising, but the team has not separated speed, quality, user trust, cost, and risk outcomes. Focus competency: Portfolio prioritization. Relevant skills: risk-adjusted value, pilot gates, resource allocation.</t>
  </si>
  <si>
    <t xml:space="preserve">ADV-D5-PORTFOLIO-PRIORITIZATION-07</t>
  </si>
  <si>
    <t xml:space="preserve">Two internal policies point in different directions, and the AI system gives a confident recommendation anyway. Focus competency: Portfolio prioritization. Relevant skills: risk-adjusted value, pilot gates, resource allocation.</t>
  </si>
  <si>
    <t xml:space="preserve">ADV-D5-PORTFOLIO-PRIORITIZATION-08</t>
  </si>
  <si>
    <t xml:space="preserve">The proposed workflow would combine customer, employee, vendor, and operational data across multiple tools. Focus competency: Portfolio prioritization. Relevant skills: risk-adjusted value, pilot gates, resource allocation.</t>
  </si>
  <si>
    <t xml:space="preserve">ADV-D5-PORTFOLIO-PRIORITIZATION-09</t>
  </si>
  <si>
    <t xml:space="preserve">A product owner argues that the newest model removes the need for the old review process. Focus competency: Portfolio prioritization. Relevant skills: risk-adjusted value, pilot gates, resource allocation.</t>
  </si>
  <si>
    <t xml:space="preserve">ADV-D5-PORTFOLIO-PRIORITIZATION-10</t>
  </si>
  <si>
    <t xml:space="preserve">The first deployment is live and teams are reporting mixed outcomes, edge cases, and workarounds. Focus competency: Portfolio prioritization. Relevant skills: risk-adjusted value, pilot gates, resource allocation.</t>
  </si>
  <si>
    <t xml:space="preserve">ADV-D5-TRANSFORMATION-STRATEGY-01</t>
  </si>
  <si>
    <t xml:space="preserve">business-case design; scale criteria; trend judgment; operating model</t>
  </si>
  <si>
    <t xml:space="preserve">A cross-functional team wants to scale an AI workflow from a controlled pilot to three departments. Focus competency: Strategy and transformation. Relevant skills: business-case design, scale criteria, trend judgment.</t>
  </si>
  <si>
    <t xml:space="preserve">✔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</si>
  <si>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strategy and transformation before scaling.</t>
  </si>
  <si>
    <t xml:space="preserve">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</si>
  <si>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ADV-D5-TRANSFORMATION-STRATEGY-02</t>
  </si>
  <si>
    <t xml:space="preserve">A recent AI-assisted workflow incident exposed unclear ownership, weak evidence, and a rushed approval path. Focus competency: Strategy and transformation. Relevant skills: business-case design, scale criteria, trend judgment.</t>
  </si>
  <si>
    <t xml:space="preserve">ADV-D5-TRANSFORMATION-STRATEGY-03</t>
  </si>
  <si>
    <t xml:space="preserve">A vendor claims its AI capability is enterprise-ready, but the evidence package is incomplete and business sponsors are eager to proceed. Focus competency: Strategy and transformation. Relevant skills: business-case design, scale criteria, trend judgment.</t>
  </si>
  <si>
    <t xml:space="preserve">ADV-D5-TRANSFORMATION-STRATEGY-04</t>
  </si>
  <si>
    <t xml:space="preserve">Leadership needs a short recommendation that balances value, user impact, data boundaries, and operational controls. Focus competency: Strategy and transformation. Relevant skills: business-case design, scale criteria, trend judgment.</t>
  </si>
  <si>
    <t xml:space="preserve">ADV-D5-TRANSFORMATION-STRATEGY-05</t>
  </si>
  <si>
    <t xml:space="preserve">A team is redesigning a high-volume process so AI can assist without hiding uncertainty or weakening accountability. Focus competency: Strategy and transformation. Relevant skills: business-case design, scale criteria, trend judgment.</t>
  </si>
  <si>
    <t xml:space="preserve">ADV-D5-TRANSFORMATION-STRATEGY-06</t>
  </si>
  <si>
    <t xml:space="preserve">The pilot looks promising, but the team has not separated speed, quality, user trust, cost, and risk outcomes. Focus competency: Strategy and transformation. Relevant skills: business-case design, scale criteria, trend judgment.</t>
  </si>
  <si>
    <t xml:space="preserve">ADV-D5-TRANSFORMATION-STRATEGY-07</t>
  </si>
  <si>
    <t xml:space="preserve">Two internal policies point in different directions, and the AI system gives a confident recommendation anyway. Focus competency: Strategy and transformation. Relevant skills: business-case design, scale criteria, trend judgment.</t>
  </si>
  <si>
    <t xml:space="preserve">ADV-D5-TRANSFORMATION-STRATEGY-08</t>
  </si>
  <si>
    <t xml:space="preserve">The proposed workflow would combine customer, employee, vendor, and operational data across multiple tools. Focus competency: Strategy and transformation. Relevant skills: business-case design, scale criteria, trend judgment.</t>
  </si>
  <si>
    <t xml:space="preserve">ADV-D5-TRANSFORMATION-STRATEGY-09</t>
  </si>
  <si>
    <t xml:space="preserve">A product owner argues that the newest model removes the need for the old review process. Focus competency: Strategy and transformation. Relevant skills: business-case design, scale criteria, trend judgment.</t>
  </si>
  <si>
    <t xml:space="preserve">ADV-D5-TRANSFORMATION-STRATEGY-10</t>
  </si>
  <si>
    <t xml:space="preserve">The first deployment is live and teams are reporting mixed outcomes, edge cases, and workarounds. Focus competency: Strategy and transformation. Relevant skills: business-case design, scale criteria, trend judgment.</t>
  </si>
  <si>
    <t xml:space="preserve">ADV-D6-ROLE-CLARITY-01</t>
  </si>
  <si>
    <t xml:space="preserve">role boundaries; review routines; human accountability; handoffs</t>
  </si>
  <si>
    <t xml:space="preserve">A cross-functional team wants to scale an AI workflow from a controlled pilot to three departments. Focus competency: Human-AI role clarity. Relevant skills: role boundaries, review routines, human accountability.</t>
  </si>
  <si>
    <t xml:space="preserve">✔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</si>
  <si>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human-ai role clarity before scaling.</t>
  </si>
  <si>
    <t xml:space="preserve">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</si>
  <si>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ADV-D6-ROLE-CLARITY-02</t>
  </si>
  <si>
    <t xml:space="preserve">A recent AI-assisted workflow incident exposed unclear ownership, weak evidence, and a rushed approval path. Focus competency: Human-AI role clarity. Relevant skills: role boundaries, review routines, human accountability.</t>
  </si>
  <si>
    <t xml:space="preserve">ADV-D6-ROLE-CLARITY-03</t>
  </si>
  <si>
    <t xml:space="preserve">A vendor claims its AI capability is enterprise-ready, but the evidence package is incomplete and business sponsors are eager to proceed. Focus competency: Human-AI role clarity. Relevant skills: role boundaries, review routines, human accountability.</t>
  </si>
  <si>
    <t xml:space="preserve">ADV-D6-ROLE-CLARITY-04</t>
  </si>
  <si>
    <t xml:space="preserve">Leadership needs a short recommendation that balances value, user impact, data boundaries, and operational controls. Focus competency: Human-AI role clarity. Relevant skills: role boundaries, review routines, human accountability.</t>
  </si>
  <si>
    <t xml:space="preserve">ADV-D6-ROLE-CLARITY-05</t>
  </si>
  <si>
    <t xml:space="preserve">A team is redesigning a high-volume process so AI can assist without hiding uncertainty or weakening accountability. Focus competency: Human-AI role clarity. Relevant skills: role boundaries, review routines, human accountability.</t>
  </si>
  <si>
    <t xml:space="preserve">ADV-D6-ROLE-CLARITY-06</t>
  </si>
  <si>
    <t xml:space="preserve">The pilot looks promising, but the team has not separated speed, quality, user trust, cost, and risk outcomes. Focus competency: Human-AI role clarity. Relevant skills: role boundaries, review routines, human accountability.</t>
  </si>
  <si>
    <t xml:space="preserve">ADV-D6-ROLE-CLARITY-07</t>
  </si>
  <si>
    <t xml:space="preserve">Two internal policies point in different directions, and the AI system gives a confident recommendation anyway. Focus competency: Human-AI role clarity. Relevant skills: role boundaries, review routines, human accountability.</t>
  </si>
  <si>
    <t xml:space="preserve">ADV-D6-ROLE-CLARITY-08</t>
  </si>
  <si>
    <t xml:space="preserve">The proposed workflow would combine customer, employee, vendor, and operational data across multiple tools. Focus competency: Human-AI role clarity. Relevant skills: role boundaries, review routines, human accountability.</t>
  </si>
  <si>
    <t xml:space="preserve">ADV-D6-ROLE-CLARITY-09</t>
  </si>
  <si>
    <t xml:space="preserve">A product owner argues that the newest model removes the need for the old review process. Focus competency: Human-AI role clarity. Relevant skills: role boundaries, review routines, human accountability.</t>
  </si>
  <si>
    <t xml:space="preserve">ADV-D6-ROLE-CLARITY-10</t>
  </si>
  <si>
    <t xml:space="preserve">The first deployment is live and teams are reporting mixed outcomes, edge cases, and workarounds. Focus competency: Human-AI role clarity. Relevant skills: role boundaries, review routines, human accountability.</t>
  </si>
  <si>
    <t xml:space="preserve">ADV-D6-TRUST-CULTURE-01</t>
  </si>
  <si>
    <t xml:space="preserve">challenge culture; psychological safety; transparency; manager modeling</t>
  </si>
  <si>
    <t xml:space="preserve">A cross-functional team wants to scale an AI workflow from a controlled pilot to three departments. Focus competency: Trust and challenge culture. Relevant skills: challenge culture, psychological safety, transparency.</t>
  </si>
  <si>
    <t xml:space="preserve">✔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</si>
  <si>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trust and challenge culture before scaling.</t>
  </si>
  <si>
    <t xml:space="preserve">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</si>
  <si>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ADV-D6-TRUST-CULTURE-02</t>
  </si>
  <si>
    <t xml:space="preserve">A recent AI-assisted workflow incident exposed unclear ownership, weak evidence, and a rushed approval path. Focus competency: Trust and challenge culture. Relevant skills: challenge culture, psychological safety, transparency.</t>
  </si>
  <si>
    <t xml:space="preserve">ADV-D6-TRUST-CULTURE-03</t>
  </si>
  <si>
    <t xml:space="preserve">A vendor claims its AI capability is enterprise-ready, but the evidence package is incomplete and business sponsors are eager to proceed. Focus competency: Trust and challenge culture. Relevant skills: challenge culture, psychological safety, transparency.</t>
  </si>
  <si>
    <t xml:space="preserve">ADV-D6-TRUST-CULTURE-04</t>
  </si>
  <si>
    <t xml:space="preserve">Leadership needs a short recommendation that balances value, user impact, data boundaries, and operational controls. Focus competency: Trust and challenge culture. Relevant skills: challenge culture, psychological safety, transparency.</t>
  </si>
  <si>
    <t xml:space="preserve">ADV-D6-TRUST-CULTURE-05</t>
  </si>
  <si>
    <t xml:space="preserve">A team is redesigning a high-volume process so AI can assist without hiding uncertainty or weakening accountability. Focus competency: Trust and challenge culture. Relevant skills: challenge culture, psychological safety, transparency.</t>
  </si>
  <si>
    <t xml:space="preserve">ADV-D6-TRUST-CULTURE-06</t>
  </si>
  <si>
    <t xml:space="preserve">The pilot looks promising, but the team has not separated speed, quality, user trust, cost, and risk outcomes. Focus competency: Trust and challenge culture. Relevant skills: challenge culture, psychological safety, transparency.</t>
  </si>
  <si>
    <t xml:space="preserve">ADV-D6-TRUST-CULTURE-07</t>
  </si>
  <si>
    <t xml:space="preserve">Two internal policies point in different directions, and the AI system gives a confident recommendation anyway. Focus competency: Trust and challenge culture. Relevant skills: challenge culture, psychological safety, transparency.</t>
  </si>
  <si>
    <t xml:space="preserve">ADV-D6-TRUST-CULTURE-08</t>
  </si>
  <si>
    <t xml:space="preserve">The proposed workflow would combine customer, employee, vendor, and operational data across multiple tools. Focus competency: Trust and challenge culture. Relevant skills: challenge culture, psychological safety, transparency.</t>
  </si>
  <si>
    <t xml:space="preserve">ADV-D6-TRUST-CULTURE-09</t>
  </si>
  <si>
    <t xml:space="preserve">A product owner argues that the newest model removes the need for the old review process. Focus competency: Trust and challenge culture. Relevant skills: challenge culture, psychological safety, transparency.</t>
  </si>
  <si>
    <t xml:space="preserve">ADV-D6-TRUST-CULTURE-10</t>
  </si>
  <si>
    <t xml:space="preserve">The first deployment is live and teams are reporting mixed outcomes, edge cases, and workarounds. Focus competency: Trust and challenge culture. Relevant skills: challenge culture, psychological safety, transparency.</t>
  </si>
  <si>
    <t xml:space="preserve">ADV-D6-CHANGE-ENABLEMENT-01</t>
  </si>
  <si>
    <t xml:space="preserve">adoption support; communication; coaching loops; champion networks</t>
  </si>
  <si>
    <t xml:space="preserve">A cross-functional team wants to scale an AI workflow from a controlled pilot to three departments. Focus competency: Change enablement. Relevant skills: adoption support, communication, coaching loops.</t>
  </si>
  <si>
    <t xml:space="preserve">✔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</si>
  <si>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change enablement before scaling.</t>
  </si>
  <si>
    <t xml:space="preserve">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</si>
  <si>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ADV-D6-CHANGE-ENABLEMENT-02</t>
  </si>
  <si>
    <t xml:space="preserve">A recent AI-assisted workflow incident exposed unclear ownership, weak evidence, and a rushed approval path. Focus competency: Change enablement. Relevant skills: adoption support, communication, coaching loops.</t>
  </si>
  <si>
    <t xml:space="preserve">ADV-D6-CHANGE-ENABLEMENT-03</t>
  </si>
  <si>
    <t xml:space="preserve">A vendor claims its AI capability is enterprise-ready, but the evidence package is incomplete and business sponsors are eager to proceed. Focus competency: Change enablement. Relevant skills: adoption support, communication, coaching loops.</t>
  </si>
  <si>
    <t xml:space="preserve">ADV-D6-CHANGE-ENABLEMENT-04</t>
  </si>
  <si>
    <t xml:space="preserve">Leadership needs a short recommendation that balances value, user impact, data boundaries, and operational controls. Focus competency: Change enablement. Relevant skills: adoption support, communication, coaching loops.</t>
  </si>
  <si>
    <t xml:space="preserve">ADV-D6-CHANGE-ENABLEMENT-05</t>
  </si>
  <si>
    <t xml:space="preserve">A team is redesigning a high-volume process so AI can assist without hiding uncertainty or weakening accountability. Focus competency: Change enablement. Relevant skills: adoption support, communication, coaching loops.</t>
  </si>
  <si>
    <t xml:space="preserve">ADV-D6-CHANGE-ENABLEMENT-06</t>
  </si>
  <si>
    <t xml:space="preserve">The pilot looks promising, but the team has not separated speed, quality, user trust, cost, and risk outcomes. Focus competency: Change enablement. Relevant skills: adoption support, communication, coaching loops.</t>
  </si>
  <si>
    <t xml:space="preserve">ADV-D6-CHANGE-ENABLEMENT-07</t>
  </si>
  <si>
    <t xml:space="preserve">Two internal policies point in different directions, and the AI system gives a confident recommendation anyway. Focus competency: Change enablement. Relevant skills: adoption support, communication, coaching loops.</t>
  </si>
  <si>
    <t xml:space="preserve">ADV-D6-CHANGE-ENABLEMENT-08</t>
  </si>
  <si>
    <t xml:space="preserve">The proposed workflow would combine customer, employee, vendor, and operational data across multiple tools. Focus competency: Change enablement. Relevant skills: adoption support, communication, coaching loops.</t>
  </si>
  <si>
    <t xml:space="preserve">ADV-D6-CHANGE-ENABLEMENT-09</t>
  </si>
  <si>
    <t xml:space="preserve">A product owner argues that the newest model removes the need for the old review process. Focus competency: Change enablement. Relevant skills: adoption support, communication, coaching loops.</t>
  </si>
  <si>
    <t xml:space="preserve">ADV-D6-CHANGE-ENABLEMENT-10</t>
  </si>
  <si>
    <t xml:space="preserve">The first deployment is live and teams are reporting mixed outcomes, edge cases, and workarounds. Focus competency: Change enablement. Relevant skills: adoption support, communication, coaching loops.</t>
  </si>
  <si>
    <t xml:space="preserve">ADV-D6-LEARNING-LOOPS-01</t>
  </si>
  <si>
    <t xml:space="preserve">learning ownership; feedback loops; continuous improvement; reassessment</t>
  </si>
  <si>
    <t xml:space="preserve">A cross-functional team wants to scale an AI workflow from a controlled pilot to three departments. Focus competency: Learning and improvement loops. Relevant skills: learning ownership, feedback loops, continuous improvement.</t>
  </si>
  <si>
    <t xml:space="preserve">✔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</si>
  <si>
    <t xml:space="preserve">advanced-control: Define success criteria, evidence requirements, ownership, and review controls for learning and improvement loops before scaling.</t>
  </si>
  <si>
    <t xml:space="preserve">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</si>
  <si>
    <t xml:space="preserve">ADV-D6-LEARNING-LOOPS-02</t>
  </si>
  <si>
    <t xml:space="preserve">A recent AI-assisted workflow incident exposed unclear ownership, weak evidence, and a rushed approval path. Focus competency: Learning and improvement loops. Relevant skills: learning ownership, feedback loops, continuous improvement.</t>
  </si>
  <si>
    <t xml:space="preserve">ADV-D6-LEARNING-LOOPS-03</t>
  </si>
  <si>
    <t xml:space="preserve">A vendor claims its AI capability is enterprise-ready, but the evidence package is incomplete and business sponsors are eager to proceed. Focus competency: Learning and improvement loops. Relevant skills: learning ownership, feedback loops, continuous improvement.</t>
  </si>
  <si>
    <t xml:space="preserve">ADV-D6-LEARNING-LOOPS-04</t>
  </si>
  <si>
    <t xml:space="preserve">Leadership needs a short recommendation that balances value, user impact, data boundaries, and operational controls. Focus competency: Learning and improvement loops. Relevant skills: learning ownership, feedback loops, continuous improvement.</t>
  </si>
  <si>
    <t xml:space="preserve">ADV-D6-LEARNING-LOOPS-05</t>
  </si>
  <si>
    <t xml:space="preserve">A team is redesigning a high-volume process so AI can assist without hiding uncertainty or weakening accountability. Focus competency: Learning and improvement loops. Relevant skills: learning ownership, feedback loops, continuous improvement.</t>
  </si>
  <si>
    <t xml:space="preserve">ADV-D6-LEARNING-LOOPS-06</t>
  </si>
  <si>
    <t xml:space="preserve">The pilot looks promising, but the team has not separated speed, quality, user trust, cost, and risk outcomes. Focus competency: Learning and improvement loops. Relevant skills: learning ownership, feedback loops, continuous improvement.</t>
  </si>
  <si>
    <t xml:space="preserve">ADV-D6-LEARNING-LOOPS-07</t>
  </si>
  <si>
    <t xml:space="preserve">Two internal policies point in different directions, and the AI system gives a confident recommendation anyway. Focus competency: Learning and improvement loops. Relevant skills: learning ownership, feedback loops, continuous improvement.</t>
  </si>
  <si>
    <t xml:space="preserve">ADV-D6-LEARNING-LOOPS-08</t>
  </si>
  <si>
    <t xml:space="preserve">The proposed workflow would combine customer, employee, vendor, and operational data across multiple tools. Focus competency: Learning and improvement loops. Relevant skills: learning ownership, feedback loops, continuous improvement.</t>
  </si>
  <si>
    <t xml:space="preserve">ADV-D6-LEARNING-LOOPS-09</t>
  </si>
  <si>
    <t xml:space="preserve">A product owner argues that the newest model removes the need for the old review process. Focus competency: Learning and improvement loops. Relevant skills: learning ownership, feedback loops, continuous improvement.</t>
  </si>
  <si>
    <t xml:space="preserve">ADV-D6-LEARNING-LOOPS-10</t>
  </si>
  <si>
    <t xml:space="preserve">The first deployment is live and teams are reporting mixed outcomes, edge cases, and workarounds. Focus competency: Learning and improvement loops. Relevant skills: learning ownership, feedback loops, continuous improvement.</t>
  </si>
  <si>
    <t xml:space="preserve">COMP-D1-CONCEPTS-001</t>
  </si>
  <si>
    <t xml:space="preserve">Main bank</t>
  </si>
  <si>
    <t xml:space="preserve">LLM basics; RAG and grounding; hallucination; model limits</t>
  </si>
  <si>
    <t xml:space="preserve">AI concept workbench</t>
  </si>
  <si>
    <t xml:space="preserve">Concept workbench comparing LLM, RAG, context, memory, and hallucination concepts</t>
  </si>
  <si>
    <t xml:space="preserve">Match everyday AI terms to what they actually mean before using them in a workflow.</t>
  </si>
  <si>
    <t xml:space="preserve">A team keeps mixing up LLM, RAG, context, memory, and hallucination while planning a chatbot.</t>
  </si>
  <si>
    <t xml:space="preserve">Answer the mini-parts to show basic AI concept literacy.</t>
  </si>
  <si>
    <t xml:space="preserve">[llm · D1] What is the most accurate plain-language description of an LLM?
   · a: A database that stores only verified facts. (20)
   ✔ b: A model that predicts and generates language from learned patterns. (95)
   · c: A workflow tool that always checks company policy. (25)
[rag · D1] What does RAG add to a chatbot?
   ✔ a: Relevant source retrieval that the model can use while answering. (95)
   · b: A guarantee that every answer is legally approved. (20)
   · c: A larger screen for writing prompts. (5)
[hallucination · D1] What is a hallucination risk?
   · a: The model refuses to answer unsafe content. (25)
   · b: The model is slower than expected. (5)
   ✔ c: The model gives a fluent answer that is unsupported or false. (95)</t>
  </si>
  <si>
    <t xml:space="preserve">llm: b; rag: a; hallucination: c</t>
  </si>
  <si>
    <t xml:space="preserve">COMP-D1-SYSTEMS-002</t>
  </si>
  <si>
    <t xml:space="preserve">models vs apps; memory; context windows; tool connectors; data boundary</t>
  </si>
  <si>
    <t xml:space="preserve">Tool connector trace</t>
  </si>
  <si>
    <t xml:space="preserve">Tool trace showing a chatbot connected to calendar, email, and customer records</t>
  </si>
  <si>
    <t xml:space="preserve">The model is not the whole system. Connectors, memory, and permissions change what can happen.</t>
  </si>
  <si>
    <t xml:space="preserve">A manager says, “It is just a chatbot, so there is no privacy issue.” The screenshot shows calendar, email, and CRM connectors enabled.</t>
  </si>
  <si>
    <t xml:space="preserve">What is the best correction?</t>
  </si>
  <si>
    <t xml:space="preserve">✔ a: The app matters because tools and memory can expose or act on user data.  (score 96)
· b: The model name alone tells us all operational risk.  (score 15)
· c: Privacy is only relevant if the chatbot writes code.  (score 5)
· d: The safest fix is to disable every AI tool permanently.  (score 35)</t>
  </si>
  <si>
    <t xml:space="preserve">a: The app matters because tools and memory can expose or act on user data.</t>
  </si>
  <si>
    <t xml:space="preserve">a: Correct. System literacy includes tools, permissions, memory, and context.
b: The model matters, but the app configuration can change the risk substantially.
c: Privacy risk depends on data access and use, not only coding.
d: Too blunt. Better to scope connectors, permissions, and review gates.</t>
  </si>
  <si>
    <t xml:space="preserve">COMP-D2-PROMPT-003</t>
  </si>
  <si>
    <t xml:space="preserve">prompt repair; context setup; source rules; output format</t>
  </si>
  <si>
    <t xml:space="preserve">Support prompt repair</t>
  </si>
  <si>
    <t xml:space="preserve">Customer service ticket with refund dispute, SLA risk, and weak AI draft reply</t>
  </si>
  <si>
    <t xml:space="preserve">The prompt must make the assistant use the ticket facts and avoid unsupported promises.</t>
  </si>
  <si>
    <t xml:space="preserve">A support lead wants AI to draft a reply for an angry customer with a duplicate charge and SLA breach.</t>
  </si>
  <si>
    <t xml:space="preserve">Write a better prompt for the AI assistant. Include task, context, source limits, tone, output format, and review rule.</t>
  </si>
  <si>
    <t xml:space="preserve">task: Defines the drafting task clearly (18 pts; keywords: draft, reply, email, response)
context: Includes customer/ticket context (18 pts; keywords: customer, ticket, duplicate, sla, refund)
source: Restricts answer to verified sources (22 pts; keywords: only use, source, ticket, record, policy)
tone: Specifies tone and format (18 pts; keywords: tone, empathetic, format, subject, bullets)
review: Requires human review for risky claims (24 pts; keywords: review, approval, human, verify, escalate)</t>
  </si>
  <si>
    <t xml:space="preserve">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t>
  </si>
  <si>
    <t xml:space="preserve">COMP-D2-WORKFLOW-004</t>
  </si>
  <si>
    <t xml:space="preserve">D4; D5</t>
  </si>
  <si>
    <t xml:space="preserve">D2-workflows; D4-risk; D5-value</t>
  </si>
  <si>
    <t xml:space="preserve">Tool selection and integration; Agentic workflows; Output refinement; Data protection and privacy; Fairness, ethics, and rights; Security and governance controls; Use-case evaluation; ROI and measurement; Portfolio prioritization</t>
  </si>
  <si>
    <t xml:space="preserve">GitHub workflow; AI code review; CI checks; human review; release gates</t>
  </si>
  <si>
    <t xml:space="preserve">GitHub-style AI coding workflow</t>
  </si>
  <si>
    <t xml:space="preserve">Technical artifact with repository access, CI checks, and deployment notes</t>
  </si>
  <si>
    <t xml:space="preserve">A team is using an AI coding assistant inside a GitHub pull-request workflow.</t>
  </si>
  <si>
    <t xml:space="preserve">A technical team wants to use an AI assistant to propose code changes in a repository before production deploy.</t>
  </si>
  <si>
    <t xml:space="preserve">Put the safeguards in the best sequence.</t>
  </si>
  <si>
    <t xml:space="preserve">#1  scope: Limit the assistant to a branch, issue, and allowed files.
#2  generate: Generate the patch with tests and a short rationale.
#3  ci: Run lint, unit tests, security checks, and dependency review.
#4  review: Require human pull-request review for behavior and risk.
#5  release: Merge and monitor production signals after approval.</t>
  </si>
  <si>
    <t xml:space="preserve">scope &gt; generate &gt; ci &gt; review &gt; release</t>
  </si>
  <si>
    <t xml:space="preserve">COMP-D3-VERIFY-005</t>
  </si>
  <si>
    <t xml:space="preserve">benchmark literacy; leaderboard review; contamination risk; task fit</t>
  </si>
  <si>
    <t xml:space="preserve">Model benchmark brief</t>
  </si>
  <si>
    <t xml:space="preserve">Benchmark comparison artifact with model leaderboard notes and caveats</t>
  </si>
  <si>
    <t xml:space="preserve">A team is comparing model scores before choosing a model for customer support.</t>
  </si>
  <si>
    <t xml:space="preserve">A vendor says its model is “best” because it leads one public benchmark. The team needs to decide whether the benchmark is relevant.</t>
  </si>
  <si>
    <t xml:space="preserve">Which checks should the team run before trusting the benchmark claim?</t>
  </si>
  <si>
    <t xml:space="preserve">✔ task: Check whether the benchmark task matches the support workflow.  (score 25)
✔ leakage: Look for contamination, leakage, or overfitting warnings.  (score 25)
✔ recency: Compare dates, model version, and evaluation setting.  (score 25)
✔ cost: Test latency, cost, safety behavior, and failure cases in the real workflow.  (score 25)
· brand: Choose the best-known vendor because it is probably safer.  (score 0)</t>
  </si>
  <si>
    <t xml:space="preserve">task; leakage; recency; cost  (multi-select: all required)</t>
  </si>
  <si>
    <t xml:space="preserve">task: Correct. Benchmark fit matters.
leakage: Correct. Public benchmarks can be gamed or saturated.
recency: Correct. Stale or mismatched evaluations mislead.
cost: Correct. Operational fit matters beyond score.
brand: Brand reputation is not enough evidence.</t>
  </si>
  <si>
    <t xml:space="preserve">COMP-D3-MEDIA-006</t>
  </si>
  <si>
    <t xml:space="preserve">synthetic media signals; provenance; image-caption check; fraud detection</t>
  </si>
  <si>
    <t xml:space="preserve">/stimuli/fake-product-listing.svg</t>
  </si>
  <si>
    <t xml:space="preserve">Marketplace listing</t>
  </si>
  <si>
    <t xml:space="preserve">Marketplace product listing with suspicious image, reviews, seller history, and pricing</t>
  </si>
  <si>
    <t xml:space="preserve">Inspect the picture, seller evidence, reviews, and claims before buying or sharing.</t>
  </si>
  <si>
    <t xml:space="preserve">A friend asks whether this discounted AI-generated-looking product listing is safe to buy.</t>
  </si>
  <si>
    <t xml:space="preserve">Which signals should raise concern?</t>
  </si>
  <si>
    <t xml:space="preserve">✔ image: The image has inconsistent product details across views.  (score 25)
✔ seller: The seller is new and has little verifiable history.  (score 25)
✔ reviews: Reviews repeat similar wording and dates.  (score 25)
✔ payment: Payment or warranty terms differ from the platform policy.  (score 25)
· discount: Any discount means the item is fake.  (score 0)</t>
  </si>
  <si>
    <t xml:space="preserve">image; seller; reviews; payment  (multi-select: all required)</t>
  </si>
  <si>
    <t xml:space="preserve">image: Correct. Visual inconsistency is a useful signal.
seller: Correct. Provenance matters.
reviews: Correct. Review patterns can be suspicious.
payment: Correct. Off-platform terms increase risk.
discount: A discount alone is not enough evidence.</t>
  </si>
  <si>
    <t xml:space="preserve">COMP-D4-RISK-007</t>
  </si>
  <si>
    <t xml:space="preserve">D4-risk; D1-systems</t>
  </si>
  <si>
    <t xml:space="preserve">Data protection and privacy; Fairness, ethics, and rights; Security and governance controls; Core AI concepts; Generative AI mechanics; AI systems literacy</t>
  </si>
  <si>
    <t xml:space="preserve">Hugging Face model card; license review; training data rights; deployment risk</t>
  </si>
  <si>
    <t xml:space="preserve">Hugging Face-style model card review</t>
  </si>
  <si>
    <t xml:space="preserve">Model card and vendor questionnaire excerpt with license, dataset, intended use, and safety notes</t>
  </si>
  <si>
    <t xml:space="preserve">The artifact resembles a model card plus vendor security questionnaire for an open model.</t>
  </si>
  <si>
    <t xml:space="preserve">A team wants to download an open model from a model hub and deploy it in a customer workflow.</t>
  </si>
  <si>
    <t xml:space="preserve">Match each model-card signal to the review action.</t>
  </si>
  <si>
    <t xml:space="preserve">License field is unclear for commercial use  →  Legal/license review before deployment   [choices: Legal/license review before deployment | Ignore because the model is public | Increase temperature | Skip monitoring]
Training data summary omits sensitive-data handling  →  Data provenance and privacy check   [choices: Data provenance and privacy check | Use in production immediately | Only change the UI | Ask marketing to approve]
Safety evaluation covers English chat only  →  Test in local language and workflow   [choices: Test in local language and workflow | Assume scores transfer | Disable all logging | Remove user feedback]
Known limitation: may generate unsafe advice  →  Add guardrails and human escalation   [choices: Add guardrails and human escalation | Promote as autonomous expert | Hide limitation from users | Use only longer prompts]</t>
  </si>
  <si>
    <t xml:space="preserve">License field is unclear for commercial use → Legal/license review before deployment; Training data summary omits sensitive-data handling → Data provenance and privacy check; Safety evaluation covers English chat only → Test in local language and workflow; Known limitation: may generate unsafe advice → Add guardrails and human escalation</t>
  </si>
  <si>
    <t xml:space="preserve">COMP-D4-GOV-008</t>
  </si>
  <si>
    <t xml:space="preserve">policy alignment; human review; incident response; accountability</t>
  </si>
  <si>
    <t xml:space="preserve">Agent audit log</t>
  </si>
  <si>
    <t xml:space="preserve">Agent audit log showing tool calls, approver names, missing reason codes, and escalation failures</t>
  </si>
  <si>
    <t xml:space="preserve">The assistant took several actions, but the log has missing reason codes and unclear approval ownership.</t>
  </si>
  <si>
    <t xml:space="preserve">An AI agent changed customer follow-up tasks after reading sensitive records.</t>
  </si>
  <si>
    <t xml:space="preserve">What governance evidence is missing?</t>
  </si>
  <si>
    <t xml:space="preserve">✔ owner: Named accountable owner for the workflow and exceptions.  (score 25)
✔ reason: Reason codes for the agent actions and recommendations.  (score 25)
✔ approval: Approval gate for sensitive or customer-impacting changes.  (score 25)
✔ incident: Escalation route when the agent makes a harmful change.  (score 25)
· style: A friendlier assistant avatar.  (score 0)</t>
  </si>
  <si>
    <t xml:space="preserve">owner; reason; approval; incident  (multi-select: all required)</t>
  </si>
  <si>
    <t xml:space="preserve">owner: Correct. Ownership must be visible.
reason: Correct. Decisions need traceability.
approval: Correct. High-impact actions need review gates.
incident: Correct. Incident response is part of governance.
style: Style does not solve accountability gaps.</t>
  </si>
  <si>
    <t xml:space="preserve">COMP-D5-VALUE-009</t>
  </si>
  <si>
    <t xml:space="preserve">use-case fit; baseline metrics; ROI evidence; pilot gates</t>
  </si>
  <si>
    <t xml:space="preserve">Pilot canvas</t>
  </si>
  <si>
    <t xml:space="preserve">AI pilot canvas with baseline, outcome metric, risk level, data readiness, and scale gate</t>
  </si>
  <si>
    <t xml:space="preserve">The team has three AI ideas but only one has a measurable baseline and safe pilot path.</t>
  </si>
  <si>
    <t xml:space="preserve">A team can fund one AI pilot this quarter.</t>
  </si>
  <si>
    <t xml:space="preserve">Which pilot is most ready?</t>
  </si>
  <si>
    <t xml:space="preserve">· a: A flashy chatbot demo with no baseline or owner.  (score 20)
✔ b: A ticket-triage draft tool with baseline handle time, review gate, and stop criteria.  (score 96)
· c: A full automation plan for refunds before testing edge cases.  (score 25)
· d: A company-wide rollout because competitors mention AI in earnings calls.  (score 10)</t>
  </si>
  <si>
    <t xml:space="preserve">b: A ticket-triage draft tool with baseline handle time, review gate, and stop criteria.</t>
  </si>
  <si>
    <t xml:space="preserve">a: A demo without a baseline is weak evidence.
b: Correct. This has value evidence and pilot discipline.
c: Too much risk before validation.
d: Trend pressure is not a business case.</t>
  </si>
  <si>
    <t xml:space="preserve">COMP-D5-STRATEGY-010</t>
  </si>
  <si>
    <t xml:space="preserve">D5-strategy; D3-verification</t>
  </si>
  <si>
    <t xml:space="preserve">Use-case evaluation; Portfolio prioritization; Strategy and transformation; Source and claim verification; Data and chart judgment</t>
  </si>
  <si>
    <t xml:space="preserve">trend judgment; business-case design; portfolio decisions; benchmark interpretation</t>
  </si>
  <si>
    <t xml:space="preserve">AI trend-to-strategy brief</t>
  </si>
  <si>
    <t xml:space="preserve">Executive market report with competitor AI claims, benchmark caveats, and customer adoption notes</t>
  </si>
  <si>
    <t xml:space="preserve">The report includes model news, competitor claims, and weak adoption evidence.</t>
  </si>
  <si>
    <t xml:space="preserve">Leadership asks whether a new model release and competitor announcement justify a major AI investment.</t>
  </si>
  <si>
    <t xml:space="preserve">Write a short recommendation: what evidence would you require before funding the initiative?</t>
  </si>
  <si>
    <t xml:space="preserve">business: Connects AI trend to business problem (22 pts; keywords: business, customer, workflow, problem, outcome)
evidence: Requires evidence beyond public claims (24 pts; keywords: evidence, benchmark, pilot, data, customer)
risk: Mentions risk, governance, or operating limits (20 pts; keywords: risk, governance, safe, privacy, approval)
metric: Defines success metric and baseline (22 pts; keywords: metric, baseline, measure, roi, cost)
gate: Uses staged funding or scale criteria (12 pts; keywords: stage, gate, pilot, scale, stop)</t>
  </si>
  <si>
    <t xml:space="preserve">I would not fund a major rollout from model news alone. I would require a specific business workflow, current baseline, pilot metric, customer or cost impact, benchmark fit to our task, privacy and governance review, and a stage gate that expands only if the pilot beats baseline without unacceptable risk.</t>
  </si>
  <si>
    <t xml:space="preserve">COMP-D6-COLLAB-011</t>
  </si>
  <si>
    <t xml:space="preserve">role clarity; review routines; challenge culture; learning ownership</t>
  </si>
  <si>
    <t xml:space="preserve">Human-AI support review</t>
  </si>
  <si>
    <t xml:space="preserve">The team needs clear collaboration rules for AI drafts and human review.</t>
  </si>
  <si>
    <t xml:space="preserve">A support team is deciding how humans and AI should work together on sensitive tickets.</t>
  </si>
  <si>
    <t xml:space="preserve">Match each work moment to the right collaboration rule.</t>
  </si>
  <si>
    <t xml:space="preserve">AI writes first reply draft  →  Human verifies facts before sending   [choices: Human verifies facts before sending | AI approves refund | Remove review notes | Hide uncertainty]
Human changes the AI recommendation  →  Capture override reason for learning   [choices: Capture override reason for learning | Punish the reviewer | Delete the draft | Block all future AI use]
Ticket includes legal or safety risk  →  Escalate to specialist owner   [choices: Escalate to specialist owner | Let AI decide faster | Use a more cheerful tone | Ignore until weekly review]
Repeated AI errors appear in one topic  →  Update guidance and coaching loop   [choices: Update guidance and coaching loop | Increase confidence score | Use fewer sources | Automate every case]</t>
  </si>
  <si>
    <t xml:space="preserve">AI writes first reply draft → Human verifies facts before sending; Human changes the AI recommendation → Capture override reason for learning; Ticket includes legal or safety risk → Escalate to specialist owner; Repeated AI errors appear in one topic → Update guidance and coaching loop</t>
  </si>
  <si>
    <t xml:space="preserve">COMP-D6-CHANGE-012</t>
  </si>
  <si>
    <t xml:space="preserve">adoption support; communication; coaching loops; continuous improvement</t>
  </si>
  <si>
    <t xml:space="preserve">Adoption dashboard</t>
  </si>
  <si>
    <t xml:space="preserve">Productivity chart with uneven adoption, missing baseline, and department-level differences</t>
  </si>
  <si>
    <t xml:space="preserve">AI usage increased, but quality and confidence vary by team.</t>
  </si>
  <si>
    <t xml:space="preserve">An organization claims its AI rollout succeeded because usage doubled.</t>
  </si>
  <si>
    <t xml:space="preserve">Which follow-up actions would make the change program more credible?</t>
  </si>
  <si>
    <t xml:space="preserve">✔ baseline: Compare usage with baseline productivity and quality measures.  (score 25)
✔ segments: Segment adoption by role/team to find where support is needed.  (score 25)
✔ coaching: Create coaching loops from common review/override patterns.  (score 25)
✔ quality: Track output quality, customer impact, and confidence together.  (score 25)
· mandate: Mandate daily usage because higher usage proves transformation.  (score 0)</t>
  </si>
  <si>
    <t xml:space="preserve">baseline; segments; coaching; quality  (multi-select: all required)</t>
  </si>
  <si>
    <t xml:space="preserve">baseline: Correct. Usage alone is not value.
segments: Correct. Averages hide adoption gaps.
coaching: Correct. Change requires learning loops.
quality: Correct. Responsible adoption balances speed and quality.
mandate: Mandated usage can increase activity without value or trust.</t>
  </si>
  <si>
    <t xml:space="preserve">CAL-D1-CONCEPTS-013</t>
  </si>
  <si>
    <t xml:space="preserve">LLM basics; RAG and grounding; context; memory</t>
  </si>
  <si>
    <t xml:space="preserve">Concept matching sheet</t>
  </si>
  <si>
    <t xml:space="preserve">AI concept workbench showing model, retrieval, context, memory, and tools</t>
  </si>
  <si>
    <t xml:space="preserve">A product team is deciding which AI concept explains each system behavior.</t>
  </si>
  <si>
    <t xml:space="preserve">A team is writing user help text for an AI assistant and needs to avoid misleading claims.</t>
  </si>
  <si>
    <t xml:space="preserve">Match each behavior to the concept it depends on.</t>
  </si>
  <si>
    <t xml:space="preserve">The answer improves when the user pastes the policy excerpt  →  Context   [choices: Context | Memory | RAG | Fine-tuning]
The app searches a source library before answering  →  RAG   [choices: RAG | Temperature | Memory | Vision model]
The assistant remembers a saved user preference next week  →  Memory   [choices: Memory | Context | Benchmark | Embedding only]
The assistant invents a citation that looks real  →  Hallucination   [choices: Hallucination | Grounding | Calibration | Latency]</t>
  </si>
  <si>
    <t xml:space="preserve">The answer improves when the user pastes the policy excerpt → Context; The app searches a source library before answering → RAG; The assistant remembers a saved user preference next week → Memory; The assistant invents a citation that looks real → Hallucination</t>
  </si>
  <si>
    <t xml:space="preserve">CAL-D1-SYSTEMS-014</t>
  </si>
  <si>
    <t xml:space="preserve">tool connectors; MCP; data flow; permission scope</t>
  </si>
  <si>
    <t xml:space="preserve">MCP/tool-call trace</t>
  </si>
  <si>
    <t xml:space="preserve">Agent tool trace showing file read, CRM lookup, email draft, and external web request</t>
  </si>
  <si>
    <t xml:space="preserve">The assistant can call tools. The user must inspect what data moved and what actions were allowed.</t>
  </si>
  <si>
    <t xml:space="preserve">A product manager reviews an AI assistant trace before approving a tool-enabled workflow.</t>
  </si>
  <si>
    <t xml:space="preserve">Which system questions matter most before launch?</t>
  </si>
  <si>
    <t xml:space="preserve">✔ scope: Which tools can act, read, write, or send?  (score 25)
✔ data: What data crosses each connector boundary?  (score 25)
✔ log: Can reviewers inspect prompts, tool calls, outputs, and approvals?  (score 25)
✔ fallback: What happens when a tool fails or returns conflicting evidence?  (score 25)
· tone: Whether the assistant sounds enthusiastic enough.  (score 0)</t>
  </si>
  <si>
    <t xml:space="preserve">scope; data; log; fallback  (multi-select: all required)</t>
  </si>
  <si>
    <t xml:space="preserve">scope: Correct. Tool authority changes system risk.
data: Correct. Data movement must be visible.
log: Correct. Auditability is required.
fallback: Correct. Failure modes are part of system design.
tone: Tone is secondary to permissions, data flow, and auditability.</t>
  </si>
  <si>
    <t xml:space="preserve">CAL-D2-PROMPT-015</t>
  </si>
  <si>
    <t xml:space="preserve">prompt repair; rubric prompting; constraints; evaluation</t>
  </si>
  <si>
    <t xml:space="preserve">Campaign analysis prompt</t>
  </si>
  <si>
    <t xml:space="preserve">Marketing campaign dashboard with spend, conversion, sample-size, and channel notes</t>
  </si>
  <si>
    <t xml:space="preserve">The prompt must prevent the assistant from overclaiming campaign performance.</t>
  </si>
  <si>
    <t xml:space="preserve">A marketing lead wants an AI assistant to summarize a campaign dashboard for executives.</t>
  </si>
  <si>
    <t xml:space="preserve">Write a prompt that asks for useful analysis while preventing unsupported conclusions.</t>
  </si>
  <si>
    <t xml:space="preserve">role: Defines role and audience (18 pts; keywords: act as, marketing, executive, audience)
evidence: Requires evidence from the dashboard (24 pts; keywords: dashboard, data, evidence, source, metric)
limits: Blocks causal overclaims (24 pts; keywords: do not claim, causal, incremental, unsupported, correlation)
format: Specifies concise output format (16 pts; keywords: format, summary, risks, recommendation, bullets)
review: Asks for caveats or checks (18 pts; keywords: caveat, check, sample, baseline, review)</t>
  </si>
  <si>
    <t xml:space="preserve">Act as a marketing analyst writing for executives. Use only the campaign dashboard metrics and notes. Summarize what improved, what is uncertain, and what needs follow-up. Do not claim causality or incrementality unless the dashboard shows a controlled test. Output: three findings, two caveats, recommended next test, and data needed before scaling.</t>
  </si>
  <si>
    <t xml:space="preserve">CAL-D2-WORKFLOW-016</t>
  </si>
  <si>
    <t xml:space="preserve">workflow mapping; handoffs; review checkpoints; customer service automation</t>
  </si>
  <si>
    <t xml:space="preserve">Support workflow board</t>
  </si>
  <si>
    <t xml:space="preserve">Customer service escalation queue showing dispute status, SLA timer, AI draft, and notes</t>
  </si>
  <si>
    <t xml:space="preserve">The team wants AI help without letting the assistant resolve risky cases alone.</t>
  </si>
  <si>
    <t xml:space="preserve">A support team is adding AI drafting to its escalation queue.</t>
  </si>
  <si>
    <t xml:space="preserve">Order the workflow for a safe assisted-response process.</t>
  </si>
  <si>
    <t xml:space="preserve">#1  triage: Classify ticket risk and missing evidence.
#2  retrieve: Pull approved policy and account facts.
#3  draft: Draft reply with evidence and uncertainty notes.
#4  approve: Human reviews refunds, disputes, and legal-risk cases.
#5  learn: Log overrides and update guidance.</t>
  </si>
  <si>
    <t xml:space="preserve">triage &gt; retrieve &gt; draft &gt; approve &gt; learn</t>
  </si>
  <si>
    <t xml:space="preserve">CAL-D3-VERIFY-017</t>
  </si>
  <si>
    <t xml:space="preserve">chart forensics; baseline; sample quality; confidence calibration</t>
  </si>
  <si>
    <t xml:space="preserve">Productivity chart</t>
  </si>
  <si>
    <t xml:space="preserve">Productivity chart with missing baseline, uneven teams, and overstated AI impact</t>
  </si>
  <si>
    <t xml:space="preserve">The chart looks impressive, but the evidence does not yet prove AI caused the result.</t>
  </si>
  <si>
    <t xml:space="preserve">A manager says the chart proves the AI rollout increased productivity by 38%.</t>
  </si>
  <si>
    <t xml:space="preserve">What is the best critique?</t>
  </si>
  <si>
    <t xml:space="preserve">✔ a: The chart needs baseline, comparison group, and quality checks before causal claims.  (score 96)
· b: The claim is true because the chart uses a large number.  (score 10)
· c: The chart is useless because all AI dashboards are biased.  (score 25)
· d: The only issue is the chart color choice.  (score 5)</t>
  </si>
  <si>
    <t xml:space="preserve">a: The chart needs baseline, comparison group, and quality checks before causal claims.</t>
  </si>
  <si>
    <t xml:space="preserve">a: Correct. Chart review needs causality and quality evidence.
b: A large number does not prove causality.
c: Too broad. The right critique is specific evidence quality.
d: Visual polish is not the core evidence problem.</t>
  </si>
  <si>
    <t xml:space="preserve">CAL-D3-MEDIA-018</t>
  </si>
  <si>
    <t xml:space="preserve">phishing checks; suspicious artifacts; provenance; risk explanation</t>
  </si>
  <si>
    <t xml:space="preserve">Login screen inspection</t>
  </si>
  <si>
    <t xml:space="preserve">Suspicious login screen with urgency, lookalike domain, and credential request</t>
  </si>
  <si>
    <t xml:space="preserve">The user must explain why the page is suspicious and what to do next.</t>
  </si>
  <si>
    <t xml:space="preserve">A coworker lands on this login page after clicking a message about expired access.</t>
  </si>
  <si>
    <t xml:space="preserve">Write 2-4 sentences explaining the suspicious signals and the safe next action.</t>
  </si>
  <si>
    <t xml:space="preserve">domain: Mentions lookalike or unofficial domain (25 pts; keywords: domain, url, link, lookalike, official)
urgency: Mentions urgency or pressure tactic (18 pts; keywords: urgent, expire, pressure, deadline, warning)
credential: Mentions credential or MFA risk (22 pts; keywords: password, credential, mfa, login, account)
action: Gives safe action (25 pts; keywords: close, report, official, it, security)
evidence: Avoids overclaiming without inspection (10 pts; keywords: suspicious, verify, confirm, do not enter)</t>
  </si>
  <si>
    <t xml:space="preserve">I would not enter credentials. The page came from a message, uses urgency, and should be checked against the official company login URL. Close it, report it to IT/security, and navigate to the login page independently.</t>
  </si>
  <si>
    <t xml:space="preserve">CAL-D4-RISK-019</t>
  </si>
  <si>
    <t xml:space="preserve">data minimization; least privilege; approval gates; audit logs</t>
  </si>
  <si>
    <t xml:space="preserve">Finance; Engineering &amp; Data; Operations</t>
  </si>
  <si>
    <t xml:space="preserve">Finance data export</t>
  </si>
  <si>
    <t xml:space="preserve">Finance workbook with vendor names, bank details, variance notes, and AI export request</t>
  </si>
  <si>
    <t xml:space="preserve">The AI workflow wants more data than it needs for the task.</t>
  </si>
  <si>
    <t xml:space="preserve">A finance analyst wants to upload a workbook with vendor bank details to an AI tool for a variance summary.</t>
  </si>
  <si>
    <t xml:space="preserve">Which controls should be applied before using AI?</t>
  </si>
  <si>
    <t xml:space="preserve">✔ minimize: Use only fields needed for the variance task.  (score 25)
✔ mask: Remove or mask bank details and personal identifiers.  (score 25)
✔ approved: Use an approved tool and policy path for financial data.  (score 25)
✔ log: Keep a record of data source, prompt, output, and review.  (score 25)
· paste: Paste everything so the AI has maximum context.  (score 0)</t>
  </si>
  <si>
    <t xml:space="preserve">minimize; mask; approved; log  (multi-select: all required)</t>
  </si>
  <si>
    <t xml:space="preserve">minimize: Correct. Minimize data exposure.
mask: Correct. Sensitive data should not be exposed unnecessarily.
approved: Correct. Tool approval matters.
log: Correct. Audit evidence supports accountability.
paste: More context can create unnecessary privacy and security risk.</t>
  </si>
  <si>
    <t xml:space="preserve">CAL-D4-GOV-020</t>
  </si>
  <si>
    <t xml:space="preserve">D4-governance; D5-strategy</t>
  </si>
  <si>
    <t xml:space="preserve">Regulatory and policy fluency; Fairness, ethics, and rights; Security and governance controls; Use-case evaluation; Portfolio prioritization; Strategy and transformation</t>
  </si>
  <si>
    <t xml:space="preserve">vendor controls; incident response; policy alignment; stage gate</t>
  </si>
  <si>
    <t xml:space="preserve">Vendor governance memo</t>
  </si>
  <si>
    <t xml:space="preserve">Vendor memo with data rights, retention, audit, subcontractor, and incident terms</t>
  </si>
  <si>
    <t xml:space="preserve">The buyer must review governance terms before expanding vendor access.</t>
  </si>
  <si>
    <t xml:space="preserve">A vendor proposes using company data to improve its AI service.</t>
  </si>
  <si>
    <t xml:space="preserve">Order the governance review steps.</t>
  </si>
  <si>
    <t xml:space="preserve">#1  classify: Classify data sensitivity and permitted use.
#2  contract: Review data rights, retention, subcontractors, and audit clauses.
#3  controls: Define access controls, monitoring, and incident obligations.
#4  pilot: Run a limited pilot with exit criteria.
#5  approve: Approve expansion only after evidence and signoff.</t>
  </si>
  <si>
    <t xml:space="preserve">classify &gt; contract &gt; controls &gt; pilot &gt; approve</t>
  </si>
  <si>
    <t xml:space="preserve">CAL-D5-VALUE-021</t>
  </si>
  <si>
    <t xml:space="preserve">ROI evidence; baseline metrics; benefit realization; stop criteria</t>
  </si>
  <si>
    <t xml:space="preserve">Sales AI forecast</t>
  </si>
  <si>
    <t xml:space="preserve">Sales CRM pipeline with stale deals, risk flags, AI forecast, and missing customer activity</t>
  </si>
  <si>
    <t xml:space="preserve">The AI forecast may overstate value because the pipeline evidence is weak.</t>
  </si>
  <si>
    <t xml:space="preserve">Sales wants to fund an AI forecasting assistant because it predicts a larger quarter.</t>
  </si>
  <si>
    <t xml:space="preserve">Which evidence should be required before scaling?</t>
  </si>
  <si>
    <t xml:space="preserve">✔ baseline: Forecast accuracy before and after AI on comparable periods.  (score 25)
✔ accuracy: Error rates by deal stage, stale activity, and risk flags.  (score 25)
✔ segment: Evidence by team, market, and deal type.  (score 25)
✔ action: Whether recommendations change seller behavior and outcomes.  (score 25)
· confidence: The model confidence number by itself.  (score 0)</t>
  </si>
  <si>
    <t xml:space="preserve">baseline; accuracy; segment; action  (multi-select: all required)</t>
  </si>
  <si>
    <t xml:space="preserve">baseline: Correct. Improvement needs a baseline.
accuracy: Correct. Accuracy must be segmented.
segment: Correct. Averages can hide failure modes.
action: Correct. Value depends on decisions, not predictions alone.
confidence: Confidence alone is not business evidence.</t>
  </si>
  <si>
    <t xml:space="preserve">CAL-D5-STRATEGY-022</t>
  </si>
  <si>
    <t xml:space="preserve">portfolio decisions; build buy partner; trend judgment; scale criteria</t>
  </si>
  <si>
    <t xml:space="preserve">AI portfolio board packet</t>
  </si>
  <si>
    <t xml:space="preserve">Board packet comparing AI portfolio initiatives by readiness, value, risk, and data quality</t>
  </si>
  <si>
    <t xml:space="preserve">Different AI opportunities need different strategic responses.</t>
  </si>
  <si>
    <t xml:space="preserve">A leadership team is reviewing four AI opportunities.</t>
  </si>
  <si>
    <t xml:space="preserve">Match each portfolio signal to the best strategic move.</t>
  </si>
  <si>
    <t xml:space="preserve">Common workflow, mature vendors, low differentiation  →  Buy or configure   [choices: Buy or configure | Build core IP | Pause for policy | Launch companywide]
Unique customer data and strategic differentiation  →  Build or co-develop with controls   [choices: Build or co-develop with controls | Ignore governance | Buy cheapest tool | Avoid AI entirely]
High impact, unclear data rights, weak auditability  →  Pause until controls are resolved   [choices: Pause until controls are resolved | Scale immediately | Hide risk in pilot notes | Use only a better prompt]
Clear baseline, low risk, strong owner, measurable gain  →  Pilot with scale gate   [choices: Pilot with scale gate | Wait for perfect certainty | Skip measurement | Treat as research only]</t>
  </si>
  <si>
    <t xml:space="preserve">Common workflow, mature vendors, low differentiation → Buy or configure; Unique customer data and strategic differentiation → Build or co-develop with controls; High impact, unclear data rights, weak auditability → Pause until controls are resolved; Clear baseline, low risk, strong owner, measurable gain → Pilot with scale gate</t>
  </si>
  <si>
    <t xml:space="preserve">CAL-D6-COLLAB-023</t>
  </si>
  <si>
    <t xml:space="preserve">challenge culture; review routines; role clarity; human ownership</t>
  </si>
  <si>
    <t xml:space="preserve">AI hiring review</t>
  </si>
  <si>
    <t xml:space="preserve">Hiring packet with AI screening summary, interviewer notes, missing evidence, and fairness flags</t>
  </si>
  <si>
    <t xml:space="preserve">The team must decide how to use AI without hiding human accountability.</t>
  </si>
  <si>
    <t xml:space="preserve">A hiring team receives an AI shortlist that conflicts with interviewer notes and has missing evidence.</t>
  </si>
  <si>
    <t xml:space="preserve">Write the collaboration rule you would give the team before using the AI shortlist.</t>
  </si>
  <si>
    <t xml:space="preserve">assist: Defines AI as assistance not final authority (22 pts; keywords: assist, support, not final, recommendation)
evidence: Requires evidence review (24 pts; keywords: evidence, notes, criteria, verify, rubric)
fairness: Mentions fairness or bias check (20 pts; keywords: fair, bias, consistent, criteria)
owner: Names human decision ownership (22 pts; keywords: human, owner, decision, accountable)
challenge: Allows challenge or override (12 pts; keywords: challenge, override, appeal, review)</t>
  </si>
  <si>
    <t xml:space="preserve">Use the AI shortlist only as an input. Review candidates against the same hiring rubric, compare the AI summary with interviewer notes and evidence, check for missing or biased criteria, and keep the hiring decision human-owned. Any conflict, missing evidence, or fairness concern should be challenged and documented before action.</t>
  </si>
  <si>
    <t xml:space="preserve">CAL-D6-CHANGE-024</t>
  </si>
  <si>
    <t xml:space="preserve">communication; adoption support; learning loops; manager enablement</t>
  </si>
  <si>
    <t xml:space="preserve">AI rollout plan</t>
  </si>
  <si>
    <t xml:space="preserve">AI rollout plan with training dates, manager actions, support channel, and feedback loops</t>
  </si>
  <si>
    <t xml:space="preserve">The rollout needs behavior change support, not just tool access.</t>
  </si>
  <si>
    <t xml:space="preserve">A company launches an AI assistant, but several teams are confused about when and how to use it.</t>
  </si>
  <si>
    <t xml:space="preserve">Which action best supports adoption?</t>
  </si>
  <si>
    <t xml:space="preserve">✔ a: Give managers example workflows, review routines, and a feedback channel.  (score 95)
· b: Send one announcement saying the tool is now available.  (score 25)
· c: Measure only login count and call it transformation.  (score 10)
· d: Tell teams to experiment without any guidance or guardrails.  (score 20)</t>
  </si>
  <si>
    <t xml:space="preserve">a: Give managers example workflows, review routines, and a feedback channel.</t>
  </si>
  <si>
    <t xml:space="preserve">a: Correct. Adoption needs practical support and learning loops.
b: Awareness alone rarely changes behavior.
c: Usage alone does not prove capability or value.
d: Experimentation still needs safety, support, and shared learning.</t>
  </si>
  <si>
    <t xml:space="preserve">D1-A-001</t>
  </si>
  <si>
    <t xml:space="preserve">Recipe Bot Reply</t>
  </si>
  <si>
    <t xml:space="preserve">Claim: safe for peanut allergy | Citations: two broken links | Tone: very confident | Use case: family dinner tonight</t>
  </si>
  <si>
    <t xml:space="preserve">A friend wants to use this AI answer for an allergy-sensitive dinner.</t>
  </si>
  <si>
    <t xml:space="preserve">What should they do first?</t>
  </si>
  <si>
    <t xml:space="preserve">· a: Accept the answer if the writing is fluent.  (score 15)
✔ b: Check whether the sources support the claim before using it.  (score 95)
· c: Reject all chatbot answers because they are never reliable.  (score 35)
· d: Ask the chatbot to be more confident.  (score 10)</t>
  </si>
  <si>
    <t xml:space="preserve">b: Check whether the sources support the claim before using it.</t>
  </si>
  <si>
    <t xml:space="preserve">a: Fluency is not evidence of accuracy.
b: Strong. AI outputs need source and claim verification.
c: Too broad. The right move is calibrated verification.
d: Confidence wording does not improve truthfulness.</t>
  </si>
  <si>
    <t xml:space="preserve">D1-M-002</t>
  </si>
  <si>
    <t xml:space="preserve">Leave Policy Chatbot</t>
  </si>
  <si>
    <t xml:space="preserve">Employee asks: Can I carry leave? | Policy updated: last Friday | Bot answer: no source shown | Risk: wrong HR advice</t>
  </si>
  <si>
    <t xml:space="preserve">Your team wants AI to answer questions about the latest HR policy.</t>
  </si>
  <si>
    <t xml:space="preserve">What setup is safest?</t>
  </si>
  <si>
    <t xml:space="preserve">✔ a: Use retrieval from the approved policy repository.  (score 95)
· b: Rely on the model training data.  (score 25)
· c: Fine-tune immediately without evaluating retrieval first.  (score 45)
· d: Ask users to paste policy text each time.  (score 50)</t>
  </si>
  <si>
    <t xml:space="preserve">a: Use retrieval from the approved policy repository.</t>
  </si>
  <si>
    <t xml:space="preserve">a: Correct. Retrieval grounds the answer in current approved material.
b: Training data may be stale and may not contain private policy.
c: Fine-tuning may help style, but retrieval is the first fit for current facts.
d: This may work manually but creates privacy and consistency risk.</t>
  </si>
  <si>
    <t xml:space="preserve">D1-H-003</t>
  </si>
  <si>
    <t xml:space="preserve">Refund Policy Answer</t>
  </si>
  <si>
    <t xml:space="preserve">Uploaded files: return form only | AI answer: 30-day refund policy | Citation: none | User asks: can I trust it?</t>
  </si>
  <si>
    <t xml:space="preserve">An AI assistant gives a refund policy that is not in the uploaded documents.</t>
  </si>
  <si>
    <t xml:space="preserve">What most likely happened?</t>
  </si>
  <si>
    <t xml:space="preserve">✔ a: The model generated a plausible answer not grounded in retrieved evidence.  (score 95)
· b: The model became malicious.  (score 20)
· c: The user typed too slowly.  (score 5)
· d: The answer must be hidden in the documents.  (score 25)</t>
  </si>
  <si>
    <t xml:space="preserve">a: The model generated a plausible answer not grounded in retrieved evidence.</t>
  </si>
  <si>
    <t xml:space="preserve">a: Correct. This describes hallucination in a grounded workflow.
b: Possible in some contexts, but not the best explanation here.
c: Input speed is irrelevant.
d: That assumes the conclusion instead of checking evidence.</t>
  </si>
  <si>
    <t xml:space="preserve">D2-A-001</t>
  </si>
  <si>
    <t xml:space="preserve">scenario</t>
  </si>
  <si>
    <t xml:space="preserve">Customer Reply Draft</t>
  </si>
  <si>
    <t xml:space="preserve">Customer: asks about late delivery | Tone: warm and honest | Limit: do not promise refund | Need: one clear next step</t>
  </si>
  <si>
    <t xml:space="preserve">You want AI to turn these notes into a customer email.</t>
  </si>
  <si>
    <t xml:space="preserve">Which prompt is best?</t>
  </si>
  <si>
    <t xml:space="preserve">· a: Write something good.  (score 20)
✔ b: Draft a warm 150-word reply using these notes, avoid promises, and end with one next step.  (score 95)
· c: Make it perfect and professional.  (score 35)
· d: Rewrite the notes exactly.  (score 40)</t>
  </si>
  <si>
    <t xml:space="preserve">b: Draft a warm 150-word reply using these notes, avoid promises, and end with one next step.</t>
  </si>
  <si>
    <t xml:space="preserve">a: Too vague to guide format, audience, or constraints.
b: Strong. It gives role, output, constraints, and success criteria.
c: Better tone guidance, but still underspecified.
d: This may preserve meaning but misses the communication goal.</t>
  </si>
  <si>
    <t xml:space="preserve">D2-M-002</t>
  </si>
  <si>
    <t xml:space="preserve">Workflow map artifact</t>
  </si>
  <si>
    <t xml:space="preserve">Workflow map showing AI drafting, unclear approval, customer reply, and a missing review loop.</t>
  </si>
  <si>
    <t xml:space="preserve">Inspect where AI enters the process and where review should happen before action.</t>
  </si>
  <si>
    <t xml:space="preserve">Call Notes to CRM</t>
  </si>
  <si>
    <t xml:space="preserve">Summarize call | Create CRM task | Draft customer email | Update contract field</t>
  </si>
  <si>
    <t xml:space="preserve">An AI workflow turns sales calls into CRM updates and customer follow-ups.</t>
  </si>
  <si>
    <t xml:space="preserve">Where is review needed first?</t>
  </si>
  <si>
    <t xml:space="preserve">✔ a: Before customer messages or CRM commitments go live.  (score 95)
· b: After customers report errors in the follow-up.  (score 10)
· c: Only during the first week of the automation.  (score 35)
· d: When the AI marks its own answer uncertain.  (score 55)</t>
  </si>
  <si>
    <t xml:space="preserve">a: Before customer messages or CRM commitments go live.</t>
  </si>
  <si>
    <t xml:space="preserve">a: Correct. Higher-impact outputs need review before action.
b: Too late. Controls should prevent avoidable mistakes.
c: Launch review helps, but ongoing risky actions still need gates.
d: Useful signal, but uncertainty is not the only risk trigger.</t>
  </si>
  <si>
    <t xml:space="preserve">D2-H-003</t>
  </si>
  <si>
    <t xml:space="preserve">Board Summary Template</t>
  </si>
  <si>
    <t xml:space="preserve">Inputs: project notes | Output: 1-page summary | Audience: board | Must include: sources and risks</t>
  </si>
  <si>
    <t xml:space="preserve">You need the same quality board summary every month.</t>
  </si>
  <si>
    <t xml:space="preserve">Which design works best?</t>
  </si>
  <si>
    <t xml:space="preserve">✔ a: A reusable template with inputs, constraints, examples, review checks, and source links.  (score 98)
· b: A fresh free-form prompt every month.  (score 35)
· c: Ask for the most impressive summary possible.  (score 20)
· d: Skip source links to make it shorter.  (score 25)</t>
  </si>
  <si>
    <t xml:space="preserve">a: A reusable template with inputs, constraints, examples, review checks, and source links.</t>
  </si>
  <si>
    <t xml:space="preserve">a: Correct. Repeatability needs structured prompting and review.
b: This creates inconsistent outputs.
c: Impressive is not a measurable output constraint.
d: Board summaries need traceability.</t>
  </si>
  <si>
    <t xml:space="preserve">D3-A-001</t>
  </si>
  <si>
    <t xml:space="preserve">Forwarded flood claim</t>
  </si>
  <si>
    <t xml:space="preserve">Forwarded chat screenshot showing a neighborhood flood photo and a vague today claim.</t>
  </si>
  <si>
    <t xml:space="preserve">Inspect the forwarding context before deciding whether the post is safe to share.</t>
  </si>
  <si>
    <t xml:space="preserve">A social post shows a dramatic image of a flooded city and claims it happened this morning.</t>
  </si>
  <si>
    <t xml:space="preserve">What should you do before sharing it?</t>
  </si>
  <si>
    <t xml:space="preserve">· a: Share quickly because urgent posts need speed.  (score 10)
✔ b: Check original source, date, location, and signs of manipulation.  (score 95)
· c: Trust it if many people reposted it.  (score 20)
· d: Ignore all images online.  (score 35)</t>
  </si>
  <si>
    <t xml:space="preserve">b: Check original source, date, location, and signs of manipulation.</t>
  </si>
  <si>
    <t xml:space="preserve">a: Urgency increases the need for verification.
b: Strong. Authenticity requires provenance and visual/context checks.
c: Virality is not validation.
d: Too broad. The skill is verification, not blanket rejection.</t>
  </si>
  <si>
    <t xml:space="preserve">D3-M-002</t>
  </si>
  <si>
    <t xml:space="preserve">Executive endorsement post</t>
  </si>
  <si>
    <t xml:space="preserve">Executive impersonation post with synthetic image cues, urgent timing, and missing original source.</t>
  </si>
  <si>
    <t xml:space="preserve">The visual may be real-looking, but the claim attached to it still needs provenance.</t>
  </si>
  <si>
    <t xml:space="preserve">An executive-looking image and caption claim a company CEO endorsed a policy yesterday.</t>
  </si>
  <si>
    <t xml:space="preserve">Which evidence would be strongest before accepting the caption?</t>
  </si>
  <si>
    <t xml:space="preserve">· a: A repost from an anonymous account.  (score 10)
✔ b: Original company channel, dated statement, or reliable news source confirming it.  (score 98)
· c: The image has high resolution.  (score 25)
· d: The post has emotional wording.  (score 10)</t>
  </si>
  <si>
    <t xml:space="preserve">b: Original company channel, dated statement, or reliable news source confirming it.</t>
  </si>
  <si>
    <t xml:space="preserve">a: Anonymous reposts are weak provenance.
b: Correct. Verify the claim through authoritative provenance.
c: Image quality does not validate the caption.
d: Emotion is often a manipulation signal, not evidence.</t>
  </si>
  <si>
    <t xml:space="preserve">D3-A-007</t>
  </si>
  <si>
    <t xml:space="preserve">Suspicious listing artifact</t>
  </si>
  <si>
    <t xml:space="preserve">Suspicious product listing with warped product image, unrealistic price, new seller, copied reviews, and outside-platform payment request.</t>
  </si>
  <si>
    <t xml:space="preserve">Inspect the product image, price, seller age, review pattern, and payment instruction.</t>
  </si>
  <si>
    <t xml:space="preserve">A marketplace listing offers an expensive device at a tiny price and asks buyers to pay outside the platform.</t>
  </si>
  <si>
    <t xml:space="preserve">Which signal is the strongest reason to stop before buying?</t>
  </si>
  <si>
    <t xml:space="preserve">✔ a: The listing asks for payment outside the trusted platform.  (score 98)
· b: The seller profile is new and reviews repeat phrases.  (score 65)
· c: The product photo has warped branding and odd shadows.  (score 58)
· d: The discount is unusually large for a premium device.  (score 55)</t>
  </si>
  <si>
    <t xml:space="preserve">a: The listing asks for payment outside the trusted platform.</t>
  </si>
  <si>
    <t xml:space="preserve">a: Correct. Outside-platform payment is a major fraud and protection-loss signal.
b: This is suspicious, but the payment request creates the biggest immediate risk.
c: A useful clue, but payment outside the platform is more decisive.
d: A big discount is a warning sign, but it is not the strongest stop signal here.</t>
  </si>
  <si>
    <t xml:space="preserve">D3-H-003</t>
  </si>
  <si>
    <t xml:space="preserve">Productivity Claim</t>
  </si>
  <si>
    <t xml:space="preserve">AI claim: productivity rose 37% | Study A: no percentage | Study B: different industry | Decision: use in report?</t>
  </si>
  <si>
    <t xml:space="preserve">An AI report cites studies that do not support its exact number.</t>
  </si>
  <si>
    <t xml:space="preserve">What is the problem?</t>
  </si>
  <si>
    <t xml:space="preserve">✔ a: The report has a citation-support mismatch and should not use the claim as written.  (score 98)
· b: The report is acceptable because citations exist.  (score 20)
· c: The productivity claim is automatically false.  (score 55)
· d: Only formatting needs correction.  (score 15)</t>
  </si>
  <si>
    <t xml:space="preserve">a: The report has a citation-support mismatch and should not use the claim as written.</t>
  </si>
  <si>
    <t xml:space="preserve">a: Correct. This identifies the evidence failure precisely.
b: Citations must support the exact claim.
c: Not necessarily false, but unsupported by the cited evidence.
d: The issue is evidence quality, not formatting.</t>
  </si>
  <si>
    <t xml:space="preserve">D4-A-001</t>
  </si>
  <si>
    <t xml:space="preserve">Candidate CVs</t>
  </si>
  <si>
    <t xml:space="preserve">Names and phone numbers | Salary history | Public chatbot | No approval notice</t>
  </si>
  <si>
    <t xml:space="preserve">A recruiter pastes candidate CVs into a public chatbot to summarize them.</t>
  </si>
  <si>
    <t xml:space="preserve">What is the biggest issue?</t>
  </si>
  <si>
    <t xml:space="preserve">· a: The chatbot may write too formally.  (score 10)
✔ b: Personal and confidential data may be exposed outside approved systems.  (score 95)
· c: The recruiter may save time.  (score 20)
· d: There is no risk if the output is useful.  (score 10)</t>
  </si>
  <si>
    <t xml:space="preserve">b: Personal and confidential data may be exposed outside approved systems.</t>
  </si>
  <si>
    <t xml:space="preserve">a: Tone is secondary here.
b: Correct. This is a data protection and governance issue.
c: Efficiency does not remove privacy obligations.
d: Usefulness does not make unsafe handling acceptable.</t>
  </si>
  <si>
    <t xml:space="preserve">D4-M-002</t>
  </si>
  <si>
    <t xml:space="preserve">AI Applicant Ranker</t>
  </si>
  <si>
    <t xml:space="preserve">Ranks applicants 1-100 | Uses CV text | No appeal route | Manager wants to launch Monday</t>
  </si>
  <si>
    <t xml:space="preserve">A department wants AI to rank job applicants.</t>
  </si>
  <si>
    <t xml:space="preserve">What must happen before launch?</t>
  </si>
  <si>
    <t xml:space="preserve">✔ a: Bias, privacy, explainability, and human review checks.  (score 98)
· b: A more colorful dashboard.  (score 10)
· c: Let the vendor decide all policies.  (score 20)
· d: Launch first and audit next year.  (score 15)</t>
  </si>
  <si>
    <t xml:space="preserve">a: Bias, privacy, explainability, and human review checks.</t>
  </si>
  <si>
    <t xml:space="preserve">a: Strong. Hiring is high-impact and needs layered governance.
b: Presentation does not address high-impact risk.
c: The organization still owns governance accountability.
d: Controls are needed before deployment.</t>
  </si>
  <si>
    <t xml:space="preserve">D4-H-003</t>
  </si>
  <si>
    <t xml:space="preserve">Customer Ops Agent</t>
  </si>
  <si>
    <t xml:space="preserve">Reads shared drive | Sends customer emails | Updates records | Can run without review</t>
  </si>
  <si>
    <t xml:space="preserve">An internal AI agent can read files, send emails, and update customer records.</t>
  </si>
  <si>
    <t xml:space="preserve">What control is mandatory?</t>
  </si>
  <si>
    <t xml:space="preserve">✔ a: Tool permissions, audit logs, approval gates, and least-privilege access.  (score 98)
· b: A friendly name for the agent.  (score 10)
· c: Unlimited access so it can be helpful.  (score 10)
· d: Only a launch announcement.  (score 15)</t>
  </si>
  <si>
    <t xml:space="preserve">a: Tool permissions, audit logs, approval gates, and least-privilege access.</t>
  </si>
  <si>
    <t xml:space="preserve">a: Correct. Agentic systems need clear authority boundaries.
b: Naming does not control action risk.
c: Unlimited permissions create serious risk.
d: Communication is not a sufficient control.</t>
  </si>
  <si>
    <t xml:space="preserve">D5-A-001</t>
  </si>
  <si>
    <t xml:space="preserve">Should We Use AI Here?</t>
  </si>
  <si>
    <t xml:space="preserve">Competitor launched AI | Our queue is slow | No success metric yet | No pilot owner yet</t>
  </si>
  <si>
    <t xml:space="preserve">A manager says, "We need AI because competitors are using it."</t>
  </si>
  <si>
    <t xml:space="preserve">What should you ask next?</t>
  </si>
  <si>
    <t xml:space="preserve">✔ a: Which business problem, user workflow, and measurable outcome are we targeting?  (score 98)
· b: Which model has the most hype?  (score 15)
· c: Can we replace the whole team?  (score 10)
· d: How quickly can we announce it?  (score 20)</t>
  </si>
  <si>
    <t xml:space="preserve">a: Which business problem, user workflow, and measurable outcome are we targeting?</t>
  </si>
  <si>
    <t xml:space="preserve">a: Correct. AI value starts from a concrete problem and metric.
b: Hype is not a strategy.
c: This jumps to an unsafe and unsupported conclusion.
d: Communication follows a credible plan.</t>
  </si>
  <si>
    <t xml:space="preserve">D5-M-002</t>
  </si>
  <si>
    <t xml:space="preserve">Chart forensics task</t>
  </si>
  <si>
    <t xml:space="preserve">A dashboard showing AI Pilot productivity charts with a prominent plus forty-two percent claim and potentially misleading visual scaling.</t>
  </si>
  <si>
    <t xml:space="preserve">Review the chart presentation and the +42% claim before deciding how to treat the vendor evidence.</t>
  </si>
  <si>
    <t xml:space="preserve">A vendor promises 40% productivity gain from an AI tool but offers no baseline, pilot design, or adoption plan.</t>
  </si>
  <si>
    <t xml:space="preserve">How should the claim be handled?</t>
  </si>
  <si>
    <t xml:space="preserve">· a: Accept it because vendor benchmarks are enough.  (score 20)
✔ b: Run a scoped pilot with baseline metrics, risk controls, and success criteria.  (score 98)
· c: Reject every productivity tool.  (score 35)
· d: Buy first to avoid missing the trend.  (score 15)</t>
  </si>
  <si>
    <t xml:space="preserve">b: Run a scoped pilot with baseline metrics, risk controls, and success criteria.</t>
  </si>
  <si>
    <t xml:space="preserve">a: Benchmarks need local validation.
b: Correct. This turns a claim into testable evidence.
c: Too broad. The issue is evidence and fit.
d: Speed without validation creates waste and risk.</t>
  </si>
  <si>
    <t xml:space="preserve">D6-A-001</t>
  </si>
  <si>
    <t xml:space="preserve">AI Rollout Worry</t>
  </si>
  <si>
    <t xml:space="preserve">Will AI replace parts of my job? | Who checks mistakes? | Can we ask questions? | What training do we get?</t>
  </si>
  <si>
    <t xml:space="preserve">A team is worried about a new AI tool at work.</t>
  </si>
  <si>
    <t xml:space="preserve">What response builds trust?</t>
  </si>
  <si>
    <t xml:space="preserve">· a: Tell them not to worry and continue rollout.  (score 15)
✔ b: Define human review points, escalation paths, training, and accountability.  (score 98)
· c: Ban questions about AI.  (score 5)
· d: Use AI only in secret pilots.  (score 20)</t>
  </si>
  <si>
    <t xml:space="preserve">b: Define human review points, escalation paths, training, and accountability.</t>
  </si>
  <si>
    <t xml:space="preserve">a: Reassurance without process does not build trust.
b: Correct. Trust comes from clear workflow and support.
c: That damages adoption and safety.
d: Hidden use weakens trust and governance.</t>
  </si>
  <si>
    <t xml:space="preserve">D6-H-002</t>
  </si>
  <si>
    <t xml:space="preserve">AI Drafting Rollout</t>
  </si>
  <si>
    <t xml:space="preserve">Error rate: down | Edge-case skill: down | Review rituals: missing | New hires: copy AI answers</t>
  </si>
  <si>
    <t xml:space="preserve">AI drafts support replies, but people are learning fewer edge cases.</t>
  </si>
  <si>
    <t xml:space="preserve">What redesign works best?</t>
  </si>
  <si>
    <t xml:space="preserve">✔ a: Keep automation, add review rituals, edge-case coaching, and learning loops.  (score 98)
· b: Remove all AI permanently.  (score 35)
· c: Let AI send every answer automatically.  (score 20)
· d: Ignore the learning issue if metrics improved.  (score 25)</t>
  </si>
  <si>
    <t xml:space="preserve">a: Keep automation, add review rituals, edge-case coaching, and learning loops.</t>
  </si>
  <si>
    <t xml:space="preserve">a: Correct. This preserves value while strengthening human capability.
b: That may lose benefits without solving learning design.
c: This worsens skill decay and risk.
d: Short-term metrics can hide long-term capability loss.</t>
  </si>
  <si>
    <t xml:space="preserve">D1-P-004</t>
  </si>
  <si>
    <t xml:space="preserve">AI, Human, or Both?</t>
  </si>
  <si>
    <t xml:space="preserve">Brainstorm a message | Approve a refund | Rewrite tone | Check the final meaning</t>
  </si>
  <si>
    <t xml:space="preserve">Your teammate wants to know what AI can safely help with.</t>
  </si>
  <si>
    <t xml:space="preserve">Match each task to the owner.</t>
  </si>
  <si>
    <t xml:space="preserve">Generate first-draft ideas  →  AI can help; human sets direction   [choices: AI can help; human sets direction | AI owns the final decision | No AI use is possible]
Approve a sensitive customer refund  →  Human owns the decision   [choices: Human owns the decision | AI decides automatically | No review is needed]
Rewrite a note for tone  →  AI can draft; human checks meaning   [choices: AI can draft; human checks meaning | AI changes facts freely | Human must type every word]</t>
  </si>
  <si>
    <t xml:space="preserve">Generate first-draft ideas → AI can help; human sets direction; Approve a sensitive customer refund → Human owns the decision; Rewrite a note for tone → AI can draft; human checks meaning</t>
  </si>
  <si>
    <t xml:space="preserve">match: Good AI literacy includes knowing what to delegate and what to own.</t>
  </si>
  <si>
    <t xml:space="preserve">D2-P-004</t>
  </si>
  <si>
    <t xml:space="preserve">Messy Notes to Action List</t>
  </si>
  <si>
    <t xml:space="preserve">12-page transcript | Manager wants actions | Names and dates matter | Send by 4 PM</t>
  </si>
  <si>
    <t xml:space="preserve">You need AI to summarize a meeting for your manager.</t>
  </si>
  <si>
    <t xml:space="preserve">Put the steps in order.</t>
  </si>
  <si>
    <t xml:space="preserve">#1  source: Provide the transcript and meeting purpose
#2  format: Specify the output format and decision audience
#3  verify: Check names, owners, dates, and commitments
#4  send: Share the final summary with caveats if needed</t>
  </si>
  <si>
    <t xml:space="preserve">source &gt; format &gt; verify &gt; send</t>
  </si>
  <si>
    <t xml:space="preserve">rank: Reliable AI work comes from clear inputs, constraints, and review.</t>
  </si>
  <si>
    <t xml:space="preserve">D2-P-005</t>
  </si>
  <si>
    <t xml:space="preserve">Help With My Presentation</t>
  </si>
  <si>
    <t xml:space="preserve">Audience: not stated | Length: not stated | Sources: not attached | Goal: unclear</t>
  </si>
  <si>
    <t xml:space="preserve">A student gets a weak AI answer from a vague prompt.</t>
  </si>
  <si>
    <t xml:space="preserve">What details should they add?</t>
  </si>
  <si>
    <t xml:space="preserve">✔ a: Audience and purpose of the presentation.  (score 33)
✔ b: Length, format, and deadline.  (score 33)
✔ c: Source notes or facts that must be included.  (score 33)
· d: A request to be impressive with no other detail.  (score 0)</t>
  </si>
  <si>
    <t xml:space="preserve">a: Audience changes content and tone.
b: Constraints make the output usable.
c: Grounding reduces generic answers.
d: Impressive is not a clear success criterion.</t>
  </si>
  <si>
    <t xml:space="preserve">D3-P-004</t>
  </si>
  <si>
    <t xml:space="preserve">Raw policy excerpt</t>
  </si>
  <si>
    <t xml:space="preserve">Raw school phone policy excerpt with a teacher-permission exception that conflicts with the AI summary.</t>
  </si>
  <si>
    <t xml:space="preserve">Inspect the source policy, not just the AI summary, before choosing what to flag.</t>
  </si>
  <si>
    <t xml:space="preserve">AI Summary vs Source Note</t>
  </si>
  <si>
    <t xml:space="preserve">AI claim: phones banned all day | Source: teacher permission allowed | Missing: exception conditions | Risk: over-enforcement</t>
  </si>
  <si>
    <t xml:space="preserve">An AI summary of a school policy says phones are banned all day, but the quoted source says phones may be used with teacher permission.</t>
  </si>
  <si>
    <t xml:space="preserve">Select the issues you should flag before using the summary.</t>
  </si>
  <si>
    <t xml:space="preserve">✔ a: The summary overstates the rule.  (score 33)
✔ b: The source should be checked before action.  (score 33)
✔ c: The output needs a caveat about teacher permission.  (score 33)
· d: The summary is fine because it is shorter.  (score 0)</t>
  </si>
  <si>
    <t xml:space="preserve">a: Correct. The exception matters.
b: Correct. Policy use needs source support.
c: Correct. The summary must preserve the condition.
d: Shorter is not better if meaning changes.</t>
  </si>
  <si>
    <t xml:space="preserve">D3-P-005</t>
  </si>
  <si>
    <t xml:space="preserve">Celebrity endorsement listing</t>
  </si>
  <si>
    <t xml:space="preserve">Suspicious product listing with generated-looking product image, unverifiable endorsement, and weak seller signals.</t>
  </si>
  <si>
    <t xml:space="preserve">The practical skill is not guessing. It is deciding what evidence is needed before sharing or trusting the claim.</t>
  </si>
  <si>
    <t xml:space="preserve">A realistic image of a celebrity endorsing a product appears in a group chat with no source link.</t>
  </si>
  <si>
    <t xml:space="preserve">What is the best next action?</t>
  </si>
  <si>
    <t xml:space="preserve">· a: Share it because the image looks realistic.  (score 10)
✔ b: Look for the original post, trusted reporting, date, and manipulation clues.  (score 95)
· c: Assume it is fake without checking.  (score 45)
· d: Ask the AI to make the claim sound more certain.  (score 5)</t>
  </si>
  <si>
    <t xml:space="preserve">b: Look for the original post, trusted reporting, date, and manipulation clues.</t>
  </si>
  <si>
    <t xml:space="preserve">a: Realistic appearance is not enough.
b: Correct. Provenance and context come first.
c: Skepticism helps, but the best response is evidence-based verification.
d: Confidence wording does not prove authenticity.</t>
  </si>
  <si>
    <t xml:space="preserve">D4-P-004</t>
  </si>
  <si>
    <t xml:space="preserve">Agent tool trace</t>
  </si>
  <si>
    <t xml:space="preserve">Agent trace showing file reads, drafted messages, record updates, finance approval, and missing control gates.</t>
  </si>
  <si>
    <t xml:space="preserve">Inspect the agent actions and decide which permissions, logs, approvals, and stop conditions are required.</t>
  </si>
  <si>
    <t xml:space="preserve">Files + Messages + Spreadsheet</t>
  </si>
  <si>
    <t xml:space="preserve">Read shared folder | Send Slack messages | Edit customer sheet | Run every morning</t>
  </si>
  <si>
    <t xml:space="preserve">A team wants an AI agent to work across everyday apps.</t>
  </si>
  <si>
    <t xml:space="preserve">What controls are needed?</t>
  </si>
  <si>
    <t xml:space="preserve">✔ a: Limit file and tool permissions to the task.  (score 25)
✔ b: Require approval before sending external messages.  (score 25)
✔ c: Keep audit logs of actions and source files.  (score 25)
✔ d: Define a stop condition for unusual behavior.  (score 25)
· e: Give it full access so it can be helpful.  (score 0)</t>
  </si>
  <si>
    <t xml:space="preserve">a: Least privilege reduces damage.
b: Outbound actions need review.
c: Traceability matters.
d: Agents need operational boundaries.
e: Full access creates unnecessary risk.</t>
  </si>
  <si>
    <t xml:space="preserve">D5-P-003</t>
  </si>
  <si>
    <t xml:space="preserve">Pick One AI Idea</t>
  </si>
  <si>
    <t xml:space="preserve">Email triage | Report summary | Customer chatbot | Inventory forecast</t>
  </si>
  <si>
    <t xml:space="preserve">Your team has four AI ideas but time for one pilot.</t>
  </si>
  <si>
    <t xml:space="preserve">Order the decision criteria.</t>
  </si>
  <si>
    <t xml:space="preserve">#1  problem: Clear user problem and workflow fit
#2  measure: Measurable outcome and baseline
#3  risk: Acceptable risk and review controls
#4  learn: Fast learning path for scale or stop decision</t>
  </si>
  <si>
    <t xml:space="preserve">problem &gt; measure &gt; risk &gt; learn</t>
  </si>
  <si>
    <t xml:space="preserve">rank: Good pilots start with problem fit and measurable evidence.</t>
  </si>
  <si>
    <t xml:space="preserve">D6-P-003</t>
  </si>
  <si>
    <t xml:space="preserve">Hidden AI Use</t>
  </si>
  <si>
    <t xml:space="preserve">People use AI quietly | Manager considers a ban | No examples of safe use | No review points</t>
  </si>
  <si>
    <t xml:space="preserve">A teammate uses AI in secret because the rules are unclear.</t>
  </si>
  <si>
    <t xml:space="preserve">What response helps most?</t>
  </si>
  <si>
    <t xml:space="preserve">· a: Ban all AI use immediately.  (score 20)
✔ b: Create safe-use guidelines, examples, disclosure norms, and review points.  (score 95)
· c: Ignore the behavior if work is faster.  (score 20)
· d: Let everyone choose any tool with no guidance.  (score 15)</t>
  </si>
  <si>
    <t xml:space="preserve">b: Create safe-use guidelines, examples, disclosure norms, and review points.</t>
  </si>
  <si>
    <t xml:space="preserve">a: A ban may drive use further underground.
b: Correct. Practical rules make learning and accountability possible.
c: Speed without transparency creates risk.
d: Unguided use does not build shared capability.</t>
  </si>
  <si>
    <t xml:space="preserve">D1-N-005</t>
  </si>
  <si>
    <t xml:space="preserve">Mina uses an AI assistant to explain a legal clause. The answer is confident, but it does not quote the clause and may be mixing public legal concepts with her company policy.</t>
  </si>
  <si>
    <t xml:space="preserve">Which reflection best shows AI fluency?</t>
  </si>
  <si>
    <t xml:space="preserve">· a: The answer is probably correct because it used legal vocabulary.  (score 20)
✔ b: The answer may be useful as a first explanation, but Mina should compare it to the actual clause and approved policy.  (score 98)
· c: AI should never be used to understand documents.  (score 35)
· d: The company policy is less important than the model answer.  (score 10)</t>
  </si>
  <si>
    <t xml:space="preserve">b: The answer may be useful as a first explanation, but Mina should compare it to the actual clause and approved policy.</t>
  </si>
  <si>
    <t xml:space="preserve">a: Specialized language can sound convincing without being grounded.
b: Correct. This separates useful assistance from authority.
c: Too broad. The key is controlled use and verification.
d: Internal policy and source text remain authoritative.</t>
  </si>
  <si>
    <t xml:space="preserve">D3-N-006</t>
  </si>
  <si>
    <t xml:space="preserve">Raw interview notes</t>
  </si>
  <si>
    <t xml:space="preserve">Raw customer interview notes table showing five positive comments, nine payment complaints, and missing sample information.</t>
  </si>
  <si>
    <t xml:space="preserve">Inspect the raw notes and compare them with the AI summary.</t>
  </si>
  <si>
    <t xml:space="preserve">Checkout Feedback Summary</t>
  </si>
  <si>
    <t xml:space="preserve">Positive comments: 5 | Payment complaints: 9 | Sample frame: missing | AI summary: users love it</t>
  </si>
  <si>
    <t xml:space="preserve">An AI assistant summarizes customer interviews and says "users love the new checkout." The raw notes show five positive comments, nine complaints about payment failures, and no sample description.</t>
  </si>
  <si>
    <t xml:space="preserve">What is the strongest critique?</t>
  </si>
  <si>
    <t xml:space="preserve">✔ a: It overstates praise and hides the payment complaints.  (score 98)
· b: It should mention praise but mark the evidence mixed.  (score 70)
· c: It should remove complaints to keep the story simple.  (score 5)
· d: It can ignore sample details because the pattern is clear.  (score 20)</t>
  </si>
  <si>
    <t xml:space="preserve">a: It overstates praise and hides the payment complaints.</t>
  </si>
  <si>
    <t xml:space="preserve">a: Correct. Good judgment preserves uncertainty and conflicting signals.
b: This is directionally better, but it still needs to call out the contradiction clearly.
c: That would distort the evidence.
d: Sample context affects how much confidence to place in the finding.</t>
  </si>
  <si>
    <t xml:space="preserve">D4-N-005</t>
  </si>
  <si>
    <t xml:space="preserve">A school team wants to use an AI detector to accuse students of cheating. The detector gives a percentage score but no transparent evidence, appeal route, or error-rate discussion.</t>
  </si>
  <si>
    <t xml:space="preserve">Which policy response is most responsible?</t>
  </si>
  <si>
    <t xml:space="preserve">· a: Treat any high score as proof of cheating.  (score 5)
✔ b: Use the score only as one signal, require human review, disclose limits, and provide an appeal process.  (score 98)
· c: Hide the detector from students and parents.  (score 10)
· d: Ignore all academic integrity issues.  (score 25)</t>
  </si>
  <si>
    <t xml:space="preserve">b: Use the score only as one signal, require human review, disclose limits, and provide an appeal process.</t>
  </si>
  <si>
    <t xml:space="preserve">a: Detector scores are not proof and can create serious harm.
b: Correct. High-impact decisions need due process and human judgment.
c: Opacity weakens trust and accountability.
d: The concern is real, but the control must be proportionate.</t>
  </si>
  <si>
    <t xml:space="preserve">D6-N-004</t>
  </si>
  <si>
    <t xml:space="preserve">A team adopts AI meeting notes. People stop attending carefully because "the AI will capture it," and decisions become harder to challenge later.</t>
  </si>
  <si>
    <t xml:space="preserve">What redesign best protects collaboration quality?</t>
  </si>
  <si>
    <t xml:space="preserve">✔ a: Keep AI notes, but add decision owners, review moments, dissent capture, and human sign-off.  (score 98)
· b: Let the AI decide what mattered in the meeting.  (score 15)
· c: Stop documenting meetings entirely.  (score 20)
· d: Only invite people who agree with the AI summary.  (score 5)</t>
  </si>
  <si>
    <t xml:space="preserve">a: Keep AI notes, but add decision owners, review moments, dissent capture, and human sign-off.</t>
  </si>
  <si>
    <t xml:space="preserve">a: Correct. AI can support collaboration without replacing shared attention.
b: Decision salience remains a human responsibility.
c: That loses useful traceability.
d: That damages psychological safety and decision quality.</t>
  </si>
  <si>
    <t xml:space="preserve">D3-F-007</t>
  </si>
  <si>
    <t xml:space="preserve">Fraud detection image</t>
  </si>
  <si>
    <t xml:space="preserve">A suspicious invoice with urgent payment language, changed bank details, inconsistent domain, and missing purchase order.</t>
  </si>
  <si>
    <t xml:space="preserve">Inspect the visual evidence and describe the strongest fraud signals before deciding what to do.</t>
  </si>
  <si>
    <t xml:space="preserve">A finance assistant receives this invoice image and asks whether it is safe to approve today.</t>
  </si>
  <si>
    <t xml:space="preserve">Write 2-4 sentences naming the red flags and the safest next action.</t>
  </si>
  <si>
    <t xml:space="preserve">urgent: Names urgency or pressure as a fraud signal (22 pts; keywords: urgent, pressure, today, immediate, rush)
bank: Flags changed bank/payment details (26 pts; keywords: bank, payment, account, iban, wire)
domain: Checks sender domain or vendor identity (22 pts; keywords: domain, sender, email, vendor, identity)
verify: Recommends out-of-band verification before payment (28 pts; keywords: verify, confirm, call, approved, purchase order, po)</t>
  </si>
  <si>
    <t xml:space="preserve">This should not be approved yet. The invoice uses urgent pressure, shows changed bank details, lacks a purchase order, and the sender domain does not match the vendor. Verify through an approved vendor contact or procurement system before any payment.</t>
  </si>
  <si>
    <t xml:space="preserve">D4-F-006</t>
  </si>
  <si>
    <t xml:space="preserve">Phishing screen check</t>
  </si>
  <si>
    <t xml:space="preserve">A suspicious login prompt with a lookalike domain, countdown timer, and request for password and one-time code.</t>
  </si>
  <si>
    <t xml:space="preserve">The image contains common fraud signals: lookalike URL, urgency, and credential capture.</t>
  </si>
  <si>
    <t xml:space="preserve">An employee receives a login warning that appears to come from IT and asks them to re-authenticate.</t>
  </si>
  <si>
    <t xml:space="preserve">What is the safest response?</t>
  </si>
  <si>
    <t xml:space="preserve">· a: Enter the password and one-time code before the timer ends.  (score 5)
✔ b: Close it, report it, and navigate to the official IT page independently.  (score 98)
· c: Forward it to coworkers so they can check too.  (score 15)
· d: Trust it because it uses the company logo.  (score 10)</t>
  </si>
  <si>
    <t xml:space="preserve">b: Close it, report it, and navigate to the official IT page independently.</t>
  </si>
  <si>
    <t xml:space="preserve">a: Urgency and code capture are strong phishing signals.
b: Correct. Do not authenticate through suspicious links.
c: Forwarding can spread the phishing attempt.
d: Logos are easy to copy.</t>
  </si>
  <si>
    <t xml:space="preserve">D2-T-006</t>
  </si>
  <si>
    <t xml:space="preserve">You want an AI assistant to compare three suppliers for a school technology purchase. The first prompt was: "Which supplier is best?"</t>
  </si>
  <si>
    <t xml:space="preserve">Rewrite the prompt so the AI produces a useful, checkable comparison.</t>
  </si>
  <si>
    <t xml:space="preserve">sources: Specifies source documents or evidence to use (24 pts; keywords: source, document, quote, proposal, evidence)
criteria: Defines comparison criteria (28 pts; keywords: criteria, cost, risk, support, privacy, implementation)
format: Requests a structured output format (22 pts; keywords: table, matrix, summary, compare, columns)
limits: Asks for assumptions, gaps, or human review flags (24 pts; keywords: assumption, gap, verify, unknown, review)</t>
  </si>
  <si>
    <t xml:space="preserve">Compare the three supplier proposals using only the attached documents. Create a table covering cost, privacy/security risk, implementation effort, support, and evidence for each claim. List assumptions, missing information, and points that need human review before a decision.</t>
  </si>
  <si>
    <t xml:space="preserve">D2-L-007</t>
  </si>
  <si>
    <t xml:space="preserve">Loop engineering artifact</t>
  </si>
  <si>
    <t xml:space="preserve">Workflow map showing AI drafting, missing review loop, and monitoring needs.</t>
  </si>
  <si>
    <t xml:space="preserve">Use the workflow map to build a practical improvement loop.</t>
  </si>
  <si>
    <t xml:space="preserve">A support team wants to improve an AI reply assistant after seeing repeated mistakes in refund cases.</t>
  </si>
  <si>
    <t xml:space="preserve">Order the loop-engineering steps.</t>
  </si>
  <si>
    <t xml:space="preserve">#1  sample: Collect representative failed and successful cases
#2  rubric: Define review criteria and error categories
#3  revise: Revise prompt, sources, or workflow controls
#4  monitor: Monitor new outputs against the same criteria</t>
  </si>
  <si>
    <t xml:space="preserve">sample &gt; rubric &gt; revise &gt; monitor</t>
  </si>
  <si>
    <t xml:space="preserve">rank: Correct. Improvement loops start from evidence, then revise and monitor.</t>
  </si>
  <si>
    <t xml:space="preserve">D2-A2A-008</t>
  </si>
  <si>
    <t xml:space="preserve">A2A Trip Planning Flow</t>
  </si>
  <si>
    <t xml:space="preserve">Travel agent: books flight | Calendar agent: checks availability | Expense agent: applies policy | Human: approves cost exception</t>
  </si>
  <si>
    <t xml:space="preserve">A travel agent, calendar agent, and expense agent need to pass tasks between systems for a business trip.</t>
  </si>
  <si>
    <t xml:space="preserve">Match each A2A concern to the right control.</t>
  </si>
  <si>
    <t xml:space="preserve">Which agent is making the request?  →  Authenticated agent identity   [choices: Authenticated agent identity | Longer prompt | Marketing page]
Can it book above policy?  →  Human approval threshold   [choices: Human approval threshold | Unlimited delegation | Hide the event]
What happened across agents?  →  Shared audit trail   [choices: Shared audit trail | No logging | Emoji status]</t>
  </si>
  <si>
    <t xml:space="preserve">Which agent is making the request? → Authenticated agent identity; Can it book above policy? → Human approval threshold; What happened across agents? → Shared audit trail</t>
  </si>
  <si>
    <t xml:space="preserve">match: Correct. Interoperability needs trust, authorization, and traceability.</t>
  </si>
  <si>
    <t xml:space="preserve">D4-MCP-007</t>
  </si>
  <si>
    <t xml:space="preserve">MCP-Style Tool Call</t>
  </si>
  <si>
    <t xml:space="preserve">Tool: file search | Tool: email send | Data: private folder | Destination: external recipient</t>
  </si>
  <si>
    <t xml:space="preserve">A chatbot can call connected tools for email, calendar, and files. A user asks it to summarize a private folder and send the result externally.</t>
  </si>
  <si>
    <t xml:space="preserve">Select the controls needed before tool invocation.</t>
  </si>
  <si>
    <t xml:space="preserve">✔ a: Confirm exactly what data will be accessed.  (score 25)
✔ b: Require approval before external sending.  (score 25)
✔ c: Log tool inputs, outputs, and destination.  (score 25)
✔ d: Apply least privilege to file access.  (score 25)
· e: Let the model decide silently because it is efficient.  (score 0)</t>
  </si>
  <si>
    <t xml:space="preserve">a: Tool calls need clear data scope.
b: Outbound transmission needs human confirmation.
c: Auditability is essential.
d: The tool should not see more than needed.
e: Silent tool use creates privacy and accountability risk.</t>
  </si>
  <si>
    <t xml:space="preserve">D5-TREND-007</t>
  </si>
  <si>
    <t xml:space="preserve">A colleague wants to buy a new AI agent platform because the vendor says agent-to-agent workflows are the next big trend.</t>
  </si>
  <si>
    <t xml:space="preserve">What is the best first question?</t>
  </si>
  <si>
    <t xml:space="preserve">✔ a: Which workflow problem, measurable outcome, data access, and human approval boundary does it solve?  (score 98)
· b: Can we announce it before competitors?  (score 20)
· c: Can it replace all employees in the workflow?  (score 5)
· d: Does the demo look futuristic?  (score 10)</t>
  </si>
  <si>
    <t xml:space="preserve">a: Which workflow problem, measurable outcome, data access, and human approval boundary does it solve?</t>
  </si>
  <si>
    <t xml:space="preserve">a: Correct. Trends matter only when tied to a real workflow and control model.
b: Announcement value is not operational value.
c: That skips task analysis, risk, and human accountability.
d: A polished demo is not evidence of fit.</t>
  </si>
  <si>
    <t xml:space="preserve">D6-LOOP-008</t>
  </si>
  <si>
    <t xml:space="preserve">Planning Review Breakdown</t>
  </si>
  <si>
    <t xml:space="preserve">AI plan: accepted quickly | Assumptions: not reviewed | Dependencies: missed twice | Owner: unclear</t>
  </si>
  <si>
    <t xml:space="preserve">A team uses AI for weekly planning. People accept the AI plan without challenging assumptions, and missed dependencies keep appearing late.</t>
  </si>
  <si>
    <t xml:space="preserve">What collaboration routine would help most?</t>
  </si>
  <si>
    <t xml:space="preserve">✔ a: Keep AI planning, but add assumption review, owner sign-off, and a retro on missed dependencies.  (score 98)
· b: Let AI own all dependencies.  (score 15)
· c: Stop planning because the AI made mistakes.  (score 30)
· d: Hide missed dependencies from the team.  (score 5)</t>
  </si>
  <si>
    <t xml:space="preserve">a: Keep AI planning, but add assumption review, owner sign-off, and a retro on missed dependencies.</t>
  </si>
  <si>
    <t xml:space="preserve">a: Correct. The loop keeps AI useful while preserving human judgment.
b: Ownership and accountability stay human.
c: The better move is redesigning the review loop.
d: That blocks learning.</t>
  </si>
  <si>
    <t xml:space="preserve">D1-AGENT-008</t>
  </si>
  <si>
    <t xml:space="preserve">A friend says a chatbot, copilot, and agent are all the same thing.</t>
  </si>
  <si>
    <t xml:space="preserve">Match each AI tool pattern to its most important difference.</t>
  </si>
  <si>
    <t xml:space="preserve">Chatbot  →  Responds in conversation   [choices: Responds in conversation | Acts across tools autonomously | Approves budgets]
Copilot  →  Assists inside a human workflow   [choices: Assists inside a human workflow | Owns all decisions | Needs no review]
Agent  →  Can plan and use tools toward a goal   [choices: Can plan and use tools toward a goal | Only changes font size | Cannot affect systems]</t>
  </si>
  <si>
    <t xml:space="preserve">Chatbot → Responds in conversation; Copilot → Assists inside a human workflow; Agent → Can plan and use tools toward a goal</t>
  </si>
  <si>
    <t xml:space="preserve">match: Correct. Agentic behavior adds tool-use and authority questions.</t>
  </si>
  <si>
    <t xml:space="preserve">D5-PRO-009</t>
  </si>
  <si>
    <t xml:space="preserve">Raw support evidence</t>
  </si>
  <si>
    <t xml:space="preserve">Inspect the operational evidence before deciding whether the pilot is ready to scale.</t>
  </si>
  <si>
    <t xml:space="preserve">A team wants to scale an AI support pilot because average handling time improved, but the raw ticket review shows quality risks in refund cases.</t>
  </si>
  <si>
    <t xml:space="preserve">What is the best scale decision?</t>
  </si>
  <si>
    <t xml:space="preserve">✔ a: Scale only after refund-case quality improves and review gates are measured.  (score 98)
· b: Scale now because faster handling time is enough evidence.  (score 25)
· c: Cancel all AI support work because one case failed.  (score 35)
· d: Hide refund cases from the pilot metrics.  (score 5)</t>
  </si>
  <si>
    <t xml:space="preserve">a: Scale only after refund-case quality improves and review gates are measured.</t>
  </si>
  <si>
    <t xml:space="preserve">a: Correct. Value must include quality and risk, not speed alone.
b: Speed without quality can create customer and compliance risk.
c: One failure should drive diagnosis and controls, not automatic cancellation.
d: That would distort the evidence base.</t>
  </si>
  <si>
    <t xml:space="preserve">D3-PRO-010</t>
  </si>
  <si>
    <t xml:space="preserve">Raw dashboard evidence</t>
  </si>
  <si>
    <t xml:space="preserve">Raw campaign dashboard showing high conversion rate for a tiny sample with a coupon leak note.</t>
  </si>
  <si>
    <t xml:space="preserve">Use the raw campaign export to identify what makes the recommendation weak.</t>
  </si>
  <si>
    <t xml:space="preserve">An AI dashboard summary highlights the best-looking campaign result and recommends immediate budget reallocation.</t>
  </si>
  <si>
    <t xml:space="preserve">Which evidence problems should be flagged?</t>
  </si>
  <si>
    <t xml:space="preserve">✔ a: The winning ad set has a tiny sample.  (score 33)
✔ b: The coupon leak may distort conversion behavior.  (score 33)
✔ c: The recommendation lacks incrementality evidence.  (score 33)
· d: The table should be ignored because dashboards are never useful.  (score 0)</t>
  </si>
  <si>
    <t xml:space="preserve">a: Correct. Small samples make rate comparisons unstable.
b: Correct. Traffic quality affects whether the result is scalable.
c: Correct. Scaling needs evidence beyond observed rate.
d: Dashboards can help when interpreted with uncertainty and context.</t>
  </si>
  <si>
    <t xml:space="preserve">D4-PRO-011</t>
  </si>
  <si>
    <t xml:space="preserve">Raw access log</t>
  </si>
  <si>
    <t xml:space="preserve">Raw access log showing denied HR notes and secrets access plus blocked external and public actions.</t>
  </si>
  <si>
    <t xml:space="preserve">Inspect the connector log and write the governance response.</t>
  </si>
  <si>
    <t xml:space="preserve">A tool-connected AI assistant tried to access files beyond the incident scope while helping with technical triage.</t>
  </si>
  <si>
    <t xml:space="preserve">Write 2-4 sentences naming the key access-control lessons.</t>
  </si>
  <si>
    <t xml:space="preserve">scope: Mentions least privilege or scoped access (28 pts; keywords: least privilege, scope, scoped, minimum, permissions)
sensitive: Flags sensitive or out-of-scope access attempts (26 pts; keywords: sensitive, secret, hr, outside, out-of-scope)
approval: Preserves human approval gates (24 pts; keywords: approval, human, gate, external, public)
audit: Uses logs for audit and improvement (20 pts; keywords: log, audit, trace, review, incident)</t>
  </si>
  <si>
    <t xml:space="preserve">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t>
  </si>
  <si>
    <t xml:space="preserve">GEN-EXP-D1-001</t>
  </si>
  <si>
    <t xml:space="preserve">Policy summary artifact</t>
  </si>
  <si>
    <t xml:space="preserve">Document review screen comparing a source school policy excerpt with an AI summary that omits important exceptions.</t>
  </si>
  <si>
    <t xml:space="preserve">Inspect whether the AI preserved source meaning, exceptions, date, and approved owner.</t>
  </si>
  <si>
    <t xml:space="preserve">A parent asks an AI assistant to summarize a school phone policy before sending it to a class chat.</t>
  </si>
  <si>
    <t xml:space="preserve">Match each AI behavior to the concept it demonstrates.</t>
  </si>
  <si>
    <t xml:space="preserve">The summary drops teacher-approved exceptions.  →  Loss of source meaning   [choices: Loss of source meaning | Fresh training data | Stronger privacy protection]
The answer sounds final despite a thin review.  →  Fluent output is not proof   [choices: Fluent output is not proof | Human approval is unnecessary | The source is automatically wrong]
The user checks the handbook before sending.  →  Grounding against evidence   [choices: Grounding against evidence | Delegating the decision fully | Ignoring context length]</t>
  </si>
  <si>
    <t xml:space="preserve">The summary drops teacher-approved exceptions. → Loss of source meaning; The answer sounds final despite a thin review. → Fluent output is not proof; The user checks the handbook before sending. → Grounding against evidence</t>
  </si>
  <si>
    <t xml:space="preserve">match: Correct. Strong AI literacy distinguishes fluency, grounding, and meaning preservation.</t>
  </si>
  <si>
    <t xml:space="preserve">MULTI-CONCEPT-GEN-001</t>
  </si>
  <si>
    <t xml:space="preserve">D2; D4</t>
  </si>
  <si>
    <t xml:space="preserve">Concept cluster artifact</t>
  </si>
  <si>
    <t xml:space="preserve">Concept workbench defining LLM, RAG, MCP tools, prompt, context, and memory with risks to watch for.</t>
  </si>
  <si>
    <t xml:space="preserve">Use the workbench to answer each mini-part. Each part updates a domain signal.</t>
  </si>
  <si>
    <t xml:space="preserve">A user wants to understand why an AI answer can be fluent, source-grounded, tool-connected, or personally customized depending on setup.</t>
  </si>
  <si>
    <t xml:space="preserve">Answer the mini-parts to show whether you can distinguish core AI concepts in practice.</t>
  </si>
  <si>
    <t xml:space="preserve">[llm · D1] An answer sounds fluent but cites no current source. What concept explains the risk?
   ✔ a: An LLM can generate plausible language without proof. (98)
   · b: RAG always guarantees the answer is current. (20)
   · c: Memory means the model checked an approved file. (25)
[rag · D2] You need answers from the latest HR policy. What setup is most useful?
   · a: Ask the model to rely on general training knowledge. (25)
   ✔ b: Retrieve approved policy sources and show citations. (98)
   · c: Store a preference that HR questions matter. (35)
[mcp · D4] An AI can read files and send emails through connectors. What changes most?
   · a: The answer becomes automatically more accurate. (35)
   · b: The prompt no longer needs human review. (15)
   ✔ c: Permissions, logs, and approval gates become critical. (98)</t>
  </si>
  <si>
    <t xml:space="preserve">llm: a; rag: b; mcp: c</t>
  </si>
  <si>
    <t xml:space="preserve">MULTI-CONCEPT-GEN-002</t>
  </si>
  <si>
    <t xml:space="preserve">D1; D4; D6</t>
  </si>
  <si>
    <t xml:space="preserve">Concept workbench defining prompt, context, memory, LLM, RAG, and MCP/tool connectors.</t>
  </si>
  <si>
    <t xml:space="preserve">Use the workbench to answer each mini-part. The item tests practical application across domains.</t>
  </si>
  <si>
    <t xml:space="preserve">A team is designing a reusable AI assistant for weekly planning and wants to avoid vague prompts, accidental data sharing, and passive overreliance.</t>
  </si>
  <si>
    <t xml:space="preserve">Answer the mini-parts about prompt, context, and memory.</t>
  </si>
  <si>
    <t xml:space="preserve">[prompt · D2] Which prompt pattern best improves a recurring weekly planning task?
   ✔ a: Define task, audience, sources, format, limits, and review checks. (98)
   · b: Ask for something impressive and let the model choose structure. (30)
   · c: Use the shortest prompt so the model has more freedom. (35)
[context · D4] What should happen before adding calendar screenshots, bills, and work notes as context?
   · a: Upload everything so the AI can decide relevance. (15)
   ✔ b: Remove unnecessary private details and separate work from personal data. (98)
   · c: Use memory so private details do not need review. (25)
[memory · D6] What is the healthiest team norm for AI memory in shared work?
   · a: Let memory silently decide priorities for the group. (20)
   · b: Ban all saved preferences even for low-risk formatting. (40)
   ✔ c: Make remembered preferences visible, editable, and easy to challenge. (98)</t>
  </si>
  <si>
    <t xml:space="preserve">prompt: a; context: b; memory: c</t>
  </si>
  <si>
    <t xml:space="preserve">GEN-EXP-D2-001</t>
  </si>
  <si>
    <t xml:space="preserve">AI workflow board</t>
  </si>
  <si>
    <t xml:space="preserve">Workflow board showing inputs, AI drafting, risk checks, human review, and value metrics for a weekly planning task.</t>
  </si>
  <si>
    <t xml:space="preserve">Use the board to decide the safest practical order for using AI in the task.</t>
  </si>
  <si>
    <t xml:space="preserve">You want AI to turn a messy mix of school notices, meeting notes, and calendar details into a useful weekly action plan.</t>
  </si>
  <si>
    <t xml:space="preserve">Put the workflow steps in the strongest order.</t>
  </si>
  <si>
    <t xml:space="preserve">#1  scope: Separate work, school, and personal material before upload
#2  prompt: Give the AI the task, format, constraints, and priority rules
#3  check: Verify names, dates, commitments, and sensitive details
#4  use: Use the plan after making needed human corrections</t>
  </si>
  <si>
    <t xml:space="preserve">scope &gt; prompt &gt; check &gt; use</t>
  </si>
  <si>
    <t xml:space="preserve">rank: Correct. Practical AI use starts with scope, then prompting, checking, and careful use.</t>
  </si>
  <si>
    <t xml:space="preserve">GEN-EXP-D3-001</t>
  </si>
  <si>
    <t xml:space="preserve">Suspicious delivery message</t>
  </si>
  <si>
    <t xml:space="preserve">Suspicious delivery SMS thread and payment page with urgency, shortened link, mismatched domain, and card collection.</t>
  </si>
  <si>
    <t xml:space="preserve">Inspect the message and payment page before deciding whether to act.</t>
  </si>
  <si>
    <t xml:space="preserve">A delivery text arrives while you are expecting a package. It links to a page asking for a small customs fee and full card details.</t>
  </si>
  <si>
    <t xml:space="preserve">Write 2-4 sentences naming the strongest red flags and the safest next action.</t>
  </si>
  <si>
    <t xml:space="preserve">domain: Flags the shortened or mismatched domain (24 pts; keywords: domain, link, url, shortened, trk, mismatch)
pressure: Names urgency or pressure as suspicious (20 pts; keywords: urgent, pressure, 30 min, today, soon, rush)
payment: Questions the fee and card collection (26 pts; keywords: card, payment, fee, customs, billing, bank)
verify: Recommends checking through an official channel (28 pts; keywords: official, carrier, app, website, tracking, verify, confirm)</t>
  </si>
  <si>
    <t xml:space="preserve">I would not pay from this link. The shortened domain, urgent countdown, tiny fee, and request for full card details are strong fraud signals. I would check the shipment only through the carrier app or official website using the original tracking number.</t>
  </si>
  <si>
    <t xml:space="preserve">GEN-EXP-D4-001</t>
  </si>
  <si>
    <t xml:space="preserve">Privacy workflow artifact</t>
  </si>
  <si>
    <t xml:space="preserve">Workflow board showing private inputs, risk checks, and human review gates for AI-assisted planning.</t>
  </si>
  <si>
    <t xml:space="preserve">Identify which privacy controls should happen before using AI on mixed personal and work material.</t>
  </si>
  <si>
    <t xml:space="preserve">A friend wants to upload screenshots of a family calendar, work notes, and a bill so AI can organize the week.</t>
  </si>
  <si>
    <t xml:space="preserve">Which actions reduce privacy risk before using AI?</t>
  </si>
  <si>
    <t xml:space="preserve">✔ a: Remove account numbers, addresses, and client names not needed.  (score 34)
✔ b: Use an approved work tool for work notes.  (score 33)
✔ c: Separate personal, school, and work tasks into different prompts.  (score 33)
· d: Upload every screenshot because more context is safer.  (score 0)
· e: Let the AI decide which private details matter after upload.  (score 0)</t>
  </si>
  <si>
    <t xml:space="preserve">a: Correct. Data minimization lowers exposure.
b: Correct. Work data belongs in approved systems.
c: Correct. Separation reduces accidental disclosure and context mixing.
d: More context can increase privacy risk when the data is unnecessary.
e: Privacy decisions should happen before sharing the data.</t>
  </si>
  <si>
    <t xml:space="preserve">GEN-EXP-D5-001</t>
  </si>
  <si>
    <t xml:space="preserve">AI value decision board</t>
  </si>
  <si>
    <t xml:space="preserve">AI decision board with task inputs, risk checks, human review, collaboration norms, and value metric.</t>
  </si>
  <si>
    <t xml:space="preserve">Use the board to choose a useful, measurable, and appropriately bounded first AI use case.</t>
  </si>
  <si>
    <t xml:space="preserve">A small team wants to adopt AI because everyone feels busy. They are choosing between a weekly planning assistant, a public advice bot, and fully automated invoice approval.</t>
  </si>
  <si>
    <t xml:space="preserve">Which first pilot is strongest?</t>
  </si>
  <si>
    <t xml:space="preserve">✔ a: Weekly planning drafts with baseline, privacy limits, and human approval.  (score 98)
· b: Public advice bot launched broadly to learn from complaints.  (score 35)
· c: Automated invoice approval because finance work uses numbers.  (score 30)
· d: Any pilot with the newest model, even without an owner.  (score 20)</t>
  </si>
  <si>
    <t xml:space="preserve">a: Weekly planning drafts with baseline, privacy limits, and human approval.</t>
  </si>
  <si>
    <t xml:space="preserve">a: Correct. It has a clear workflow, measurable value, and manageable risk.
b: This creates customer-facing risk before controls and evidence are ready.
c: Payment approval is high-impact and needs stronger governance before automation.
d: Model novelty does not replace problem fit, measurement, and ownership.</t>
  </si>
  <si>
    <t xml:space="preserve">GEN-EXP-D6-001</t>
  </si>
  <si>
    <t xml:space="preserve">Human-AI review artifact</t>
  </si>
  <si>
    <t xml:space="preserve">Document review screen showing where an AI-generated summary diverges from source policy details.</t>
  </si>
  <si>
    <t xml:space="preserve">Use the source mismatch to decide what each human role should own when AI helps with shared work.</t>
  </si>
  <si>
    <t xml:space="preserve">A group project uses AI to summarize sources and assign tasks. People are starting to copy AI wording without checking whether it reflects the source or their own responsibilities.</t>
  </si>
  <si>
    <t xml:space="preserve">Match each collaboration risk to the best human practice.</t>
  </si>
  <si>
    <t xml:space="preserve">Nobody knows who checked the final summary.  →  Assign a named reviewer before sharing   [choices: Assign a named reviewer before sharing | Ask AI to pick the owner | Remove all source links]
Team members accept AI wording without understanding it.  →  Have people explain key changes in their own words   [choices: Have people explain key changes in their own words | Use longer AI outputs | Hide uncertainty from the group]
A source exception disappears from the group decision.  →  Preserve caveats and invite challenge before final approval   [choices: Preserve caveats and invite challenge before final approval | Prefer the shorter version automatically | Let speed override disagreement]</t>
  </si>
  <si>
    <t xml:space="preserve">Nobody knows who checked the final summary. → Assign a named reviewer before sharing; Team members accept AI wording without understanding it. → Have people explain key changes in their own words; A source exception disappears from the group decision. → Preserve caveats and invite challenge before final approval</t>
  </si>
  <si>
    <t xml:space="preserve">match: Correct. Healthy human-AI collaboration keeps ownership, learning, and challenge visible.</t>
  </si>
  <si>
    <t xml:space="preserve">MULTI-SOURCE-GEN-003</t>
  </si>
  <si>
    <t xml:space="preserve">D2; D3; D4</t>
  </si>
  <si>
    <t xml:space="preserve">Raw source comparison</t>
  </si>
  <si>
    <t xml:space="preserve">Raw source comparison packet showing approved AI policy text next to an assistant answer that overstates public AI tool use.</t>
  </si>
  <si>
    <t xml:space="preserve">Inspect the policy source and AI answer. Each mini-part tests whether the user can convert AI concepts into practical review behavior.</t>
  </si>
  <si>
    <t xml:space="preserve">A workplace AI assistant answers a policy question using retrieved sources, but the draft may mix source facts with unsupported interpretation.</t>
  </si>
  <si>
    <t xml:space="preserve">Answer the mini-parts about grounding, verification, and privacy.</t>
  </si>
  <si>
    <t xml:space="preserve">[grounding-gap · D1] What is the main concept problem in the assistant answer?
   · a: The answer is too short to be useful. (35)
   ✔ b: It treats fluent text as if it were grounded in the source. (98)
   · c: It refuses to help with a safe task. (20)
[review-action · D3] What should the reviewer do before sharing the answer?
   · a: Share it because the source name appears in the packet. (20)
   · b: Ask AI to make the answer more confident. (25)
   ✔ c: Mark each claim as supported, contradicted, or missing from the source. (98)
[privacy-control · D4] Which policy detail matters most for safe everyday use?
   ✔ a: Work records should use the approved enterprise assistant. (98)
   · b: Public tools are safe if the prompt is polite. (18)
   · c: A password is the only sensitive information to avoid. (24)</t>
  </si>
  <si>
    <t xml:space="preserve">grounding-gap: b; review-action: c; privacy-control: a</t>
  </si>
  <si>
    <t xml:space="preserve">PRACTICAL-GEN-D2-012</t>
  </si>
  <si>
    <t xml:space="preserve">General work; Operations; Engineering &amp; Data; HR &amp; People; Finance</t>
  </si>
  <si>
    <t xml:space="preserve">Agent workflow artifact</t>
  </si>
  <si>
    <t xml:space="preserve">Use the workflow plan to sequence a safe practical rollout.</t>
  </si>
  <si>
    <t xml:space="preserve">A team wants an AI agent to handle low-value refund requests, draft customer messages, and update CRM records.</t>
  </si>
  <si>
    <t xml:space="preserve">Put the rollout steps in the order that best tests usefulness while controlling agent risk.</t>
  </si>
  <si>
    <t xml:space="preserve">#1  map: Map the refund workflow, impact thresholds, and human owners
#2  scope: Limit tools, data, refund authority, and external sends
#3  pilot: Run a monitored pilot with logs, quality review, and exceptions
#4  scale: Expand only after value, harm, and adoption evidence meet gates</t>
  </si>
  <si>
    <t xml:space="preserve">map &gt; scope &gt; pilot &gt; scale</t>
  </si>
  <si>
    <t xml:space="preserve">rank: Correct. Practical agent adoption starts with workflow and authority design before scale.</t>
  </si>
  <si>
    <t xml:space="preserve">PRACTICAL-GEN-D3-013</t>
  </si>
  <si>
    <t xml:space="preserve">D1; D4</t>
  </si>
  <si>
    <t xml:space="preserve">General; Public sector; Education; Financial services</t>
  </si>
  <si>
    <t xml:space="preserve">Policy answer review</t>
  </si>
  <si>
    <t xml:space="preserve">Policy source check artifact with source text and an AI answer that overstates public AI tool permissions.</t>
  </si>
  <si>
    <t xml:space="preserve">Select the practical evidence checks a user should make before reposting the AI answer.</t>
  </si>
  <si>
    <t xml:space="preserve">A manager asks whether the AI policy answer can be posted in a team channel as guidance for everyone.</t>
  </si>
  <si>
    <t xml:space="preserve">Which checks would meaningfully improve the answer before sharing it?</t>
  </si>
  <si>
    <t xml:space="preserve">✔ a: Rewrite the answer so every permission matches the source text.  (score 34)
· b: Remove the source date because dates make answers look less polished.  (score 0)
✔ c: Add the required approved-tool rule for work records.  (score 33)
✔ d: Flag customer, financial, health, and HR data as excluded from public tools.  (score 33)
· e: Ask AI for a longer answer and post the longest version.  (score 0)</t>
  </si>
  <si>
    <t xml:space="preserve">a; c; d  (multi-select: all required)</t>
  </si>
  <si>
    <t xml:space="preserve">a: Correct. Source-faithful rewriting is the key repair.
b: Dates help users judge currency.
c: Correct. This is a missing governance constraint.
d: Correct. The answer omitted the main data-risk categories.
e: More words do not solve source contradiction.</t>
  </si>
  <si>
    <t xml:space="preserve">PRACTICAL-GEN-D6-014</t>
  </si>
  <si>
    <t xml:space="preserve">D1; D2</t>
  </si>
  <si>
    <t xml:space="preserve">Education; General</t>
  </si>
  <si>
    <t xml:space="preserve">Study helper artifact</t>
  </si>
  <si>
    <t xml:space="preserve">Study helper review artifact showing a student prompt, AI draft excerpt, class instruction, and reviewer notes.</t>
  </si>
  <si>
    <t xml:space="preserve">Inspect the prompt, class instruction, AI draft, and reviewer notes before writing your recommendation.</t>
  </si>
  <si>
    <t xml:space="preserve">A student wants to use AI for an assignment without losing learning ownership or submitting work they cannot explain.</t>
  </si>
  <si>
    <t xml:space="preserve">Write 2-4 sentences explaining how the student should change the AI use so it builds skill instead of replacing learning.</t>
  </si>
  <si>
    <t xml:space="preserve">ownership: Keeps student reasoning and final answer human-owned (28 pts; keywords: own, reasoning, student, explain, human, draft)
sources: Requires sources or evidence for claims (24 pts; keywords: source, evidence, citation, verify, local example)
prompt-change: Changes the prompt toward feedback, critique, quiz, or outline help (28 pts; keywords: feedback, critique, quiz, outline, questions, coach)
transparency: Mentions transparency about AI assistance where required (18 pts; keywords: transparent, disclose, teacher, allowed, policy)</t>
  </si>
  <si>
    <t xml:space="preserve">The student should first write their own notes and ask AI to critique gaps, quiz them, or suggest an outline rather than write the final answer. They should add source links and a local example they can explain, and follow any class rule about disclosing AI help.</t>
  </si>
  <si>
    <t xml:space="preserve">FUNC-EXP-OPS-D5-003</t>
  </si>
  <si>
    <t xml:space="preserve">D2; D4; D6</t>
  </si>
  <si>
    <t xml:space="preserve">Operations; Engineering &amp; Data; Finance</t>
  </si>
  <si>
    <t xml:space="preserve">Agent value and risk review</t>
  </si>
  <si>
    <t xml:space="preserve">Use the raw workflow to recommend practical launch criteria.</t>
  </si>
  <si>
    <t xml:space="preserve">Operations leaders are considering the refund agent shown in the workflow plan. Early demo results show faster handling but no verified customer-harm metric.</t>
  </si>
  <si>
    <t xml:space="preserve">Write 2-4 sentences naming the launch criteria you would require before wider rollout.</t>
  </si>
  <si>
    <t xml:space="preserve">value: Defines value beyond speed (26 pts; keywords: quality, customer, harm, accuracy, baseline, outcome)
authority: Sets tool and action authority limits (26 pts; keywords: permission, scope, refund, email, approval, limit)
monitoring: Requires monitoring and logs (24 pts; keywords: log, monitor, audit, review, exception)
owner: Names ownership and learning loop (22 pts; keywords: owner, rollback, learn, update, coach)</t>
  </si>
  <si>
    <t xml:space="preserve">I would not scale on speed alone. The pilot should show refund quality, customer-harm, and exception metrics against a baseline, with scoped permissions, approval gates for customer-facing actions, audit logs, a rollback owner, and a process for updating prompts and training after incidents.</t>
  </si>
  <si>
    <t xml:space="preserve">REL-E-D5-001</t>
  </si>
  <si>
    <t xml:space="preserve">Executive reliance</t>
  </si>
  <si>
    <t xml:space="preserve">Executive</t>
  </si>
  <si>
    <t xml:space="preserve">Prioritize the AI Portfolio</t>
  </si>
  <si>
    <t xml:space="preserve">12 use cases | Two high-risk automations | Budget cap | Board asks for priorities</t>
  </si>
  <si>
    <t xml:space="preserve">The leadership team must choose which AI initiatives get funded next quarter.</t>
  </si>
  <si>
    <t xml:space="preserve">Who should own the decision?</t>
  </si>
  <si>
    <t xml:space="preserve">· me: Executive: decide from judgment alone.  (score 55)
✔ together: Together: AI structures evidence, executives decide.  (score 98)
· ai: AI: rank and approve the portfolio automatically.  (score 5)</t>
  </si>
  <si>
    <t xml:space="preserve">together: Together: AI structures evidence, executives decide.</t>
  </si>
  <si>
    <t xml:space="preserve">me: Executives own the decision, but evidence structuring should not be skipped.
together: Correct. AI can organize value, readiness, and risk; leaders own the tradeoff.
ai: Unsafe. Portfolio governance and risk appetite are executive responsibilities.</t>
  </si>
  <si>
    <t xml:space="preserve">REL-E-D4-002</t>
  </si>
  <si>
    <t xml:space="preserve">Respond to a Data Incident</t>
  </si>
  <si>
    <t xml:space="preserve">Customer data exposed | Regulator clock started | Press inquiry pending | Root cause unclear</t>
  </si>
  <si>
    <t xml:space="preserve">An AI workflow exposed confidential customer data to the wrong audience.</t>
  </si>
  <si>
    <t xml:space="preserve">Who should lead?</t>
  </si>
  <si>
    <t xml:space="preserve">· me: Executive/legal team only.  (score 70)
✔ together: Together: AI supports triage, executives own response.  (score 98)
· ai: AI: draft and send all incident messages.  (score 5)</t>
  </si>
  <si>
    <t xml:space="preserve">together: Together: AI supports triage, executives own response.</t>
  </si>
  <si>
    <t xml:space="preserve">me: Human leadership is essential, but AI can support timeline reconstruction and evidence gathering.
together: Correct. Use AI for controlled analysis while humans own notification, remediation, and accountability.
ai: Unsafe. High-stakes communication must not be delegated end to end.</t>
  </si>
  <si>
    <t xml:space="preserve">REL-E-D6-003</t>
  </si>
  <si>
    <t xml:space="preserve">Announce Role Redesign</t>
  </si>
  <si>
    <t xml:space="preserve">AI changes workflows | Employees fear replacement | Managers need guidance | Union asks for clarity</t>
  </si>
  <si>
    <t xml:space="preserve">A new AI program will change how teams divide work.</t>
  </si>
  <si>
    <t xml:space="preserve">Who should write the message?</t>
  </si>
  <si>
    <t xml:space="preserve">· me: Executive: write and own the message.  (score 78)
✔ together: Together: AI drafts scenarios, executives write final.  (score 98)
· ai: AI: generate and publish the announcement.  (score 5)</t>
  </si>
  <si>
    <t xml:space="preserve">together: Together: AI drafts scenarios, executives write final.</t>
  </si>
  <si>
    <t xml:space="preserve">me: Leadership ownership is required, though AI can help test clarity and possible misunderstandings.
together: Correct. AI can support preparation; leaders own trust, tone, and commitments.
ai: Unsafe. This would make a sensitive people decision feel outsourced.</t>
  </si>
  <si>
    <t xml:space="preserve">REL-E-D3-004</t>
  </si>
  <si>
    <t xml:space="preserve">Use an AI Forecast in Guidance</t>
  </si>
  <si>
    <t xml:space="preserve">Revenue forecast: +18% | Confidence: high | Back-test: missing | Investor call: tomorrow</t>
  </si>
  <si>
    <t xml:space="preserve">Leadership wants to use an AI revenue forecast in investor guidance.</t>
  </si>
  <si>
    <t xml:space="preserve">· me: Executive/finance: decide after evidence review.  (score 82)
✔ together: Together: AI analyzes scenarios, leaders decide disclosure.  (score 98)
· ai: AI: publish the forecast if confidence is high.  (score 5)</t>
  </si>
  <si>
    <t xml:space="preserve">together: Together: AI analyzes scenarios, leaders decide disclosure.</t>
  </si>
  <si>
    <t xml:space="preserve">me: Strong. AI may support analysis, but accountable leaders must challenge assumptions.
together: Correct. Use AI for scenario work while humans own investor-facing judgment.
ai: Unsafe. Model confidence is not disclosure-grade evidence.</t>
  </si>
  <si>
    <t xml:space="preserve">REL-E-D1-005</t>
  </si>
  <si>
    <t xml:space="preserve">Explain Agentic AI to the Board</t>
  </si>
  <si>
    <t xml:space="preserve">Agent can plan | Agent can use tools | Agent can act | Controls determine authority</t>
  </si>
  <si>
    <t xml:space="preserve">The board asks what makes an AI agent different from a chatbot.</t>
  </si>
  <si>
    <t xml:space="preserve">Who should explain it?</t>
  </si>
  <si>
    <t xml:space="preserve">· me: Executive: explain from current understanding.  (score 65)
✔ together: Together: AI helps draft, executive validates and explains.  (score 98)
· ai: AI: present directly to the board.  (score 20)</t>
  </si>
  <si>
    <t xml:space="preserve">together: Together: AI helps draft, executive validates and explains.</t>
  </si>
  <si>
    <t xml:space="preserve">me: Helpful, but executives should verify technical claims before presenting.
together: Correct. Leaders can use AI to prepare, but must understand and own the explanation.
ai: Too much delegation. The board needs accountable leadership judgment.</t>
  </si>
  <si>
    <t xml:space="preserve">REL-E-D2-006</t>
  </si>
  <si>
    <t xml:space="preserve">Agent trace artifact</t>
  </si>
  <si>
    <t xml:space="preserve">AI agent trace with broad file access, email drafting, CRM update, and finance approval without clear gates.</t>
  </si>
  <si>
    <t xml:space="preserve">Inspect the tool trace before deciding who can approve agent access.</t>
  </si>
  <si>
    <t xml:space="preserve">Approve Agent Tool Access</t>
  </si>
  <si>
    <t xml:space="preserve">Reads files | Updates CRM | Sends emails | Requests finance approvals</t>
  </si>
  <si>
    <t xml:space="preserve">A business unit wants an AI agent to operate across multiple systems.</t>
  </si>
  <si>
    <t xml:space="preserve">Who should approve access?</t>
  </si>
  <si>
    <t xml:space="preserve">· me: Executive/owners: approve manually without AI input.  (score 70)
✔ together: Together: AI maps risks, owners approve bounded access.  (score 98)
· ai: AI: grant itself tools as needed.  (score 0)</t>
  </si>
  <si>
    <t xml:space="preserve">together: Together: AI maps risks, owners approve bounded access.</t>
  </si>
  <si>
    <t xml:space="preserve">me: Accountability is right, but AI can help map risks and missing controls.
together: Correct. Use AI to structure the review; humans set permissions and escalation rules.
ai: Unsafe. Agents must not self-authorize high-impact tools.</t>
  </si>
  <si>
    <t xml:space="preserve">EXEC-D5-003</t>
  </si>
  <si>
    <t xml:space="preserve">Executive bank</t>
  </si>
  <si>
    <t xml:space="preserve">Board dashboard artifact</t>
  </si>
  <si>
    <t xml:space="preserve">Dashboard image claiming large productivity gain with missing baseline and potentially misleading chart evidence.</t>
  </si>
  <si>
    <t xml:space="preserve">Inspect the dashboard claim before deciding whether the pilot is ready to scale.</t>
  </si>
  <si>
    <t xml:space="preserve">AI Service Pilot: Productivity Claim</t>
  </si>
  <si>
    <t xml:space="preserve">Pilot group: not disclosed | Baseline: not shown | Adoption rate: 38% | Error review: pending</t>
  </si>
  <si>
    <t xml:space="preserve">A vendor presents a board slide claiming a 42% productivity lift from an AI pilot, but the slide does not show baseline, sample size, adoption rate, or measurement period.</t>
  </si>
  <si>
    <t xml:space="preserve">What should an executive ask for before approving scale-up?</t>
  </si>
  <si>
    <t xml:space="preserve">· a: Approve scale-up because the chart shows a large gain.  (score 20)
✔ b: Request baseline metrics, cohort design, adoption data, risk controls, and a decision gate.  (score 98)
· c: Ask for a more polished board deck.  (score 25)
· d: Reject AI productivity pilots entirely.  (score 35)</t>
  </si>
  <si>
    <t xml:space="preserve">b: Request baseline metrics, cohort design, adoption data, risk controls, and a decision gate.</t>
  </si>
  <si>
    <t xml:space="preserve">a: The chart alone is not enough evidence for an investment decision.
b: Correct. This turns a vendor claim into decision-grade evidence.
c: Presentation quality does not solve weak evidence.
d: Too broad. The right move is disciplined validation.</t>
  </si>
  <si>
    <t xml:space="preserve">EXEC-D5-002</t>
  </si>
  <si>
    <t xml:space="preserve">Candidate AI Investments</t>
  </si>
  <si>
    <t xml:space="preserve">Customer response drafting: medium value, high readiness | Automated credit exceptions: high value, high risk | Meeting summaries: low value, high readiness | Pricing optimization: high value, data gaps</t>
  </si>
  <si>
    <t xml:space="preserve">The executive committee must choose which AI opportunities enter the next-quarter portfolio.</t>
  </si>
  <si>
    <t xml:space="preserve">Select all criteria that should be used before prioritizing the portfolio.</t>
  </si>
  <si>
    <t xml:space="preserve">✔ a: Measurable business value and decision owner.  (score 25)
✔ b: Data readiness and integration feasibility.  (score 25)
✔ c: Risk, compliance, and human-review needs.  (score 25)
✔ d: Pilot learning value and scale path.  (score 25)
· e: Whether the idea sounds most innovative in a press release.  (score 0)</t>
  </si>
  <si>
    <t xml:space="preserve">a: Value and ownership are required.
b: Readiness determines whether value is achievable.
c: Risk-adjusted value matters at executive level.
d: Learning and scale evidence prevent isolated experiments.
e: Novelty is not a decision criterion.</t>
  </si>
  <si>
    <t xml:space="preserve">EXEC-D6-004</t>
  </si>
  <si>
    <t xml:space="preserve">Agent authority artifact</t>
  </si>
  <si>
    <t xml:space="preserve">Agent trace showing file access, email drafting, CRM updates, finance approval, and missing approval gates.</t>
  </si>
  <si>
    <t xml:space="preserve">Inspect the agent trace before matching capabilities to executive controls.</t>
  </si>
  <si>
    <t xml:space="preserve">Cross-Department AI Agent</t>
  </si>
  <si>
    <t xml:space="preserve">Supplier email draft | CRM update | Finance approval trigger | Customer exception escalation</t>
  </si>
  <si>
    <t xml:space="preserve">An AI agent can draft supplier emails, update CRM records, and trigger finance approvals across departments.</t>
  </si>
  <si>
    <t xml:space="preserve">Match each agent capability to the right executive control.</t>
  </si>
  <si>
    <t xml:space="preserve">Draft supplier emails  →  Human approval before external send   [choices: Human approval before external send | Autonomous execution | No log required]
Update CRM records  →  Audit log and rollback path   [choices: Audit log and rollback path | Public announcement | Ignore until quarter end]
Trigger finance approval  →  Named owner and threshold gate   [choices: Named owner and threshold gate | Unlimited tool access | Vendor decides]</t>
  </si>
  <si>
    <t xml:space="preserve">Draft supplier emails → Human approval before external send; Update CRM records → Audit log and rollback path; Trigger finance approval → Named owner and threshold gate</t>
  </si>
  <si>
    <t xml:space="preserve">match: Strong executive oversight maps authority to control, owner, and evidence.</t>
  </si>
  <si>
    <t xml:space="preserve">EXEC-D4-005</t>
  </si>
  <si>
    <t xml:space="preserve">Raw vendor questionnaire</t>
  </si>
  <si>
    <t xml:space="preserve">Raw AI vendor security questionnaire with missing audit, retention, subprocessor, monitoring, and exit answers.</t>
  </si>
  <si>
    <t xml:space="preserve">Inspect the vendor responses directly before deciding what blocks procurement.</t>
  </si>
  <si>
    <t xml:space="preserve">AI Platform Proposal</t>
  </si>
  <si>
    <t xml:space="preserve">Audit rights: not provided | Retention period: vendor standard | Subprocessors: available after signature | Monitoring: roadmap item</t>
  </si>
  <si>
    <t xml:space="preserve">A strategic AI vendor refuses to explain audit access, model monitoring, data retention, or subcontractor use.</t>
  </si>
  <si>
    <t xml:space="preserve">Which concerns should block procurement until resolved?</t>
  </si>
  <si>
    <t xml:space="preserve">✔ a: No auditability or monitoring commitments.  (score 25)
✔ b: Unclear data retention and vendor data use.  (score 25)
✔ c: Unknown subprocessors and cross-border exposure.  (score 25)
✔ d: No exit rights or portability language.  (score 25)
· e: The deck uses plain typography.  (score 0)</t>
  </si>
  <si>
    <t xml:space="preserve">a: Auditability is a procurement gate.
b: Data terms must be explicit.
c: Third-party chain of custody matters.
d: Executives should avoid hidden lock-in.
e: Visual polish is not a risk control.</t>
  </si>
  <si>
    <t xml:space="preserve">EXEC-D3-003</t>
  </si>
  <si>
    <t xml:space="preserve">Synthetic media image</t>
  </si>
  <si>
    <t xml:space="preserve">A social media style post claiming a CEO confirmed AI-driven layoffs, labeled with missing provenance clues.</t>
  </si>
  <si>
    <t xml:space="preserve">The image is the item stimulus: inspect the post, source, timing, and missing original link.</t>
  </si>
  <si>
    <t xml:space="preserve">Breaking: CEO confirms AI-driven layoffs</t>
  </si>
  <si>
    <t xml:space="preserve">Source: anonymous repost | Timestamp: 06:12 before market open | Original video: not linked | Company channel: no matching statement</t>
  </si>
  <si>
    <t xml:space="preserve">A realistic social post claims a CEO announced layoffs after seeing an AI-generated forecast. The post is spreading quickly before market open.</t>
  </si>
  <si>
    <t xml:space="preserve">What should leadership do before responding publicly?</t>
  </si>
  <si>
    <t xml:space="preserve">· a: Respond immediately to match the speed of the post.  (score 25)
✔ b: Verify provenance through original channels, trusted reporting, metadata where available, and internal confirmation.  (score 98)
· c: Ignore it until it disappears.  (score 35)
· d: Assume realistic visuals are authentic.  (score 10)</t>
  </si>
  <si>
    <t xml:space="preserve">b: Verify provenance through original channels, trusted reporting, metadata where available, and internal confirmation.</t>
  </si>
  <si>
    <t xml:space="preserve">a: Speed matters, but an unverified response can amplify misinformation.
b: Correct. Executive response should be fast and evidence-led.
c: Silence may be risky when market or employee trust is affected.
d: Realistic visuals are not proof of authenticity.</t>
  </si>
  <si>
    <t xml:space="preserve">EXEC-D5-024</t>
  </si>
  <si>
    <t xml:space="preserve">The annual AI budget has ten proposed initiatives across automation, customer experience, analytics, and internal productivity.</t>
  </si>
  <si>
    <t xml:space="preserve">Drag or reorder the executive stage gates into the strongest order for responsible AI investment.</t>
  </si>
  <si>
    <t xml:space="preserve">#1  value: Define value hypothesis and owner
#2  readiness: Assess data, workflow, and risk readiness
#3  pilot: Run controlled pilot with success metrics
#4  scale: Scale only after evidence and controls pass</t>
  </si>
  <si>
    <t xml:space="preserve">value &gt; readiness &gt; pilot &gt; scale</t>
  </si>
  <si>
    <t xml:space="preserve">rank: Strong. The sequence protects investment discipline.</t>
  </si>
  <si>
    <t xml:space="preserve">EXEC-D4-004</t>
  </si>
  <si>
    <t xml:space="preserve">A regulated workflow will use AI to recommend eligibility decisions, with human reviewers expected to approve exceptions.</t>
  </si>
  <si>
    <t xml:space="preserve">Match each regulated-workflow risk to the appropriate governance evidence.</t>
  </si>
  <si>
    <t xml:space="preserve">Uneven outcomes across protected groups  →  Bias test and remediation record   [choices: Bias test and remediation record | Marketing launch plan | Seat-license count]
User challenges AI-assisted decision  →  Appeal path and human rationale   [choices: Appeal path and human rationale | Vendor logo page | Internal hype metric]
Performance changes after launch  →  Monitoring dashboard and review cadence   [choices: Monitoring dashboard and review cadence | One-time demo | No evidence needed]</t>
  </si>
  <si>
    <t xml:space="preserve">Uneven outcomes across protected groups → Bias test and remediation record; User challenges AI-assisted decision → Appeal path and human rationale; Performance changes after launch → Monitoring dashboard and review cadence</t>
  </si>
  <si>
    <t xml:space="preserve">match: Correct matching shows governance fluency.</t>
  </si>
  <si>
    <t xml:space="preserve">EXEC-D6-012</t>
  </si>
  <si>
    <t xml:space="preserve">Customer Guidance Error</t>
  </si>
  <si>
    <t xml:space="preserve">Impact: limited but visible | Root cause: weak exception review | Control: no rollback checklist | Employee concern: blame culture</t>
  </si>
  <si>
    <t xml:space="preserve">An AI assistant sent incorrect customer guidance that affected a small but visible customer segment.</t>
  </si>
  <si>
    <t xml:space="preserve">Which executive response builds the most trust?</t>
  </si>
  <si>
    <t xml:space="preserve">· a: Blame the frontline team for accepting the AI output.  (score 10)
✔ b: Contain harm, notify affected stakeholders, explain remediation, fix controls, and share learning.  (score 98)
· c: Quietly patch the system without communicating.  (score 35)
· d: Stop all customer-facing AI forever.  (score 40)</t>
  </si>
  <si>
    <t xml:space="preserve">b: Contain harm, notify affected stakeholders, explain remediation, fix controls, and share learning.</t>
  </si>
  <si>
    <t xml:space="preserve">a: Blame discourages learning and hides systemic control failures.
b: Correct. Trust comes from accountability and visible improvement.
c: Hidden fixes may fail trust and disclosure obligations.
d: A pause may be needed, but permanent retreat is not necessarily proportional.</t>
  </si>
  <si>
    <t xml:space="preserve">EXEC-D5-016</t>
  </si>
  <si>
    <t xml:space="preserve">A vendor proposes a proprietary AI workflow that would embed core customer data, prompts, and operating logic inside its platform.</t>
  </si>
  <si>
    <t xml:space="preserve">Select the strategic risks executives should review before signing.</t>
  </si>
  <si>
    <t xml:space="preserve">✔ a: Data ownership, retention, and reuse rights.  (score 33)
✔ b: Portability, exit rights, and migration cost.  (score 33)
✔ c: Dependency on vendor prompts, workflows, and model roadmap.  (score 33)
· d: The charisma of the vendor presenter.  (score 0)</t>
  </si>
  <si>
    <t xml:space="preserve">a: Data rights determine long-term control.
b: Exit paths protect strategic flexibility.
c: Capability dependency can become lock-in.
d: A strong pitch is not diligence evidence.</t>
  </si>
  <si>
    <t xml:space="preserve">EXEC-D1-003</t>
  </si>
  <si>
    <t xml:space="preserve">A leadership team assumes an AI agent can safely chain tools autonomously because the underlying model passed a benchmark.</t>
  </si>
  <si>
    <t xml:space="preserve">Match the executive misconception to the correct AI oversight concept.</t>
  </si>
  <si>
    <t xml:space="preserve">High benchmark score  →  Capability signal, not safe authority   [choices: Capability signal, not safe authority | Permission to automate everything | Legal approval]
Current policy answer  →  Requires grounding in approved sources   [choices: Requires grounding in approved sources | Model memory is enough | Ignore citations]
Tool-chaining agent  →  Needs permissions, logs, and supervision   [choices: Needs permissions, logs, and supervision | No human role remains | Only branding matters]</t>
  </si>
  <si>
    <t xml:space="preserve">High benchmark score → Capability signal, not safe authority; Current policy answer → Requires grounding in approved sources; Tool-chaining agent → Needs permissions, logs, and supervision</t>
  </si>
  <si>
    <t xml:space="preserve">match: Correct. Executive fluency means knowing what capability evidence does and does not prove.</t>
  </si>
  <si>
    <t xml:space="preserve">EXEC-D2-002</t>
  </si>
  <si>
    <t xml:space="preserve">A business unit adds an AI copilot to an existing approval workflow and reports that employees like it.</t>
  </si>
  <si>
    <t xml:space="preserve">Drag or reorder the workflow integration steps before broad rollout.</t>
  </si>
  <si>
    <t xml:space="preserve">#1  map: Map where AI enters the workflow
#2  review: Set human review and exception points
#3  measure: Measure quality, speed, adoption, and risk
#4  train: Train role owners and scale the pattern</t>
  </si>
  <si>
    <t xml:space="preserve">map &gt; review &gt; measure &gt; train</t>
  </si>
  <si>
    <t xml:space="preserve">rank: Strong workflow governance starts with context, then controls, measures, and enablement.</t>
  </si>
  <si>
    <t xml:space="preserve">EXEC-D3-002</t>
  </si>
  <si>
    <t xml:space="preserve">Report evidence image</t>
  </si>
  <si>
    <t xml:space="preserve">A board report excerpt showing an unsupported thirty-one percent market growth forecast and weak citations.</t>
  </si>
  <si>
    <t xml:space="preserve">The image is the item stimulus: compare the claim against the cited source notes.</t>
  </si>
  <si>
    <t xml:space="preserve">Market Expansion Recommendation</t>
  </si>
  <si>
    <t xml:space="preserve">Claim: market will grow 31% | Source A: adoption barriers | Source B: 2023 survey, no forecast | Source C: vendor blog, no sample</t>
  </si>
  <si>
    <t xml:space="preserve">An AI-generated market report cites three sources, but the cited materials do not support the exact growth forecast used in the board recommendation.</t>
  </si>
  <si>
    <t xml:space="preserve">What is the strongest executive conclusion?</t>
  </si>
  <si>
    <t xml:space="preserve">· a: The forecast is decision-ready because sources are listed.  (score 20)
✔ b: The recommendation has a citation-support gap and needs correction before board use.  (score 98)
· c: The entire market report must be false.  (score 45)
· d: Only the citation formatting needs editing.  (score 15)</t>
  </si>
  <si>
    <t xml:space="preserve">b: The recommendation has a citation-support gap and needs correction before board use.</t>
  </si>
  <si>
    <t xml:space="preserve">a: Sources must support the exact claim.
b: Correct. This identifies the evidence failure without overclaiming.
c: The specific claim is unsupported; other content may still be valid.
d: This is a substance issue, not formatting.</t>
  </si>
  <si>
    <t xml:space="preserve">EXEC-D6-018</t>
  </si>
  <si>
    <t xml:space="preserve">The board asks how leadership will stay competent enough to oversee AI as tools and risks change quickly.</t>
  </si>
  <si>
    <t xml:space="preserve">Select the routines that belong in an executive AI oversight cadence.</t>
  </si>
  <si>
    <t xml:space="preserve">✔ a: Quarterly AI portfolio and risk review.  (score 25)
✔ b: Incident and near-miss learning review.  (score 25)
✔ c: Executive scenario drills for emerging AI risks.  (score 25)
✔ d: Named accountability for business, risk, technology, and people outcomes.  (score 25)
· e: One annual inspirational keynote with no operating follow-up.  (score 0)</t>
  </si>
  <si>
    <t xml:space="preserve">a: Portfolio review keeps investment and risk connected.
b: Incidents are a leadership learning loop.
c: Scenario practice improves judgment under ambiguity.
d: Accountability must be shared but explicit.
e: Inspiration without cadence does not create oversight capability.</t>
  </si>
  <si>
    <t xml:space="preserve">EXEC-D4-010</t>
  </si>
  <si>
    <t xml:space="preserve">Confidential Report Exposure</t>
  </si>
  <si>
    <t xml:space="preserve">Access scope: 214 employees | Containment: partial | Customer impact: under review | Owner: not assigned</t>
  </si>
  <si>
    <t xml:space="preserve">An AI workflow exposed a confidential customer segment report to employees who did not need access.</t>
  </si>
  <si>
    <t xml:space="preserve">Drag or reorder the incident response actions into the best executive sequence.</t>
  </si>
  <si>
    <t xml:space="preserve">#1  contain: Contain access and preserve audit evidence
#2  assess: Assess impact, legal obligations, and notification needs
#3  communicate: Communicate clearly to affected stakeholders
#4  prevent: Fix permissions, monitoring, and ownership</t>
  </si>
  <si>
    <t xml:space="preserve">contain &gt; assess &gt; communicate &gt; prevent</t>
  </si>
  <si>
    <t xml:space="preserve">rank: Correct. Incident leadership starts with containment and evidence.</t>
  </si>
  <si>
    <t xml:space="preserve">EXEC-D5-021</t>
  </si>
  <si>
    <t xml:space="preserve">Employees hear that AI is a cost-cutting program, while the board hears it is a growth and quality program.</t>
  </si>
  <si>
    <t xml:space="preserve">Which executive narrative best supports adoption and trust?</t>
  </si>
  <si>
    <t xml:space="preserve">· a: AI will replace routine work, and details will come later.  (score 20)
✔ b: AI will target measurable customer, quality, and productivity outcomes while protecting accountability and learning.  (score 98)
· c: AI is mainly an IT modernization project.  (score 35)
· d: AI messaging should wait until every answer is known.  (score 40)</t>
  </si>
  <si>
    <t xml:space="preserve">b: AI will target measurable customer, quality, and productivity outcomes while protecting accountability and learning.</t>
  </si>
  <si>
    <t xml:space="preserve">a: This increases fear and ambiguity.
b: Correct. It connects value, trust, and human capability.
c: That undersells business ownership and change leadership.
d: Leaders can communicate principles before every detail is final.</t>
  </si>
  <si>
    <t xml:space="preserve">EXEC-D6-016</t>
  </si>
  <si>
    <t xml:space="preserve">Legal, IT, HR, and Operations disagree on whether a customer-support AI assistant should scale.</t>
  </si>
  <si>
    <t xml:space="preserve">Match each function to the concern it should own in the decision forum.</t>
  </si>
  <si>
    <t xml:space="preserve">Legal  →  Disclosure, liability, and regulatory obligations   [choices: Disclosure, liability, and regulatory obligations | System uptime only | Training attendance]
IT / Data  →  Security, integration, access, and monitoring   [choices: Security, integration, access, and monitoring | Press release timing | Compensation policy]
HR / People  →  Role impact, enablement, and adoption trust   [choices: Role impact, enablement, and adoption trust | Vendor revenue | Database schema only]</t>
  </si>
  <si>
    <t xml:space="preserve">Legal → Disclosure, liability, and regulatory obligations; IT / Data → Security, integration, access, and monitoring; HR / People → Role impact, enablement, and adoption trust</t>
  </si>
  <si>
    <t xml:space="preserve">match: Strong executives create shared criteria without blurring ownership.</t>
  </si>
  <si>
    <t xml:space="preserve">EXEC-D3-005</t>
  </si>
  <si>
    <t xml:space="preserve">AI Assistant Impact</t>
  </si>
  <si>
    <t xml:space="preserve">Y-axis starts at 7% | AI launch: May | Pricing discount: May | No control group shown</t>
  </si>
  <si>
    <t xml:space="preserve">A trend dashboard shows customer churn dropping after an AI assistant launch, but the y-axis is truncated and a pricing change happened at the same time.</t>
  </si>
  <si>
    <t xml:space="preserve">What is the best executive interpretation?</t>
  </si>
  <si>
    <t xml:space="preserve">· a: AI definitely caused the full churn reduction.  (score 20)
✔ b: The result is promising but needs causal analysis, controls, and baseline transparency.  (score 98)
· c: The dashboard proves AI had no value.  (score 35)
· d: Hide the chart because it is imperfect.  (score 30)</t>
  </si>
  <si>
    <t xml:space="preserve">b: The result is promising but needs causal analysis, controls, and baseline transparency.</t>
  </si>
  <si>
    <t xml:space="preserve">a: The visual overstates causality.
b: Correct. This is calibrated evidence judgment.
c: The evidence is weak, not necessarily negative.
d: Improve the evidence rather than hiding uncertainty.</t>
  </si>
  <si>
    <t xml:space="preserve">EXEC-D5-013</t>
  </si>
  <si>
    <t xml:space="preserve">A pilot has low adoption after 90 days, but the sponsor wants to scale because the launch announcement was high profile.</t>
  </si>
  <si>
    <t xml:space="preserve">What is the best executive decision?</t>
  </si>
  <si>
    <t xml:space="preserve">· a: Scale anyway to protect the announcement.  (score 15)
✔ b: Pause scale-up, diagnose adoption barriers, and decide whether to iterate or stop.  (score 95)
· c: Declare the pilot a success because it launched.  (score 20)
· d: Move the pilot to another team without review.  (score 35)</t>
  </si>
  <si>
    <t xml:space="preserve">b: Pause scale-up, diagnose adoption barriers, and decide whether to iterate or stop.</t>
  </si>
  <si>
    <t xml:space="preserve">a: Optics should not override adoption and outcome evidence.
b: Correct. Stage gates should use evidence, not momentum.
c: Launch is not value realization.
d: Transferring the problem does not create learning.</t>
  </si>
  <si>
    <t xml:space="preserve">EXEC-D5-009</t>
  </si>
  <si>
    <t xml:space="preserve">The CFO asks why the AI platform budget is higher than the license quote.</t>
  </si>
  <si>
    <t xml:space="preserve">Select the hidden cost categories that belong in the total cost view.</t>
  </si>
  <si>
    <t xml:space="preserve">✔ a: Integration, data preparation, and security review.  (score 25)
✔ b: Human review, exception handling, and QA time.  (score 25)
✔ c: Training, adoption support, and change management.  (score 25)
✔ d: Monitoring, audit, incident response, and vendor management.  (score 25)
· e: Only the first-year subscription line.  (score 0)</t>
  </si>
  <si>
    <t xml:space="preserve">a: These often exceed simple license cost.
b: Human-in-the-loop work is part of operating cost.
c: Capability building is needed for value.
d: Controls have recurring cost.
e: That misses the full cost structure.</t>
  </si>
  <si>
    <t xml:space="preserve">EXEC-D4-014</t>
  </si>
  <si>
    <t xml:space="preserve">Customer Challenge Packet</t>
  </si>
  <si>
    <t xml:space="preserve">Model version: missing | Human reviewer: recorded | Input snapshot: available | Rationale: partial</t>
  </si>
  <si>
    <t xml:space="preserve">A customer challenges an AI-assisted scoring decision and asks how the decision was made.</t>
  </si>
  <si>
    <t xml:space="preserve">Select the records that should be preserved for auditability.</t>
  </si>
  <si>
    <t xml:space="preserve">✔ a: Input data snapshot and source timestamp.  (score 25)
✔ b: Model/version or system configuration used.  (score 25)
✔ c: Human review status and rationale.  (score 25)
✔ d: Appeal outcome and remediation record.  (score 25)
· e: Only the final score.  (score 0)</t>
  </si>
  <si>
    <t xml:space="preserve">a: Inputs anchor the decision.
b: Versioning matters for review.
c: Human accountability must be visible.
d: Appeals complete the evidence trail.
e: A score without context is not auditable.</t>
  </si>
  <si>
    <t xml:space="preserve">EXEC-D4-016</t>
  </si>
  <si>
    <t xml:space="preserve">The board asks management to define AI risk appetite before approving high-impact use cases.</t>
  </si>
  <si>
    <t xml:space="preserve">Which risk appetite statement is strongest?</t>
  </si>
  <si>
    <t xml:space="preserve">· a: We will use AI wherever it improves speed.  (score 25)
✔ b: We permit low-risk augmentation broadly, require enhanced controls for high-impact decisions, and prohibit unsupervised safety-critical actions.  (score 98)
· c: We will wait for every regulation to be final.  (score 40)
· d: We trust vendors to decide what is safe.  (score 15)</t>
  </si>
  <si>
    <t xml:space="preserve">b: We permit low-risk augmentation broadly, require enhanced controls for high-impact decisions, and prohibit unsupervised safety-critical actions.</t>
  </si>
  <si>
    <t xml:space="preserve">a: Speed alone is not a risk appetite.
b: Correct. It defines tiers, controls, and boundaries.
c: This is not an operating risk appetite.
d: Accountability remains with the organization.</t>
  </si>
  <si>
    <t xml:space="preserve">EXEC-D6-007</t>
  </si>
  <si>
    <t xml:space="preserve">An AI tool launched to 800 employees, but usage and confidence vary sharply by function.</t>
  </si>
  <si>
    <t xml:space="preserve">Match each adoption signal to the leadership action it should trigger.</t>
  </si>
  <si>
    <t xml:space="preserve">Low use in one function  →  Diagnose workflow fit and manager enablement   [choices: Diagnose workflow fit and manager enablement | Declare resistance | Remove all controls]
High correction rate  →  Improve training and review checklist   [choices: Improve training and review checklist | Scale immediately | Ignore quality]
Unreported tool usage  →  Create safe disclosure and policy clarity   [choices: Create safe disclosure and policy clarity | Punish every experiment | Stop measuring]</t>
  </si>
  <si>
    <t xml:space="preserve">Low use in one function → Diagnose workflow fit and manager enablement; High correction rate → Improve training and review checklist; Unreported tool usage → Create safe disclosure and policy clarity</t>
  </si>
  <si>
    <t xml:space="preserve">match: Correct. Adoption metrics should trigger targeted support.</t>
  </si>
  <si>
    <t xml:space="preserve">EXEC-D6-010</t>
  </si>
  <si>
    <t xml:space="preserve">A function head asks to reduce headcount immediately because a demo showed an AI assistant drafting work quickly.</t>
  </si>
  <si>
    <t xml:space="preserve">What is the best leadership response?</t>
  </si>
  <si>
    <t xml:space="preserve">· a: Approve the reduction based on the demo.  (score 10)
✔ b: Require workflow evidence, quality measures, role redesign, and capability planning before workforce decisions.  (score 95)
· c: Ban the AI assistant to avoid difficult questions.  (score 30)
· d: Tell employees nothing until reductions are final.  (score 15)</t>
  </si>
  <si>
    <t xml:space="preserve">b: Require workflow evidence, quality measures, role redesign, and capability planning before workforce decisions.</t>
  </si>
  <si>
    <t xml:space="preserve">a: A demo is not workforce evidence.
b: Correct. Workforce redesign needs evidence and care.
c: Avoidance does not build capability.
d: This damages trust and adoption.</t>
  </si>
  <si>
    <t xml:space="preserve">EXEC-D3-004</t>
  </si>
  <si>
    <t xml:space="preserve">A forecast model gives a confident revenue projection, and leadership wants to use it in investor guidance.</t>
  </si>
  <si>
    <t xml:space="preserve">Select the uncertainty checks executives should request.</t>
  </si>
  <si>
    <t xml:space="preserve">✔ a: Prediction interval or scenario range.  (score 33)
✔ b: Back-test against prior periods.  (score 33)
✔ c: Assumptions, data freshness, and known limitations.  (score 33)
· d: More confident wording in the slide title.  (score 0)</t>
  </si>
  <si>
    <t xml:space="preserve">a: Ranges communicate uncertainty.
b: Historical performance calibrates trust.
c: Inputs and limits shape interpretation.
d: Confidence wording is not evidence.</t>
  </si>
  <si>
    <t xml:space="preserve">EXEC-D3-006</t>
  </si>
  <si>
    <t xml:space="preserve">An AI recommendation conflicts with expert evidence from compliance, operations, and customer research.</t>
  </si>
  <si>
    <t xml:space="preserve">What should the executive decision record show?</t>
  </si>
  <si>
    <t xml:space="preserve">· a: The AI recommendation won because it was quantitative.  (score 20)
✔ b: The conflict was escalated, evidence was compared, uncertainty was documented, and a human decision owner was named.  (score 98)
· c: The expert evidence was ignored to avoid delays.  (score 10)
· d: No record is needed if the decision is urgent.  (score 15)</t>
  </si>
  <si>
    <t xml:space="preserve">b: The conflict was escalated, evidence was compared, uncertainty was documented, and a human decision owner was named.</t>
  </si>
  <si>
    <t xml:space="preserve">a: Quantitative output is not automatically stronger evidence.
b: Correct. This is decision-quality governance.
c: Ignoring contrary evidence creates risk.
d: Urgency increases the need for rationale.</t>
  </si>
  <si>
    <t xml:space="preserve">EXEC-D2-003</t>
  </si>
  <si>
    <t xml:space="preserve">An executive delegates an AI analysis request to an assistant but gives no context, source boundaries, or decision use.</t>
  </si>
  <si>
    <t xml:space="preserve">Which instruction would improve the delegated AI task most?</t>
  </si>
  <si>
    <t xml:space="preserve">· a: Make the analysis impressive.  (score 20)
✔ b: Use these approved sources, compare three options, state assumptions, and flag where human judgment is required.  (score 95)
· c: Find whatever supports my preferred decision.  (score 10)
· d: Skip source notes to save time.  (score 25)</t>
  </si>
  <si>
    <t xml:space="preserve">b: Use these approved sources, compare three options, state assumptions, and flag where human judgment is required.</t>
  </si>
  <si>
    <t xml:space="preserve">a: Impressive is not a usable constraint.
b: Correct. Executives should define context, sources, output, and use.
c: That invites confirmation bias.
d: Decision support needs traceability.</t>
  </si>
  <si>
    <t xml:space="preserve">EXEC-D2-001</t>
  </si>
  <si>
    <t xml:space="preserve">Executives ask what they personally need to understand about AI tooling versus what can be delegated.</t>
  </si>
  <si>
    <t xml:space="preserve">Match the tooling topic to the right executive responsibility.</t>
  </si>
  <si>
    <t xml:space="preserve">Prompt template design  →  Set success criteria and review expectations   [choices: Set success criteria and review expectations | Write every prompt personally | Ignore output quality]
Tool access level  →  Approve risk tier and authority boundary   [choices: Approve risk tier and authority boundary | Leave all access open | Treat as branding]
Workflow metrics  →  Require outcome, quality, and adoption measures   [choices: Require outcome, quality, and adoption measures | Count demos only | Measure nothing]</t>
  </si>
  <si>
    <t xml:space="preserve">Prompt template design → Set success criteria and review expectations; Tool access level → Approve risk tier and authority boundary; Workflow metrics → Require outcome, quality, and adoption measures</t>
  </si>
  <si>
    <t xml:space="preserve">match: Correct. Leaders do not need to do every task, but they own the oversight frame.</t>
  </si>
  <si>
    <t xml:space="preserve">EXEC-D1-002</t>
  </si>
  <si>
    <t xml:space="preserve">A team proposes using model memory to answer questions about current internal policy because the model sounds fluent.</t>
  </si>
  <si>
    <t xml:space="preserve">Which architecture should the executive sponsor prefer?</t>
  </si>
  <si>
    <t xml:space="preserve">· a: Model memory only, because the output is fluent.  (score 15)
✔ b: Retrieval from approved policy sources with citations, access controls, and review for high-impact advice.  (score 98)
· c: Ask employees to paste policy text into public tools.  (score 20)
· d: Ban all policy questions from AI forever.  (score 35)</t>
  </si>
  <si>
    <t xml:space="preserve">b: Retrieval from approved policy sources with citations, access controls, and review for high-impact advice.</t>
  </si>
  <si>
    <t xml:space="preserve">a: Fluency does not ensure current policy accuracy.
b: Correct. Current internal knowledge needs grounding and controls.
c: This creates privacy and consistency risk.
d: A governed architecture can support safe use.</t>
  </si>
  <si>
    <t xml:space="preserve">EXEC-D4-018</t>
  </si>
  <si>
    <t xml:space="preserve">An AI tool recommends an operational safety action that could affect employees and customers.</t>
  </si>
  <si>
    <t xml:space="preserve">Drag or reorder the safety-critical control sequence.</t>
  </si>
  <si>
    <t xml:space="preserve">#1  classify: Classify the use case as safety-critical
#2  authority: Assign human authority and fail-safe boundary
#3  validate: Validate performance under edge cases
#4  monitor: Monitor incidents and suspend when thresholds are crossed</t>
  </si>
  <si>
    <t xml:space="preserve">classify &gt; authority &gt; validate &gt; monitor</t>
  </si>
  <si>
    <t xml:space="preserve">rank: Correct. Safety-critical AI requires staged controls.</t>
  </si>
  <si>
    <t xml:space="preserve">EXEC-D2-A2A-019</t>
  </si>
  <si>
    <t xml:space="preserve">Cross-Vendor Agent Handoff</t>
  </si>
  <si>
    <t xml:space="preserve">Customer agent: opens case | Fraud agent: flags transaction | Compliance agent: requires rationale | Human: approves account action</t>
  </si>
  <si>
    <t xml:space="preserve">A bank wants a customer-service agent, fraud agent, and compliance agent to exchange task status across vendor platforms.</t>
  </si>
  <si>
    <t xml:space="preserve">Match each cross-agent risk to the executive control.</t>
  </si>
  <si>
    <t xml:space="preserve">Agent identity can be spoofed  →  Authenticate agent and system identity   [choices: Authenticate agent and system identity | Use a nicer dashboard | Remove human review]
Agent exceeds allowed authority  →  Policy-bound permissions and approval gates   [choices: Policy-bound permissions and approval gates | Unlimited automation | No thresholds]
No record of the handoff  →  Cross-agent audit log and rationale   [choices: Cross-agent audit log and rationale | Private verbal update | Delete traces]</t>
  </si>
  <si>
    <t xml:space="preserve">Agent identity can be spoofed → Authenticate agent and system identity; Agent exceeds allowed authority → Policy-bound permissions and approval gates; No record of the handoff → Cross-agent audit log and rationale</t>
  </si>
  <si>
    <t xml:space="preserve">match: Correct. A2A needs trust, authority boundaries, and auditable state.</t>
  </si>
  <si>
    <t xml:space="preserve">EXEC-D6-LOOP-019</t>
  </si>
  <si>
    <t xml:space="preserve">Leadership loop artifact</t>
  </si>
  <si>
    <t xml:space="preserve">Workflow artifact showing AI insertion points and a missing review loop.</t>
  </si>
  <si>
    <t xml:space="preserve">Use the workflow map to sequence a leadership learning loop.</t>
  </si>
  <si>
    <t xml:space="preserve">A leadership team wants AI copilots to improve manager decision quality, but early pilots show inconsistent use and no learning loop.</t>
  </si>
  <si>
    <t xml:space="preserve">Order the executive loop-design steps.</t>
  </si>
  <si>
    <t xml:space="preserve">#1  practice: Define the manager decision moments where AI will assist
#2  review: Set review criteria for quality, fairness, and escalation
#3  coach: Coach managers using examples from real use
#4  refresh: Refresh prompts, policies, and training from observed failures</t>
  </si>
  <si>
    <t xml:space="preserve">practice &gt; review &gt; coach &gt; refresh</t>
  </si>
  <si>
    <t xml:space="preserve">rank: Correct. Capability improves when real use feeds coaching and updates.</t>
  </si>
  <si>
    <t xml:space="preserve">EXEC-D4-AGENT-020</t>
  </si>
  <si>
    <t xml:space="preserve">Raw agent audit log</t>
  </si>
  <si>
    <t xml:space="preserve">Raw AI agent audit log showing broad file access, external email draft, CRM write, finance payment request, warnings, and missing approval.</t>
  </si>
  <si>
    <t xml:space="preserve">Inspect the raw tool log before selecting the post-incident fixes.</t>
  </si>
  <si>
    <t xml:space="preserve">An internal agent sent a supplier email, changed a CRM field, and requested finance approval before a manager reviewed the case.</t>
  </si>
  <si>
    <t xml:space="preserve">Select the post-incident fixes leadership should require.</t>
  </si>
  <si>
    <t xml:space="preserve">✔ a: Least-privilege tool access by task.  (score 25)
✔ b: Human approval before external messages and finance triggers.  (score 25)
✔ c: Action logs and rollback for system writes.  (score 25)
✔ d: Stop conditions for unusual or high-risk chains.  (score 25)
· e: A more confident system prompt.  (score 0)</t>
  </si>
  <si>
    <t xml:space="preserve">a: Access should be scoped to the job.
b: High-impact actions need gates.
c: Traceability and recovery are required.
d: Agents need bounded autonomy.
e: Confidence does not control tool authority.</t>
  </si>
  <si>
    <t xml:space="preserve">EXEC-D5-TREND-021</t>
  </si>
  <si>
    <t xml:space="preserve">A board member asks whether to fund an A2A agent program because competitors announced similar partnerships.</t>
  </si>
  <si>
    <t xml:space="preserve">What decision frame should leadership use?</t>
  </si>
  <si>
    <t xml:space="preserve">· a: Fund it if competitors announced it first.  (score 20)
✔ b: Identify target workflows, measurable value, interoperability need, risk controls, and pilot evidence before funding.  (score 98)
· c: Reject all agent programs until standards stop changing.  (score 35)
· d: Let the vendor pick the first business process.  (score 15)</t>
  </si>
  <si>
    <t xml:space="preserve">b: Identify target workflows, measurable value, interoperability need, risk controls, and pilot evidence before funding.</t>
  </si>
  <si>
    <t xml:space="preserve">a: Competitive pressure is a signal, not a business case.
b: Correct. Trend response should become a disciplined portfolio decision.
c: Waiting forever can miss learning; pilot with controls.
d: Business ownership should set priorities.</t>
  </si>
  <si>
    <t xml:space="preserve">EXEC-D3-FIN-022</t>
  </si>
  <si>
    <t xml:space="preserve">Raw board finance packet</t>
  </si>
  <si>
    <t xml:space="preserve">Raw finance variance report with marketing, cloud compute, support revenue, and one-time vendor credit lines.</t>
  </si>
  <si>
    <t xml:space="preserve">Inspect the raw finance evidence before deciding what goes to the board.</t>
  </si>
  <si>
    <t xml:space="preserve">The CFO receives an AI-written board note blaming the margin miss on marketing overspend.</t>
  </si>
  <si>
    <t xml:space="preserve">What should the executive require before the board note is sent?</t>
  </si>
  <si>
    <t xml:space="preserve">✔ a: A revised explanation covering compute, revenue, one-time credits, and uncertainty.  (score 98)
· b: A shorter story focused only on the easiest line item.  (score 20)
· c: A more confident conclusion using the same evidence.  (score 15)
· d: A delay until every variance has a perfect answer.  (score 35)</t>
  </si>
  <si>
    <t xml:space="preserve">a: A revised explanation covering compute, revenue, one-time credits, and uncertainty.</t>
  </si>
  <si>
    <t xml:space="preserve">a: Correct. Board evidence should reflect material drivers and limits.
b: Shorter is not better if it hides material causes.
c: Confidence does not fix weak analysis.
d: The board needs a calibrated view, not false certainty or paralysis.</t>
  </si>
  <si>
    <t xml:space="preserve">EXEC-D4-PEOPLE-023</t>
  </si>
  <si>
    <t xml:space="preserve">Raw hiring evidence</t>
  </si>
  <si>
    <t xml:space="preserve">Raw candidate packet showing AI culture-fit recommendation, missing work sample, and stronger evidence for another candidate.</t>
  </si>
  <si>
    <t xml:space="preserve">Inspect whether the AI recommendation uses job-relevant evidence and fair process.</t>
  </si>
  <si>
    <t xml:space="preserve">The CHRO asks whether an AI candidate-ranking pilot is ready for broader deployment.</t>
  </si>
  <si>
    <t xml:space="preserve">Which governance gates should leadership require before scaling?</t>
  </si>
  <si>
    <t xml:space="preserve">✔ a: Define job-relevant criteria and remove proxy language.  (score 25)
✔ b: Audit outcomes for bias and adverse impact.  (score 25)
✔ c: Require human review before candidate advancement.  (score 25)
✔ d: Keep appeal and documentation records.  (score 25)
· e: Scale quickly because culture fit is easy to automate.  (score 0)</t>
  </si>
  <si>
    <t xml:space="preserve">a: Correct. Screening criteria must be evidence-based.
b: Correct. People decisions need fairness monitoring.
c: Correct. AI should not own high-impact employment decisions.
d: Correct. Process evidence supports accountability.
e: Culture-fit automation is a known risk area.</t>
  </si>
  <si>
    <t xml:space="preserve">EXEC-D6-OPS-024</t>
  </si>
  <si>
    <t xml:space="preserve">Raw service-quality artifact</t>
  </si>
  <si>
    <t xml:space="preserve">Inspect the customer case before writing the leadership response.</t>
  </si>
  <si>
    <t xml:space="preserve">Operations leaders want to deploy AI-written customer replies, but the raw ticket shows the AI draft denied a valid duplicate-charge refund.</t>
  </si>
  <si>
    <t xml:space="preserve">Write 2-4 sentences on the leadership control needed before rollout.</t>
  </si>
  <si>
    <t xml:space="preserve">quality: Requires quality review on exception cases (26 pts; keywords: quality, review, exception, refund)
evidence: Uses logs and policy evidence (24 pts; keywords: log, policy, evidence, duplicate)
human: Defines human escalation or approval (24 pts; keywords: human, approval, escalation, agent)
learning: Creates a learning loop before scale (24 pts; keywords: pilot, monitor, learn, loop, measure)</t>
  </si>
  <si>
    <t xml:space="preserve">Leadership should not roll out autonomous denials yet. Exception cases need human review using the payment log and policy evidence. The pilot should monitor refund accuracy, escalation quality, and customer impact before scaling.</t>
  </si>
  <si>
    <t xml:space="preserve">EXEC-EXP-D1-CAL-001</t>
  </si>
  <si>
    <t xml:space="preserve">A board member uses chatbot, copilot, workflow automation, and agent interchangeably while discussing new AI spend.</t>
  </si>
  <si>
    <t xml:space="preserve">Match each term to the capability boundary leadership should understand.</t>
  </si>
  <si>
    <t xml:space="preserve">Chatbot  →  Responds conversationally without owning system actions   [choices: Responds conversationally without owning system actions | Executes multi-system tasks with delegated authority | Runs fixed rules without language understanding]
Copilot  →  Assists a human inside an existing work step   [choices: Assists a human inside an existing work step | Approves exceptions without review | Sets strategy from market signals alone]
Workflow automation  →  Runs predefined steps when conditions are met   [choices: Runs predefined steps when conditions are met | Negotiates policy tradeoffs independently | Creates training data from every prompt]
AI agent  →  Plans and uses tools toward a goal within authority limits   [choices: Plans and uses tools toward a goal within authority limits | Only summarizes documents after upload | Cannot affect records or communications]</t>
  </si>
  <si>
    <t xml:space="preserve">Chatbot → Responds conversationally without owning system actions; Copilot → Assists a human inside an existing work step; Workflow automation → Runs predefined steps when conditions are met; AI agent → Plans and uses tools toward a goal within authority limits</t>
  </si>
  <si>
    <t xml:space="preserve">match: Correct. Executive risk and value depend on the difference between advice, assistance, automation, and delegated tool use.</t>
  </si>
  <si>
    <t xml:space="preserve">MULTI-CONCEPT-EXEC-001</t>
  </si>
  <si>
    <t xml:space="preserve">D2; D4; D5</t>
  </si>
  <si>
    <t xml:space="preserve">Executive concept workbench</t>
  </si>
  <si>
    <t xml:space="preserve">Concept workbench defining LLM, RAG, MCP tools, prompt, context, and memory with leadership risks to watch for.</t>
  </si>
  <si>
    <t xml:space="preserve">Answer each mini-part. The item updates architecture, tooling, governance, and value signals.</t>
  </si>
  <si>
    <t xml:space="preserve">An executive committee is deciding whether the next AI platform should use RAG, memory, MCP-style connectors, and agents for policy, finance, and customer workflows.</t>
  </si>
  <si>
    <t xml:space="preserve">Answer the mini-parts to show executive fluency across AI architecture and operating risk.</t>
  </si>
  <si>
    <t xml:space="preserve">[architecture · D1] Which distinction should leaders understand before approving an AI knowledge assistant?
   ✔ a: LLM fluency, RAG grounding, and memory retention solve different problems. (98)
   · b: A fluent answer means the system used approved company sources. (20)
   · c: Memory should replace document retrieval for current policy. (25)
[tooling · D2] What makes MCP/tool connectors strategically different from ordinary chat?
   · a: They mainly improve tone and writing style. (25)
   ✔ b: They let AI reach systems, files, and workflows under defined authority. (98)
   · c: They remove the need to map business workflows. (20)
[governance · D4] What must exist before agents can trigger external messages or financial actions?
   · a: A polished demo and a confident executive sponsor. (20)
   · b: A longer system prompt describing good behavior. (35)
   ✔ c: Scoped permissions, approvals, logs, rollback, and named owners. (98)
[value · D5] How should leadership decide whether these concepts justify investment?
   ✔ a: Tie capability choices to workflows, value metrics, risk, and adoption evidence. (98)
   · b: Fund every concept equally to show the company is AI-forward. (25)
   · c: Wait until the market picks one final architecture. (40)</t>
  </si>
  <si>
    <t xml:space="preserve">architecture: a; tooling: b; governance: c; value: a</t>
  </si>
  <si>
    <t xml:space="preserve">EXEC-EXP-D2-CAL-002</t>
  </si>
  <si>
    <t xml:space="preserve">A division wants every manager to use a general chatbot for budget narratives, hiring justifications, and customer escalations next month.</t>
  </si>
  <si>
    <t xml:space="preserve">Which rollout plan is most practical without overstating what the tool can do?</t>
  </si>
  <si>
    <t xml:space="preserve">✔ a: Start with documented workflows, data rules, example prompts, review, and feedback.  (score 96)
· b: Give everyone access and compare output volume after thirty days.  (score 42)
· c: Require the chatbot to make first-round management decisions.  (score 14)
· d: Delay all adoption until every use case has a custom model.  (score 36)</t>
  </si>
  <si>
    <t xml:space="preserve">a: Start with documented workflows, data rules, example prompts, review, and feedback.</t>
  </si>
  <si>
    <t xml:space="preserve">a: Correct. This builds skill while respecting data, judgment, and workflow fit.
b: Usage alone does not show quality, risk, or business value.
c: That assigns judgment and accountability to the wrong place.
d: Some low-risk workflows can be learned from before custom investment.</t>
  </si>
  <si>
    <t xml:space="preserve">EXEC-EXP-D3-CAL-003</t>
  </si>
  <si>
    <t xml:space="preserve">The strategy office circulates an AI-generated summary of a competitor announcement. It confidently infers pricing, margin impact, and customer churn risk, but the source memo only confirms a partnership launch.</t>
  </si>
  <si>
    <t xml:space="preserve">Write 2-4 sentences explaining how an executive should treat the summary before using it in a decision.</t>
  </si>
  <si>
    <t xml:space="preserve">distinguish: Separates sourced facts from AI inference (28 pts; keywords: fact, source, evidence, inference, assumption)
verify: Calls for verification of unsupported claims (24 pts; keywords: verify, validate, confirm, check, corroborate)
decision: Limits decision use until confidence improves (24 pts; keywords: decision, board, investment, before using, not rely)
followup: Asks for missing market or financial evidence (22 pts; keywords: pricing, margin, churn, customer, financial)</t>
  </si>
  <si>
    <t xml:space="preserve">The summary should be split into confirmed facts and unsupported inference. The partnership launch may be real, but pricing, margin, and churn claims need corroborating market or financial evidence before they influence a board decision.</t>
  </si>
  <si>
    <t xml:space="preserve">EXEC-EXP-D4-GOV-004</t>
  </si>
  <si>
    <t xml:space="preserve">Agent authority risk log</t>
  </si>
  <si>
    <t xml:space="preserve">Risk log showing AI agent authority across supplier email, CRM updates, refund workflows, and finance folder access.</t>
  </si>
  <si>
    <t xml:space="preserve">Inspect the raw risk log before selecting executive controls.</t>
  </si>
  <si>
    <t xml:space="preserve">The enterprise service agent risk log shows tool permissions for supplier email, CRM updates, refund workflows, and finance folders.</t>
  </si>
  <si>
    <t xml:space="preserve">Select the controls leadership should require before expanding the agent.</t>
  </si>
  <si>
    <t xml:space="preserve">✔ a: Convert high-impact actions into explicit approval gates.  (score 25)
✔ b: Scope each tool permission to the task and data minimum.  (score 25)
✔ c: Log rationale, inputs, outputs, owner, and rollback path.  (score 25)
✔ d: Assign a business owner for residual risk and exceptions.  (score 25)
· e: Keep the prompt unchanged because the log documents issues.  (score 0)</t>
  </si>
  <si>
    <t xml:space="preserve">a: Correct. Email sends, refunds, and finance triggers need enforceable gates.
b: Correct. Least privilege lowers blast radius.
c: Correct. Audit and recovery must be designed into the workflow.
d: Correct. Ownership cannot be left to the model or vendor.
e: Documentation alone does not constrain authority.</t>
  </si>
  <si>
    <t xml:space="preserve">EXEC-EXP-D4-VEND-005</t>
  </si>
  <si>
    <t xml:space="preserve">Vendor data-rights memo</t>
  </si>
  <si>
    <t xml:space="preserve">Vendor memo with unresolved terms for model improvement, audit retention, support access, and subprocessors.</t>
  </si>
  <si>
    <t xml:space="preserve">Review the memo before deciding whether the contract is ready for signature.</t>
  </si>
  <si>
    <t xml:space="preserve">A vendor offers a discount if the company signs its enterprise GenAI platform terms before security redlines are complete.</t>
  </si>
  <si>
    <t xml:space="preserve">What is the strongest executive response?</t>
  </si>
  <si>
    <t xml:space="preserve">· a: Sign now because the discount is time-limited.  (score 24)
✔ b: Require redlines on training use, retention, access approval, and subprocessors.  (score 98)
· c: Approve only if the vendor provides a detailed feature roadmap.  (score 38)
· d: Reject it solely because vendor support access is possible.  (score 46)</t>
  </si>
  <si>
    <t xml:space="preserve">b: Require redlines on training use, retention, access approval, and subprocessors.</t>
  </si>
  <si>
    <t xml:space="preserve">a: The discount does not resolve data rights, access, retention, or subprocessor risk.
b: Correct. These terms define the operating risk, not just legal cleanup.
c: Roadmap detail is useful, but it does not settle the data and governance terms.
d: Support access may be acceptable with approval, logging, and scope controls.</t>
  </si>
  <si>
    <t xml:space="preserve">EXEC-EXP-D5-PORT-006</t>
  </si>
  <si>
    <t xml:space="preserve">AI scale-readiness board packet</t>
  </si>
  <si>
    <t xml:space="preserve">Board packet page showing AI scale readiness claims, evidence gaps, portfolio options, and unresolved decision gates.</t>
  </si>
  <si>
    <t xml:space="preserve">Use the packet to sequence an executive investment decision.</t>
  </si>
  <si>
    <t xml:space="preserve">The board packet asks whether to approve broad funding for AI programs with uneven readiness, incomplete baselines, and mixed risk profiles.</t>
  </si>
  <si>
    <t xml:space="preserve">Order the decision steps before full portfolio funding.</t>
  </si>
  <si>
    <t xml:space="preserve">#1  outcomes: Define outcomes, baseline, cohort, and decision owner
#2  readiness: Validate data readiness, integration effort, adoption, and fit
#3  risk: Set controls, review gates, and stop conditions
#4  funding: Release staged funding tied to evidence milestones</t>
  </si>
  <si>
    <t xml:space="preserve">outcomes &gt; readiness &gt; risk &gt; funding</t>
  </si>
  <si>
    <t xml:space="preserve">rank: Correct. Strategy becomes executable when value evidence, readiness, risk, and funding gates are sequenced.</t>
  </si>
  <si>
    <t xml:space="preserve">EXEC-EXP-D5-VALUE-007</t>
  </si>
  <si>
    <t xml:space="preserve">A CEO wants one AI KPI for the next board meeting. Teams propose hours saved, prompts sent, model accuracy, customer satisfaction, and risk exceptions.</t>
  </si>
  <si>
    <t xml:space="preserve">Select the measures that together make a better executive AI value dashboard.</t>
  </si>
  <si>
    <t xml:space="preserve">✔ a: Business outcome movement tied to a workflow baseline.  (score 25)
✔ b: Sustained adoption by roles expected to change behavior.  (score 25)
✔ c: Quality, exception, and customer-impact measures.  (score 25)
✔ d: Risk events, overrides, and control failures by owner.  (score 25)
· e: Total prompt count because it is simple to collect.  (score 0)</t>
  </si>
  <si>
    <t xml:space="preserve">a: Correct. Value needs an operating baseline.
b: Correct. Benefits depend on actual workflow adoption.
c: Correct. Productivity without quality can hide loss.
d: Correct. Executive value reporting should include downside evidence.
e: Prompt volume is an activity metric, not a value dashboard.</t>
  </si>
  <si>
    <t xml:space="preserve">EXEC-EXP-D6-LOOP-008</t>
  </si>
  <si>
    <t xml:space="preserve">AI support incident timeline</t>
  </si>
  <si>
    <t xml:space="preserve">Incident timeline showing AI support refund denial, batch approval, escalation, weak monitoring, and missing learning owner.</t>
  </si>
  <si>
    <t xml:space="preserve">Review the timeline before writing the operating response.</t>
  </si>
  <si>
    <t xml:space="preserve">The support AI incident timeline shows faster handling time but a denied valid refund, delayed escalation, and no assigned learning owner.</t>
  </si>
  <si>
    <t xml:space="preserve">Write 2-4 sentences on how leadership should redesign the human-AI loop before rollout.</t>
  </si>
  <si>
    <t xml:space="preserve">exception: Requires human review for high-impact exceptions (28 pts; keywords: human, review, approval, exception, refund)
evidence: Ties confidence to source evidence and policy checks (24 pts; keywords: evidence, policy, confidence, source, ledger)
monitoring: Adds monitoring for quality and customer harm (22 pts; keywords: monitor, quality, harm, defect, customer)
learning: Assigns an owner for coaching and workflow updates (24 pts; keywords: owner, coaching, learning, update, retro)</t>
  </si>
  <si>
    <t xml:space="preserve">Leadership should keep the speed gains but require human review for refund exceptions and tie AI confidence to payment evidence and policy checks. The dashboard should segment quality defects and customer harm, and a named owner should use incidents to update prompts, coaching, and escalation rules before rollout.</t>
  </si>
  <si>
    <t xml:space="preserve">EXEC-EXP-D2-AGENT-009</t>
  </si>
  <si>
    <t xml:space="preserve">Executive agent workflow review</t>
  </si>
  <si>
    <t xml:space="preserve">Each mini-part tests a different executive readiness signal: tooling, governance, and value realization.</t>
  </si>
  <si>
    <t xml:space="preserve">The executive team is reviewing an agent workflow that can read customer records, issue small refunds, send messages, and update CRM.</t>
  </si>
  <si>
    <t xml:space="preserve">Answer the mini-parts before approving the agent workflow for a live pilot.</t>
  </si>
  <si>
    <t xml:space="preserve">[tool-authority · D2] What makes this agent materially different from an ordinary chatbot?
   · a: It writes in a friendlier customer-service tone. (30)
   ✔ b: It can act in systems: payments, CRM, email, and documents. (98)
   · c: It removes the need for customer-service policy. (15)
[control-gap · D4] Which unresolved control should block expansion?
   ✔ a: Broad CRM write access and customer email sends lack strong approval and rollback ownership. (98)
   · b: The workflow has too many human approval gates. (25)
   · c: The agent reads policy documents before answering. (40)
[value-gate · D5] Which evidence should leaders require before funding scale?
   · a: Prompt volume and number of customer emails sent. (24)
   · b: A vendor roadmap showing future agent features. (34)
   ✔ c: Baseline comparison on speed, quality, harm, adoption, exceptions, and control failures. (98)</t>
  </si>
  <si>
    <t xml:space="preserve">tool-authority: b; control-gap: a; value-gate: c</t>
  </si>
  <si>
    <t xml:space="preserve">EXEC-EXP-D4-SOURCE-010</t>
  </si>
  <si>
    <t xml:space="preserve">D1; D3</t>
  </si>
  <si>
    <t xml:space="preserve">HR &amp; People; Engineering &amp; Data; Operations</t>
  </si>
  <si>
    <t xml:space="preserve">General; Financial services; Healthcare; Public sector; Education</t>
  </si>
  <si>
    <t xml:space="preserve">Leadership policy guidance review</t>
  </si>
  <si>
    <t xml:space="preserve">Source comparison packet showing policy source text and an assistant answer with unsupported public AI permissions.</t>
  </si>
  <si>
    <t xml:space="preserve">Select the executive controls that turn a flawed AI answer into trustworthy guidance.</t>
  </si>
  <si>
    <t xml:space="preserve">A leadership team wants to publish internal guidance based on the policy source comparison packet.</t>
  </si>
  <si>
    <t xml:space="preserve">Which controls should be required before publishing this as internal AI guidance?</t>
  </si>
  <si>
    <t xml:space="preserve">✔ a: Require source-faithful language with citation, owner, and update date.  (score 34)
✔ b: Separate low-risk drafting from work-record, customer, financial, health, and HR data use.  (score 33)
· c: Approve it because the AI answer is concise and easy to understand.  (score 0)
✔ d: Route ambiguous cases to the approved enterprise assistant or policy owner.  (score 33)
· e: Remove the policy source so employees focus on the final answer.  (score 0)</t>
  </si>
  <si>
    <t xml:space="preserve">a; b; d  (multi-select: all required)</t>
  </si>
  <si>
    <t xml:space="preserve">a: Correct. Guidance needs traceable authority.
b: Correct. The guidance must preserve data boundaries.
c: Clarity does not fix contradiction.
d: Correct. Escalation makes the guidance operational.
e: Removing source evidence weakens trust and auditability.</t>
  </si>
  <si>
    <t xml:space="preserve">Part / pair</t>
  </si>
  <si>
    <t xml:space="preserve">Option ID</t>
  </si>
  <si>
    <t xml:space="preserve">Option text</t>
  </si>
  <si>
    <t xml:space="preserve">Score</t>
  </si>
  <si>
    <t xml:space="preserve">Best answer?</t>
  </si>
  <si>
    <t xml:space="preserve">Feedback shown to user</t>
  </si>
  <si>
    <t xml:space="preserve">Comment / better wording</t>
  </si>
  <si>
    <t xml:space="preserve">me</t>
  </si>
  <si>
    <t xml:space="preserve">Human-owned: keep judgment with the person.</t>
  </si>
  <si>
    <t xml:space="preserve">Safe but slower. AI can draft this because the stakes are low and easy to check.</t>
  </si>
  <si>
    <t xml:space="preserve">together</t>
  </si>
  <si>
    <t xml:space="preserve">Shared with AI: use AI, then verify and decide.</t>
  </si>
  <si>
    <t xml:space="preserve">Best. Let AI draft, then verify time, tone, and link before sending.</t>
  </si>
  <si>
    <t xml:space="preserve">ai</t>
  </si>
  <si>
    <t xml:space="preserve">AI-led: let AI handle it end to end.</t>
  </si>
  <si>
    <t xml:space="preserve">Almost fine for low stakes, but you should still confirm the calendar and recipient.</t>
  </si>
  <si>
    <t xml:space="preserve">Human judgment matters, but AI can help list verification checks.</t>
  </si>
  <si>
    <t xml:space="preserve">Correct. Use AI to plan checks, then verify source, date, location, and evidence yourself.</t>
  </si>
  <si>
    <t xml:space="preserve">Too risky. AI may miss context or invent confidence about the image.</t>
  </si>
  <si>
    <t xml:space="preserve">Keeping sensitive data out of a public tool is wise, but professional help may be needed too.</t>
  </si>
  <si>
    <t xml:space="preserve">Only if data is protected, de-identified, and the output is treated as preparation for a clinician conversation.</t>
  </si>
  <si>
    <t xml:space="preserve">Unsafe. Do not fully delegate private, health-related interpretation to a public AI tool.</t>
  </si>
  <si>
    <t xml:space="preserve">You can research manually, but AI is useful for a low-risk first explanation.</t>
  </si>
  <si>
    <t xml:space="preserve">Correct. Ask AI for a plain explanation, then compare it with a reliable source if the term affects a decision.</t>
  </si>
  <si>
    <t xml:space="preserve">Mostly fine for learning, but do not treat one AI answer as the final authority.</t>
  </si>
  <si>
    <t xml:space="preserve">Human ownership is right, but AI can help compare options against explicit criteria.</t>
  </si>
  <si>
    <t xml:space="preserve">Correct. Use AI to organize evidence, then choose based on value, feasibility, risk, and learning.</t>
  </si>
  <si>
    <t xml:space="preserve">Too much delegation. AI cannot own strategy, risk appetite, or tradeoffs for the team.</t>
  </si>
  <si>
    <t xml:space="preserve">Human care matters, but AI can help make wording clearer and less reactive.</t>
  </si>
  <si>
    <t xml:space="preserve">Correct. Use AI for a draft, then revise with your own context, empathy, and accountability.</t>
  </si>
  <si>
    <t xml:space="preserve">Too risky. AI should not fully own sensitive relationship communication.</t>
  </si>
  <si>
    <t xml:space="preserve">Doing it by hand under a two-hour deadline spends the one thing you lack. AI can condense; you skim to verify.</t>
  </si>
  <si>
    <t xml:space="preserve">Reasonable, but heavier than needed. A quick skim of the source is enough verification for a summary you can check yourself.</t>
  </si>
  <si>
    <t xml:space="preserve">Best. Condensing text you can still verify is squarely inside AI's frontier. Skim the source to confirm nothing critical was dropped.</t>
  </si>
  <si>
    <t xml:space="preserve">Best. High-stakes, accountable, and legally exposed. AI can summarize records, but the decision and its consequences are yours — delegating it invites bias and liability.</t>
  </si>
  <si>
    <t xml:space="preserve">AI may summarize the files, but if it shapes the ranking you import bias into a decision you must personally defend.</t>
  </si>
  <si>
    <t xml:space="preserve">Unacceptable. Delegating a legally exposed, high-stakes people decision invites bias and liability.</t>
  </si>
  <si>
    <t xml:space="preserve">You can, but it is slow for a low-stakes note. Everyday translation is exactly where AI is reliable.</t>
  </si>
  <si>
    <t xml:space="preserve">Fine, though a quick sense-check of the output is all the review this needs.</t>
  </si>
  <si>
    <t xml:space="preserve">Best. Everyday translation is a strong AI use. The stakes are low and you can sense-check the result yourself.</t>
  </si>
  <si>
    <t xml:space="preserve">Safe but slow and costly. AI can draft while a qualified reviewer checks every clause.</t>
  </si>
  <si>
    <t xml:space="preserve">Best. Let AI draft, but a qualified human must review. One mistranslated clause in a binding document can cost far more than the time saved.</t>
  </si>
  <si>
    <t xml:space="preserve">Too risky. One mistranslated clause in a binding document can make the whole deal unenforceable.</t>
  </si>
  <si>
    <t xml:space="preserve">Best. The value here is that it came from you. AI can phrase grief fluently, but the point of the message is human presence, not polish.</t>
  </si>
  <si>
    <t xml:space="preserve">Even a light AI draft hollows out the point: the message has to come from you, not be polished for you.</t>
  </si>
  <si>
    <t xml:space="preserve">AI can phrase grief fluently, but a templated note defeats the purpose of human presence.</t>
  </si>
  <si>
    <t xml:space="preserve">Best. Medical diagnosis from an image is outside reliable AI use for treatment decisions. Use it for questions to ask — then see a clinician.</t>
  </si>
  <si>
    <t xml:space="preserve">Only as a way to prepare questions for a clinician. Treatment decisions from a photo are outside reliable AI use.</t>
  </si>
  <si>
    <t xml:space="preserve">Unsafe. Image-based diagnosis for treatment decisions is outside reliable AI use; see a clinician.</t>
  </si>
  <si>
    <t xml:space="preserve">You have written this a dozen times. Well-trodden, testable code is a strong AI use; your tests verify it.</t>
  </si>
  <si>
    <t xml:space="preserve">Fine, but the tests already do the verification. Heavy human review adds little here.</t>
  </si>
  <si>
    <t xml:space="preserve">Best. Well-trodden, testable code is a strong AI use. You run it and the tests tell you instantly if it's wrong.</t>
  </si>
  <si>
    <t xml:space="preserve">Slow for a divergent, low-stakes task. Let AI generate volume; you stay the judge.</t>
  </si>
  <si>
    <t xml:space="preserve">Acceptable, though the human role here is simply choosing, not co-writing the list.</t>
  </si>
  <si>
    <t xml:space="preserve">Best. Divergent, low-stakes idea generation plays to AI's strength. You stay the judge of which one is right.</t>
  </si>
  <si>
    <t xml:space="preserve">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t>
  </si>
  <si>
    <t xml:space="preserve">Acceptable only if every citation is personally verified in the official database before filing. AI surfaces candidates; it does not confirm them.</t>
  </si>
  <si>
    <t xml:space="preserve">Dangerous. AI regularly invents plausible cases that do not exist, and lawyers have been sanctioned for filing them.</t>
  </si>
  <si>
    <t xml:space="preserve">You can, but grammar and clarity polishing is reliable AI work and the result is self-evident when you read it.</t>
  </si>
  <si>
    <t xml:space="preserve">Fine. Reading the result and keeping what sounds like you is all the human step needs to be.</t>
  </si>
  <si>
    <t xml:space="preserve">Best. Grammar and clarity polishing is reliable and self-evident. You read the result and keep what sounds like you.</t>
  </si>
  <si>
    <t xml:space="preserve">Safe, but AI can explain rules and organize the numbers before you verify against official sources or an accountant.</t>
  </si>
  <si>
    <t xml:space="preserve">Best. AI can explain rules and organize numbers, but it gets figures and current law wrong. Use it to prepare, then verify against official sources or an accountant before filing.</t>
  </si>
  <si>
    <t xml:space="preserve">Too risky. AI gets figures and current tax law wrong; filing unverified output is your liability.</t>
  </si>
  <si>
    <t xml:space="preserve">A full workday of manual entry when structured extraction is exactly what AI accelerates.</t>
  </si>
  <si>
    <t xml:space="preserve">Good, but the human step should be a spot-check of a sample against originals, not parallel entry.</t>
  </si>
  <si>
    <t xml:space="preserve">Best. Repetitive structured extraction is exactly what AI accelerates — scan, extract, structured rows in minutes. Spot-check a sample against the originals; OCR errors on handwritten numbers are the main failure mode. See the Learn section (Build an OCR Pipeline) for a step-by-step guide.</t>
  </si>
  <si>
    <t xml:space="preserve">Best. Strategy depends on context, values, and accountability AI doesn't hold. Use it to pressure-test options — but own the call.</t>
  </si>
  <si>
    <t xml:space="preserve">Use AI to pressure-test options, but the call itself depends on context, values, and accountability that AI does not hold.</t>
  </si>
  <si>
    <t xml:space="preserve">Unacceptable. Strategy is owned by accountable leaders, not delegated to a model.</t>
  </si>
  <si>
    <t xml:space="preserve">Owning it is right, but three days of blank page suggests AI structure would help you get the real stories flowing.</t>
  </si>
  <si>
    <t xml:space="preserve">Best. AI gives you a structure to beat blank-page fear, but the stories and voice must be yours or the room will feel it.</t>
  </si>
  <si>
    <t xml:space="preserve">The room will feel it. Stories and voice must be yours.</t>
  </si>
  <si>
    <t xml:space="preserve">Human review of 800 applications a day is unrealistic. The answer is scoring plus accountable human oversight, not no model.</t>
  </si>
  <si>
    <t xml:space="preserve">Best. Models can score risk, but unaudited automation has produced illegal discrimination. A human must be accountable and able to explain every decision.</t>
  </si>
  <si>
    <t xml:space="preserve">Unsafe. Unaudited automated approvals have produced illegal discrimination; a human must be able to explain every decision.</t>
  </si>
  <si>
    <t xml:space="preserve">You already spent 15 minutes scrolling. Low-stakes personal taste is a perfect lightweight AI use.</t>
  </si>
  <si>
    <t xml:space="preserve">Fine, but there is nothing to verify. Worst case you switch films.</t>
  </si>
  <si>
    <t xml:space="preserve">Best. Low-stakes, reversible, personal taste — a perfect lightweight AI use. Worst case, you switch films.</t>
  </si>
  <si>
    <t xml:space="preserve">Ownership is right, but AI can tidy your notes so your time goes to fairness and specifics.</t>
  </si>
  <si>
    <t xml:space="preserve">Best. AI can tidy your notes, but fairness and specifics must come from you. Generic AI praise erodes trust and can encode bias across a team.</t>
  </si>
  <si>
    <t xml:space="preserve">Generic AI praise erodes trust and can encode bias across a team. Fairness must come from you.</t>
  </si>
  <si>
    <t xml:space="preserve">Best. AI can prep your case beforehand, but the live read of the other person is human work. Reliance research calls this knowing when not to delegate.</t>
  </si>
  <si>
    <t xml:space="preserve">AI can prepare your case beforehand, but in the room the live read of the other person is yours.</t>
  </si>
  <si>
    <t xml:space="preserve">Not possible or wise. The silence in the room is yours to fill.</t>
  </si>
  <si>
    <t xml:space="preserve">Safe, but AI gives a solid template. The human work is matching PDPA obligations to what you actually collect.</t>
  </si>
  <si>
    <t xml:space="preserve">Best. AI gives a solid template, but PDPA compliance is specific to what you actually collect. A wrong policy is a legal liability, not a formality.</t>
  </si>
  <si>
    <t xml:space="preserve">A wrong policy is a legal liability, not a formality. PDPA compliance is specific to your data.</t>
  </si>
  <si>
    <t xml:space="preserve">Ownership is right, but AI can structure the statement fast while you own facts, accountability, and tone.</t>
  </si>
  <si>
    <t xml:space="preserve">Best. AI can structure the statement, but accountability, facts, and tone are existential here. A tone-deaf or inaccurate apology deepens the crisis.</t>
  </si>
  <si>
    <t xml:space="preserve">Unsafe. A tone-deaf or inaccurate apology deepens the crisis; accountability cannot be outsourced.</t>
  </si>
  <si>
    <t xml:space="preserve">Manual transcription of an hour of audio is a poor use of time. Speech-to-text is a mature AI strength.</t>
  </si>
  <si>
    <t xml:space="preserve">Good, but the human step should be a skim for names and numbers, not parallel transcription.</t>
  </si>
  <si>
    <t xml:space="preserve">Best. Speech-to-text is a mature AI strength. Skim for names and numbers, which are where transcription slips.</t>
  </si>
  <si>
    <t xml:space="preserve">Best. This is the meta-skill: evaluating AI is human judgment. Ask for evidence and a live demo — don't let the vendor's AI grade its own homework.</t>
  </si>
  <si>
    <t xml:space="preserve">AI can help list the questions to ask, but evaluating an AI vendor's evidence is human judgment. Do not let their AI grade its own homework.</t>
  </si>
  <si>
    <t xml:space="preserve">Circular. Asking AI whether an AI claim is real is not evidence; demand data and a live demo.</t>
  </si>
  <si>
    <t xml:space="preserve">Slow for fast exploration. Let AI generate directions, then bring a designer to finish.</t>
  </si>
  <si>
    <t xml:space="preserve">Fine, but at this stage the human role is choosing a direction, not co-designing.</t>
  </si>
  <si>
    <t xml:space="preserve">Best. Exploring visual directions fast is a great AI use. Pick a direction, then bring a designer to finish what will represent you for years.</t>
  </si>
  <si>
    <t xml:space="preserve">Best. A signature is legal accountability that cannot be delegated to software. AI may help prepare; only a responsible human can attest.</t>
  </si>
  <si>
    <t xml:space="preserve">AI may help prepare and check, but attestation is legal accountability that cannot be shared with software.</t>
  </si>
  <si>
    <t xml:space="preserve">Impossible and unlawful. A signature is personal legal accountability.</t>
  </si>
  <si>
    <t xml:space="preserve">You know the subject, but an hour of blank page says AI can beat it. Your edit is what makes it publishable.</t>
  </si>
  <si>
    <t xml:space="preserve">Best. AI beats the blank page, but a draft is not a decision. Your edit — the facts, the angle, the voice — is what makes it worth publishing.</t>
  </si>
  <si>
    <t xml:space="preserve">A draft is not a decision. Facts, angle, and voice need your edit before publishing.</t>
  </si>
  <si>
    <t xml:space="preserve">Best. AI may not know recent events and will state guesses confidently. Check primary sources yourself before you share or act.</t>
  </si>
  <si>
    <t xml:space="preserve">AI may not know last-hour events and will guess confidently. It can suggest what to check, but you must open primary sources.</t>
  </si>
  <si>
    <t xml:space="preserve">Unsafe. AI may not know recent events and will state guesses confidently.</t>
  </si>
  <si>
    <t xml:space="preserve">a</t>
  </si>
  <si>
    <t xml:space="preserve">Culture fit is not tied to job-relevant evidence.</t>
  </si>
  <si>
    <t xml:space="preserve">Correct. Proxy language can hide bias or weak criteria.</t>
  </si>
  <si>
    <t xml:space="preserve">b</t>
  </si>
  <si>
    <t xml:space="preserve">Candidate B has stronger work-sample evidence.</t>
  </si>
  <si>
    <t xml:space="preserve">Correct. The raw evidence contradicts a simple recommendation.</t>
  </si>
  <si>
    <t xml:space="preserve">c</t>
  </si>
  <si>
    <t xml:space="preserve">Availability should be treated as a tradeoff, not the main skill signal.</t>
  </si>
  <si>
    <t xml:space="preserve">Correct. Start date matters, but it should not replace capability evidence.</t>
  </si>
  <si>
    <t xml:space="preserve">d</t>
  </si>
  <si>
    <t xml:space="preserve">The AI should choose the finalist to reduce interviewer workload.</t>
  </si>
  <si>
    <t xml:space="preserve">High-impact people decisions require human accountability.</t>
  </si>
  <si>
    <t xml:space="preserve">It isolates marketing while larger compute and revenue variances are visible.</t>
  </si>
  <si>
    <t xml:space="preserve">Correct. The evidence points to multiple material drivers.</t>
  </si>
  <si>
    <t xml:space="preserve">It should focus only on the line with the clearest narrative.</t>
  </si>
  <si>
    <t xml:space="preserve">A clean narrative can still be materially incomplete.</t>
  </si>
  <si>
    <t xml:space="preserve">It should count vendor credits as recurring savings.</t>
  </si>
  <si>
    <t xml:space="preserve">The report says the credit is one-time.</t>
  </si>
  <si>
    <t xml:space="preserve">It should hide uncertainty until the next close cycle.</t>
  </si>
  <si>
    <t xml:space="preserve">Finance users should surface uncertainty and missing baselines.</t>
  </si>
  <si>
    <t xml:space="preserve">Sample size, traffic quality, coupon anomaly, and incrementality.</t>
  </si>
  <si>
    <t xml:space="preserve">Correct. A high rate on weak evidence can be misleading.</t>
  </si>
  <si>
    <t xml:space="preserve">Only the headline conversion rate because it is highest.</t>
  </si>
  <si>
    <t xml:space="preserve">The highest rate is not enough when sample quality is weak.</t>
  </si>
  <si>
    <t xml:space="preserve">Whether the chart colors make Ad Set C stand out.</t>
  </si>
  <si>
    <t xml:space="preserve">Visual emphasis is not decision-grade evidence.</t>
  </si>
  <si>
    <t xml:space="preserve">Whether the AI can write a better ad headline.</t>
  </si>
  <si>
    <t xml:space="preserve">Creative quality may matter later, but the scaling decision needs evidence checks first.</t>
  </si>
  <si>
    <t xml:space="preserve">Keep human gates for external emails and public updates.</t>
  </si>
  <si>
    <t xml:space="preserve">Correct. Outbound and public actions need approval.</t>
  </si>
  <si>
    <t xml:space="preserve">Investigate attempted HR-note and secrets access.</t>
  </si>
  <si>
    <t xml:space="preserve">Correct. Out-of-scope attempts are important audit signals.</t>
  </si>
  <si>
    <t xml:space="preserve">Scope incident tools to the minimum needed systems.</t>
  </si>
  <si>
    <t xml:space="preserve">Correct. Least privilege reduces blast radius.</t>
  </si>
  <si>
    <t xml:space="preserve">Preserve the log for audit and post-incident tuning.</t>
  </si>
  <si>
    <t xml:space="preserve">Correct. Logs support both accountability and improvement.</t>
  </si>
  <si>
    <t xml:space="preserve">e</t>
  </si>
  <si>
    <t xml:space="preserve">Remove blocks so the agent can resolve incidents faster.</t>
  </si>
  <si>
    <t xml:space="preserve">Speed should not erase access boundaries.</t>
  </si>
  <si>
    <t xml:space="preserve">workflow</t>
  </si>
  <si>
    <t xml:space="preserve">Define the workflow problem and users affected</t>
  </si>
  <si>
    <t xml:space="preserve">position 1</t>
  </si>
  <si>
    <t xml:space="preserve">baseline</t>
  </si>
  <si>
    <t xml:space="preserve">Capture baseline time, quality, risk, and volume</t>
  </si>
  <si>
    <t xml:space="preserve">position 2</t>
  </si>
  <si>
    <t xml:space="preserve">controls</t>
  </si>
  <si>
    <t xml:space="preserve">Set review gates, data boundaries, and owner</t>
  </si>
  <si>
    <t xml:space="preserve">position 3</t>
  </si>
  <si>
    <t xml:space="preserve">pilot</t>
  </si>
  <si>
    <t xml:space="preserve">Run a time-boxed pilot with success and stop criteria</t>
  </si>
  <si>
    <t xml:space="preserve">position 4</t>
  </si>
  <si>
    <t xml:space="preserve">It relies on a stale draft while the approved policy gives a different limit.</t>
  </si>
  <si>
    <t xml:space="preserve">Correct. The answer is grounded in the wrong source version.</t>
  </si>
  <si>
    <t xml:space="preserve">It is concise but still needs manager-facing examples.</t>
  </si>
  <si>
    <t xml:space="preserve">Examples may help, but source freshness is the decisive failure.</t>
  </si>
  <si>
    <t xml:space="preserve">It should avoid manager guidance until every edge case is known.</t>
  </si>
  <si>
    <t xml:space="preserve">Managers can receive guidance when it is current and bounded.</t>
  </si>
  <si>
    <t xml:space="preserve">It should average the old and new carryover limits.</t>
  </si>
  <si>
    <t xml:space="preserve">Averaging conflicting policy versions invents a rule.</t>
  </si>
  <si>
    <t xml:space="preserve">Map each recommendation to scorecard and work-sample evidence.</t>
  </si>
  <si>
    <t xml:space="preserve">Correct. Hiring recommendations need job-relevant support.</t>
  </si>
  <si>
    <t xml:space="preserve">Challenge proxy phrases such as culture fit or similarity.</t>
  </si>
  <si>
    <t xml:space="preserve">Correct. These can hide bias or irrelevant criteria.</t>
  </si>
  <si>
    <t xml:space="preserve">Keep the manager accountable and document override rationale.</t>
  </si>
  <si>
    <t xml:space="preserve">Correct. Human accountability and traceability are required.</t>
  </si>
  <si>
    <t xml:space="preserve">Prefer the candidate with the most confident AI label.</t>
  </si>
  <si>
    <t xml:space="preserve">Model confidence is not a substitute for validated evidence.</t>
  </si>
  <si>
    <t xml:space="preserve">Remove work-sample comparisons to reduce friction.</t>
  </si>
  <si>
    <t xml:space="preserve">Work samples are relevant evidence, not something to suppress.</t>
  </si>
  <si>
    <t xml:space="preserve">Separate compute, expansion MRR, paid media, and one-time credit.</t>
  </si>
  <si>
    <t xml:space="preserve">Correct. The workbook shows multiple material drivers with different recurrence.</t>
  </si>
  <si>
    <t xml:space="preserve">Keep paid media as the story because it is easiest to explain.</t>
  </si>
  <si>
    <t xml:space="preserve">A simple story that drops material drivers is misleading.</t>
  </si>
  <si>
    <t xml:space="preserve">Treat vendor credit as recurring because it appears in the workbook.</t>
  </si>
  <si>
    <t xml:space="preserve">The controller flag says the credit is non-recurring.</t>
  </si>
  <si>
    <t xml:space="preserve">Defer explanation until next quarter to avoid revising AI work.</t>
  </si>
  <si>
    <t xml:space="preserve">Close commentary should be corrected when evidence is already available.</t>
  </si>
  <si>
    <t xml:space="preserve">Baseline cycle time, error rate, and review rework</t>
  </si>
  <si>
    <t xml:space="preserve">scope</t>
  </si>
  <si>
    <t xml:space="preserve">Limit AI drafting to approved data and selected variances</t>
  </si>
  <si>
    <t xml:space="preserve">review</t>
  </si>
  <si>
    <t xml:space="preserve">Require controller review for materiality and recurrence</t>
  </si>
  <si>
    <t xml:space="preserve">measure</t>
  </si>
  <si>
    <t xml:space="preserve">Compare time saved and corrections before expanding</t>
  </si>
  <si>
    <t xml:space="preserve">Validate email quality, duplicates, opportunities, and coupon leakage.</t>
  </si>
  <si>
    <t xml:space="preserve">Correct. Low CPA is not enough when quality and intent signals are weak.</t>
  </si>
  <si>
    <t xml:space="preserve">Scale immediately because CPA and lead volume are strongest.</t>
  </si>
  <si>
    <t xml:space="preserve">They are useful signals, but not sufficient for revenue-quality decisions.</t>
  </si>
  <si>
    <t xml:space="preserve">Pause Segment D because its CPA is the highest.</t>
  </si>
  <si>
    <t xml:space="preserve">High CPA may be acceptable when opportunity quality is stronger.</t>
  </si>
  <si>
    <t xml:space="preserve">Rewrite creative before checking CRM quality and attribution.</t>
  </si>
  <si>
    <t xml:space="preserve">Creative work may help later, but the scaling decision needs evidence first.</t>
  </si>
  <si>
    <t xml:space="preserve">refund</t>
  </si>
  <si>
    <t xml:space="preserve">Agent attempts a large refund  →  Approval gate for monetary actions</t>
  </si>
  <si>
    <t xml:space="preserve">choices: Approval gate for monetary actions | Creative prompt library | Weekly brand review | Model confidence badge</t>
  </si>
  <si>
    <t xml:space="preserve">denial</t>
  </si>
  <si>
    <t xml:space="preserve">Agent drafts denial despite duplicate capture evidence  →  Policy and evidence check before outbound reply</t>
  </si>
  <si>
    <t xml:space="preserve">choices: Policy and evidence check before outbound reply | Unrestricted email send permission | Longer customer greeting | Lead source enrichment</t>
  </si>
  <si>
    <t xml:space="preserve">billing</t>
  </si>
  <si>
    <t xml:space="preserve">Agent reads invoice events for the active ticket  →  Ticket-scoped least-privilege access</t>
  </si>
  <si>
    <t xml:space="preserve">choices: Ticket-scoped least-privilege access | Company-wide file crawl | Disable audit logging | Replace CRM notes</t>
  </si>
  <si>
    <t xml:space="preserve">It ignores duplicate-capture evidence and dispute risk.</t>
  </si>
  <si>
    <t xml:space="preserve">Correct. The artifact shows payment evidence and escalation risk that the draft misses.</t>
  </si>
  <si>
    <t xml:space="preserve">It uses a greeting that is too short.</t>
  </si>
  <si>
    <t xml:space="preserve">Tone matters, but the main failure is missing evidence and urgency.</t>
  </si>
  <si>
    <t xml:space="preserve">It should mention every internal system field.</t>
  </si>
  <si>
    <t xml:space="preserve">Customers need a clear action, not raw internal data.</t>
  </si>
  <si>
    <t xml:space="preserve">It should ask the customer to wait without review.</t>
  </si>
  <si>
    <t xml:space="preserve">That repeats the flawed response and increases harm.</t>
  </si>
  <si>
    <t xml:space="preserve">First-contact resolution and reopened-ticket rate.</t>
  </si>
  <si>
    <t xml:space="preserve">Correct. Resolution quality matters more than reply volume.</t>
  </si>
  <si>
    <t xml:space="preserve">SLA breach, escalation, and dispute rates.</t>
  </si>
  <si>
    <t xml:space="preserve">Correct. These reveal operational and customer harm.</t>
  </si>
  <si>
    <t xml:space="preserve">Human edit rate and evidence-check completion.</t>
  </si>
  <si>
    <t xml:space="preserve">Correct. Review behavior shows whether AI is used responsibly.</t>
  </si>
  <si>
    <t xml:space="preserve">Customer satisfaction after AI-assisted replies.</t>
  </si>
  <si>
    <t xml:space="preserve">Correct. Customers should experience better outcomes, not just faster text.</t>
  </si>
  <si>
    <t xml:space="preserve">Number of AI replies sent per hour only.</t>
  </si>
  <si>
    <t xml:space="preserve">Speed alone can hide repeat contacts, wrong answers, and customer harm.</t>
  </si>
  <si>
    <t xml:space="preserve">The legal hold and 31-day gap make the close claim weak.</t>
  </si>
  <si>
    <t xml:space="preserve">Correct. Stage alone is not enough when recency and legal risk contradict it.</t>
  </si>
  <si>
    <t xml:space="preserve">The account name is too formal for a sales report.</t>
  </si>
  <si>
    <t xml:space="preserve">Naming style is not the forecast risk.</t>
  </si>
  <si>
    <t xml:space="preserve">All verbal-yes deals should be excluded forever.</t>
  </si>
  <si>
    <t xml:space="preserve">Too broad. The issue is evidence quality for this deal.</t>
  </si>
  <si>
    <t xml:space="preserve">The forecast is strong because the deal value is high.</t>
  </si>
  <si>
    <t xml:space="preserve">High value increases materiality, not certainty.</t>
  </si>
  <si>
    <t xml:space="preserve">clean</t>
  </si>
  <si>
    <t xml:space="preserve">Check CRM freshness, risk notes, and missing next steps</t>
  </si>
  <si>
    <t xml:space="preserve">prompt</t>
  </si>
  <si>
    <t xml:space="preserve">Ask AI for account-specific next actions with evidence citations</t>
  </si>
  <si>
    <t xml:space="preserve">Review legal, privacy, and customer-context risks before outreach</t>
  </si>
  <si>
    <t xml:space="preserve">act</t>
  </si>
  <si>
    <t xml:space="preserve">Send a human-owned follow-up and update the CRM rationale</t>
  </si>
  <si>
    <t xml:space="preserve">Probability rationale using recency, stage, risk, and next step.</t>
  </si>
  <si>
    <t xml:space="preserve">Correct. Forecasts need explainable probability, not just stage labels.</t>
  </si>
  <si>
    <t xml:space="preserve">Clear separation of committed, likely, and speculative revenue.</t>
  </si>
  <si>
    <t xml:space="preserve">Correct. Scenario separation prevents overpromising.</t>
  </si>
  <si>
    <t xml:space="preserve">Customer risk notes such as legal hold or data review.</t>
  </si>
  <si>
    <t xml:space="preserve">Correct. Risk notes change forecast confidence.</t>
  </si>
  <si>
    <t xml:space="preserve">Human owner for forecast override and CRM update.</t>
  </si>
  <si>
    <t xml:space="preserve">Correct. Revenue calls need accountability.</t>
  </si>
  <si>
    <t xml:space="preserve">More confident wording in the AI summary.</t>
  </si>
  <si>
    <t xml:space="preserve">Confidence wording does not make forecast evidence stronger.</t>
  </si>
  <si>
    <t xml:space="preserve">lead-quality</t>
  </si>
  <si>
    <t xml:space="preserve">AI labels weak leads as high priority  →  Agree on quality criteria before scoring</t>
  </si>
  <si>
    <t xml:space="preserve">choices: Agree on quality criteria before scoring | Send every lead immediately | Hide CRM feedback from marketing</t>
  </si>
  <si>
    <t xml:space="preserve">outreach</t>
  </si>
  <si>
    <t xml:space="preserve">AI drafts outreach without account context  →  Require rep review and customer-specific evidence</t>
  </si>
  <si>
    <t xml:space="preserve">choices: Require rep review and customer-specific evidence | Use the same template for all accounts | Remove human edits</t>
  </si>
  <si>
    <t xml:space="preserve">feedback</t>
  </si>
  <si>
    <t xml:space="preserve">Sales feedback never updates campaign rules  →  Create a feedback loop from outcomes to targeting</t>
  </si>
  <si>
    <t xml:space="preserve">choices: Create a feedback loop from outcomes to targeting | Stop measuring outcomes | Let AI set targets alone</t>
  </si>
  <si>
    <t xml:space="preserve">Clear workflow pain with measurable baseline.</t>
  </si>
  <si>
    <t xml:space="preserve">Correct. Pilot value needs a measurable before state.</t>
  </si>
  <si>
    <t xml:space="preserve">Approved, current, and specific data sources.</t>
  </si>
  <si>
    <t xml:space="preserve">Correct. Grounding quality determines whether outputs can be trusted.</t>
  </si>
  <si>
    <t xml:space="preserve">Human review before money, policy, hiring, or customer actions.</t>
  </si>
  <si>
    <t xml:space="preserve">Correct. High-impact actions need clear gates.</t>
  </si>
  <si>
    <t xml:space="preserve">Success, stop, and expansion criteria before launch.</t>
  </si>
  <si>
    <t xml:space="preserve">Correct. Pilots need learning discipline, not vague enthusiasm.</t>
  </si>
  <si>
    <t xml:space="preserve">A demo that feels impressive despite unclear ownership.</t>
  </si>
  <si>
    <t xml:space="preserve">Demo appeal is not a reliable prioritization criterion.</t>
  </si>
  <si>
    <t xml:space="preserve">LLMs generate likely text patterns and still need evidence checks.</t>
  </si>
  <si>
    <t xml:space="preserve">Correct. This is the core literacy point.</t>
  </si>
  <si>
    <t xml:space="preserve">LLMs store only approved facts from the internet.</t>
  </si>
  <si>
    <t xml:space="preserve">No. They can generate unsupported claims.</t>
  </si>
  <si>
    <t xml:space="preserve">LLMs cannot answer unless every fact is verified.</t>
  </si>
  <si>
    <t xml:space="preserve">They can answer without verification, which creates risk.</t>
  </si>
  <si>
    <t xml:space="preserve">A confident tone is enough for low-risk decisions.</t>
  </si>
  <si>
    <t xml:space="preserve">Tone is not evidence.</t>
  </si>
  <si>
    <t xml:space="preserve">search</t>
  </si>
  <si>
    <t xml:space="preserve">Answer using current policy documents  →  RAG</t>
  </si>
  <si>
    <t xml:space="preserve">choices: RAG | Fine-tuning | Temperature | Watermark</t>
  </si>
  <si>
    <t xml:space="preserve">style</t>
  </si>
  <si>
    <t xml:space="preserve">Make the model follow a brand writing style  →  Fine-tuning or examples</t>
  </si>
  <si>
    <t xml:space="preserve">choices: Fine-tuning or examples | RAG only | Benchmark leakage | MFA</t>
  </si>
  <si>
    <t xml:space="preserve">similar</t>
  </si>
  <si>
    <t xml:space="preserve">Find documents with similar meaning, not exact words  →  Embeddings</t>
  </si>
  <si>
    <t xml:space="preserve">choices: Embeddings | MCP | Context loss | Audit log</t>
  </si>
  <si>
    <t xml:space="preserve">instruction</t>
  </si>
  <si>
    <t xml:space="preserve">Tell the assistant what role and format to use  →  Prompting</t>
  </si>
  <si>
    <t xml:space="preserve">choices: Prompting | Training data rights | Robot policy | SLA</t>
  </si>
  <si>
    <t xml:space="preserve">Apps can add tools, memory, policies, and permissions around the model.</t>
  </si>
  <si>
    <t xml:space="preserve">Correct. System context changes behavior and risk.</t>
  </si>
  <si>
    <t xml:space="preserve">The model name always fully defines the product risk.</t>
  </si>
  <si>
    <t xml:space="preserve">Too narrow. Apps and connectors matter.</t>
  </si>
  <si>
    <t xml:space="preserve">Safety depends only on the user interface color.</t>
  </si>
  <si>
    <t xml:space="preserve">Visual design is not the main system control.</t>
  </si>
  <si>
    <t xml:space="preserve">A chatbot cannot connect to external systems.</t>
  </si>
  <si>
    <t xml:space="preserve">Many AI apps can use tools and connectors.</t>
  </si>
  <si>
    <t xml:space="preserve">license</t>
  </si>
  <si>
    <t xml:space="preserve">License and commercial-use permissions.</t>
  </si>
  <si>
    <t xml:space="preserve">Correct. License controls product use.</t>
  </si>
  <si>
    <t xml:space="preserve">data</t>
  </si>
  <si>
    <t xml:space="preserve">Training data summary and privacy caveats.</t>
  </si>
  <si>
    <t xml:space="preserve">Correct. Data provenance matters.</t>
  </si>
  <si>
    <t xml:space="preserve">eval</t>
  </si>
  <si>
    <t xml:space="preserve">Evaluation tasks, language coverage, and failure cases.</t>
  </si>
  <si>
    <t xml:space="preserve">Correct. Fit depends on evaluated behavior.</t>
  </si>
  <si>
    <t xml:space="preserve">limits</t>
  </si>
  <si>
    <t xml:space="preserve">Known limitations and intended-use boundaries.</t>
  </si>
  <si>
    <t xml:space="preserve">Correct. Limitations must map to controls.</t>
  </si>
  <si>
    <t xml:space="preserve">likes</t>
  </si>
  <si>
    <t xml:space="preserve">Only the number of likes and downloads.</t>
  </si>
  <si>
    <t xml:space="preserve">Popularity is not sufficient deployment evidence.</t>
  </si>
  <si>
    <t xml:space="preserve">purpose</t>
  </si>
  <si>
    <t xml:space="preserve">Confirm the package solves the actual workflow need.</t>
  </si>
  <si>
    <t xml:space="preserve">Check license, maintenance, releases, issues, and security policy.</t>
  </si>
  <si>
    <t xml:space="preserve">risk</t>
  </si>
  <si>
    <t xml:space="preserve">Review dependencies, permissions, data handling, and known vulnerabilities.</t>
  </si>
  <si>
    <t xml:space="preserve">test</t>
  </si>
  <si>
    <t xml:space="preserve">Test in a sandbox with representative data.</t>
  </si>
  <si>
    <t xml:space="preserve">approve</t>
  </si>
  <si>
    <t xml:space="preserve">Approve with owner, monitoring, and rollback plan.</t>
  </si>
  <si>
    <t xml:space="preserve">position 5</t>
  </si>
  <si>
    <t xml:space="preserve">Who the email is for and what outcome is needed.</t>
  </si>
  <si>
    <t xml:space="preserve">Correct. Audience and goal shape the answer.</t>
  </si>
  <si>
    <t xml:space="preserve">A request for the longest possible answer.</t>
  </si>
  <si>
    <t xml:space="preserve">Length is not the main issue.</t>
  </si>
  <si>
    <t xml:space="preserve">A command to sound confident no matter what.</t>
  </si>
  <si>
    <t xml:space="preserve">Confidence without constraints is risky.</t>
  </si>
  <si>
    <t xml:space="preserve">No extra detail because AI should infer everything.</t>
  </si>
  <si>
    <t xml:space="preserve">Inference can create errors.</t>
  </si>
  <si>
    <t xml:space="preserve">role</t>
  </si>
  <si>
    <t xml:space="preserve">Act as a product researcher  →  Role</t>
  </si>
  <si>
    <t xml:space="preserve">choices: Role | Source rule | Output format | Review check</t>
  </si>
  <si>
    <t xml:space="preserve">source</t>
  </si>
  <si>
    <t xml:space="preserve">Use only the notes below; mark missing evidence  →  Source rule</t>
  </si>
  <si>
    <t xml:space="preserve">choices: Source rule | Role | Tone | Model size</t>
  </si>
  <si>
    <t xml:space="preserve">format</t>
  </si>
  <si>
    <t xml:space="preserve">Return findings, caveats, and next interviews  →  Output format</t>
  </si>
  <si>
    <t xml:space="preserve">choices: Output format | Memory | RAG index | Watermark</t>
  </si>
  <si>
    <t xml:space="preserve">check</t>
  </si>
  <si>
    <t xml:space="preserve">Flag any claim not grounded in a note  →  Review check</t>
  </si>
  <si>
    <t xml:space="preserve">choices: Review check | Temperature | Persona | Token</t>
  </si>
  <si>
    <t xml:space="preserve">Data source -&gt; AI draft -&gt; human verifies -&gt; final report.</t>
  </si>
  <si>
    <t xml:space="preserve">Correct. This includes source and review.</t>
  </si>
  <si>
    <t xml:space="preserve">AI invents data -&gt; final report.</t>
  </si>
  <si>
    <t xml:space="preserve">Unsafe and unsupported.</t>
  </si>
  <si>
    <t xml:space="preserve">Human skips review because AI is fast.</t>
  </si>
  <si>
    <t xml:space="preserve">Review is important for report accuracy.</t>
  </si>
  <si>
    <t xml:space="preserve">Only ask for a prettier chart.</t>
  </si>
  <si>
    <t xml:space="preserve">Presentation is not the whole workflow.</t>
  </si>
  <si>
    <t xml:space="preserve">tools</t>
  </si>
  <si>
    <t xml:space="preserve">Allowed tools, actions, and data fields.</t>
  </si>
  <si>
    <t xml:space="preserve">Correct. Tool scope must be explicit.</t>
  </si>
  <si>
    <t xml:space="preserve">handoff</t>
  </si>
  <si>
    <t xml:space="preserve">When the agent hands off to a person.</t>
  </si>
  <si>
    <t xml:space="preserve">Correct. Escalation is part of workflow design.</t>
  </si>
  <si>
    <t xml:space="preserve">Review gate for sensitive or customer-impacting work.</t>
  </si>
  <si>
    <t xml:space="preserve">Correct. Review protects users.</t>
  </si>
  <si>
    <t xml:space="preserve">Quality, time, override, and customer-impact measures.</t>
  </si>
  <si>
    <t xml:space="preserve">Correct. Workflow success must be measured.</t>
  </si>
  <si>
    <t xml:space="preserve">name</t>
  </si>
  <si>
    <t xml:space="preserve">A catchy assistant nickname.</t>
  </si>
  <si>
    <t xml:space="preserve">Naming does not define workflow safety.</t>
  </si>
  <si>
    <t xml:space="preserve">Planner sends vague task to retriever  →  Typed handoff with required fields</t>
  </si>
  <si>
    <t xml:space="preserve">choices: Typed handoff with required fields | Higher temperature | Longer brand tone | No logging</t>
  </si>
  <si>
    <t xml:space="preserve">Writer uses source without provenance  →  Source citation and evidence check</t>
  </si>
  <si>
    <t xml:space="preserve">choices: Source citation and evidence check | Skip retrieval | Trust final answer | Disable reviewer</t>
  </si>
  <si>
    <t xml:space="preserve">loop</t>
  </si>
  <si>
    <t xml:space="preserve">Agents repeat the same failed action  →  Loop limit and escalation trigger</t>
  </si>
  <si>
    <t xml:space="preserve">choices: Loop limit and escalation trigger | More agents | Hide errors | Make output longer</t>
  </si>
  <si>
    <t xml:space="preserve">approval</t>
  </si>
  <si>
    <t xml:space="preserve">Approval agent approves its own action  →  Independent human or policy gate</t>
  </si>
  <si>
    <t xml:space="preserve">choices: Independent human or policy gate | Self-approval | No owner | Marketing review only</t>
  </si>
  <si>
    <t xml:space="preserve">Whether each claim appears in or follows from the source.</t>
  </si>
  <si>
    <t xml:space="preserve">Correct. Claim-source alignment is the first check.</t>
  </si>
  <si>
    <t xml:space="preserve">Whether the answer uses formal language.</t>
  </si>
  <si>
    <t xml:space="preserve">Style is not proof.</t>
  </si>
  <si>
    <t xml:space="preserve">Whether the chatbot says it is confident.</t>
  </si>
  <si>
    <t xml:space="preserve">Confidence is not verification.</t>
  </si>
  <si>
    <t xml:space="preserve">Whether the answer is short enough.</t>
  </si>
  <si>
    <t xml:space="preserve">Concision does not prove accuracy.</t>
  </si>
  <si>
    <t xml:space="preserve">task</t>
  </si>
  <si>
    <t xml:space="preserve">Benchmark is coding-heavy but product is customer support  →  Does the task match our use case?</t>
  </si>
  <si>
    <t xml:space="preserve">choices: Does the task match our use case? | Is the logo familiar? | Is the answer long? | Can we skip testing?</t>
  </si>
  <si>
    <t xml:space="preserve">version</t>
  </si>
  <si>
    <t xml:space="preserve">Vendor tested an older model version  →  Which model/version was evaluated?</t>
  </si>
  <si>
    <t xml:space="preserve">choices: Which model/version was evaluated? | Can we ignore date? | Who designed the website? | Was the font readable?</t>
  </si>
  <si>
    <t xml:space="preserve">contam</t>
  </si>
  <si>
    <t xml:space="preserve">Public test may appear in training data  →  Is there leakage or contamination risk?</t>
  </si>
  <si>
    <t xml:space="preserve">choices: Is there leakage or contamination risk? | Should we use more colors? | Can we trust downloads? | Is the chart pretty?</t>
  </si>
  <si>
    <t xml:space="preserve">ops</t>
  </si>
  <si>
    <t xml:space="preserve">Score omits latency, cost, and safety failures  →  What operational constraints were tested?</t>
  </si>
  <si>
    <t xml:space="preserve">choices: What operational constraints were tested? | Is it popular online? | Is it new enough? | Can it write jokes?</t>
  </si>
  <si>
    <t xml:space="preserve">Check original source, date, location, and caption before sharing.</t>
  </si>
  <si>
    <t xml:space="preserve">Correct. Provenance and context matter.</t>
  </si>
  <si>
    <t xml:space="preserve">Share quickly because urgent posts are always helpful.</t>
  </si>
  <si>
    <t xml:space="preserve">Urgency can spread misinformation.</t>
  </si>
  <si>
    <t xml:space="preserve">Assume every disaster image is AI-generated.</t>
  </si>
  <si>
    <t xml:space="preserve">That overstates the evidence.</t>
  </si>
  <si>
    <t xml:space="preserve">Only check whether the image looks dramatic.</t>
  </si>
  <si>
    <t xml:space="preserve">Visual impact is not proof.</t>
  </si>
  <si>
    <t xml:space="preserve">bank</t>
  </si>
  <si>
    <t xml:space="preserve">Changed bank details.</t>
  </si>
  <si>
    <t xml:space="preserve">Correct. Bank changes need independent verification.</t>
  </si>
  <si>
    <t xml:space="preserve">sender</t>
  </si>
  <si>
    <t xml:space="preserve">Sender domain does not match the vendor.</t>
  </si>
  <si>
    <t xml:space="preserve">Correct. Domain mismatch is a strong signal.</t>
  </si>
  <si>
    <t xml:space="preserve">po</t>
  </si>
  <si>
    <t xml:space="preserve">Missing purchase order or approval reference.</t>
  </si>
  <si>
    <t xml:space="preserve">Correct. Payment evidence is missing.</t>
  </si>
  <si>
    <t xml:space="preserve">urgency</t>
  </si>
  <si>
    <t xml:space="preserve">Urgent pressure to bypass review.</t>
  </si>
  <si>
    <t xml:space="preserve">Correct. Pressure is a fraud pattern.</t>
  </si>
  <si>
    <t xml:space="preserve">logo</t>
  </si>
  <si>
    <t xml:space="preserve">The logo color is not your favorite.</t>
  </si>
  <si>
    <t xml:space="preserve">Design preference is not a fraud signal.</t>
  </si>
  <si>
    <t xml:space="preserve">Remove unnecessary personal/sensitive data and use an approved tool.</t>
  </si>
  <si>
    <t xml:space="preserve">Correct. Minimize data and follow policy.</t>
  </si>
  <si>
    <t xml:space="preserve">Paste everything because more context always improves accuracy.</t>
  </si>
  <si>
    <t xml:space="preserve">More context can create privacy risk.</t>
  </si>
  <si>
    <t xml:space="preserve">Only change the patient name.</t>
  </si>
  <si>
    <t xml:space="preserve">Other details may still identify someone.</t>
  </si>
  <si>
    <t xml:space="preserve">Ask the AI to promise confidentiality.</t>
  </si>
  <si>
    <t xml:space="preserve">A promise in the prompt is not a control.</t>
  </si>
  <si>
    <t xml:space="preserve">broad</t>
  </si>
  <si>
    <t xml:space="preserve">Assistant can read all folders  →  Least-privilege access</t>
  </si>
  <si>
    <t xml:space="preserve">choices: Least-privilege access | Brighter UI | Longer prompt | More outputs</t>
  </si>
  <si>
    <t xml:space="preserve">export</t>
  </si>
  <si>
    <t xml:space="preserve">Assistant can export customer data  →  Approval gate and data boundary</t>
  </si>
  <si>
    <t xml:space="preserve">choices: Approval gate and data boundary | No logging | Public sharing | Disable help text</t>
  </si>
  <si>
    <t xml:space="preserve">missing</t>
  </si>
  <si>
    <t xml:space="preserve">No record of who approved action  →  Audit log with approver trail</t>
  </si>
  <si>
    <t xml:space="preserve">choices: Audit log with approver trail | Faster model | Tone guide | More examples</t>
  </si>
  <si>
    <t xml:space="preserve">secret</t>
  </si>
  <si>
    <t xml:space="preserve">Prompt contains API key  →  Secret detection and blocking</t>
  </si>
  <si>
    <t xml:space="preserve">choices: Secret detection and blocking | Share in email | Use bigger context | Ignore if internal</t>
  </si>
  <si>
    <t xml:space="preserve">A named person reviews defined high-risk outputs before action.</t>
  </si>
  <si>
    <t xml:space="preserve">Correct. Review must be assigned and meaningful.</t>
  </si>
  <si>
    <t xml:space="preserve">Everyone generally knows AI is involved.</t>
  </si>
  <si>
    <t xml:space="preserve">Too vague for accountability.</t>
  </si>
  <si>
    <t xml:space="preserve">AI reviews itself before acting.</t>
  </si>
  <si>
    <t xml:space="preserve">Self-review is not enough for high-impact actions.</t>
  </si>
  <si>
    <t xml:space="preserve">Human review only after harm is reported.</t>
  </si>
  <si>
    <t xml:space="preserve">Some review must happen before action.</t>
  </si>
  <si>
    <t xml:space="preserve">output</t>
  </si>
  <si>
    <t xml:space="preserve">Prompt, output, tool calls, and affected user/action.</t>
  </si>
  <si>
    <t xml:space="preserve">Correct. Incident facts must be preserved.</t>
  </si>
  <si>
    <t xml:space="preserve">Source evidence used or missing.</t>
  </si>
  <si>
    <t xml:space="preserve">Correct. Evidence gaps explain failure.</t>
  </si>
  <si>
    <t xml:space="preserve">owner</t>
  </si>
  <si>
    <t xml:space="preserve">Decision owner, reviewer, and approver trail.</t>
  </si>
  <si>
    <t xml:space="preserve">Correct. Accountability matters.</t>
  </si>
  <si>
    <t xml:space="preserve">fix</t>
  </si>
  <si>
    <t xml:space="preserve">Containment, correction, and recurrence-prevention step.</t>
  </si>
  <si>
    <t xml:space="preserve">Correct. Response must improve the system.</t>
  </si>
  <si>
    <t xml:space="preserve">hide</t>
  </si>
  <si>
    <t xml:space="preserve">Remove logs so users do not worry.</t>
  </si>
  <si>
    <t xml:space="preserve">Deleting logs undermines governance.</t>
  </si>
  <si>
    <t xml:space="preserve">Baseline and outcome metric for the workflow.</t>
  </si>
  <si>
    <t xml:space="preserve">Correct. Value needs comparison.</t>
  </si>
  <si>
    <t xml:space="preserve">A more futuristic demo video.</t>
  </si>
  <si>
    <t xml:space="preserve">Demo appeal is not value evidence.</t>
  </si>
  <si>
    <t xml:space="preserve">A promise that AI will save time eventually.</t>
  </si>
  <si>
    <t xml:space="preserve">Promises need measurement.</t>
  </si>
  <si>
    <t xml:space="preserve">A list of all possible AI tools.</t>
  </si>
  <si>
    <t xml:space="preserve">Tool inventory is not enough.</t>
  </si>
  <si>
    <t xml:space="preserve">repeat</t>
  </si>
  <si>
    <t xml:space="preserve">High-volume repetitive classification  →  Can automation reduce time without quality loss?</t>
  </si>
  <si>
    <t xml:space="preserve">choices: Can automation reduce time without quality loss? | Is it trendy? | Can we skip baseline? | Will everyone like it?</t>
  </si>
  <si>
    <t xml:space="preserve">Mistake affects customer money  →  What review gate and harm metric are needed?</t>
  </si>
  <si>
    <t xml:space="preserve">choices: What review gate and harm metric are needed? | Can AI decide alone? | Can we hide errors? | Is the UI colorful?</t>
  </si>
  <si>
    <t xml:space="preserve">Inputs are inconsistent and incomplete  →  Is data readiness enough for pilot?</t>
  </si>
  <si>
    <t xml:space="preserve">choices: Is data readiness enough for pilot? | Can marketing announce it? | Is model new? | Do we need more meetings?</t>
  </si>
  <si>
    <t xml:space="preserve">scale</t>
  </si>
  <si>
    <t xml:space="preserve">Pilot works in one team only  →  What evidence supports scaling?</t>
  </si>
  <si>
    <t xml:space="preserve">choices: What evidence supports scaling? | Can we assume transfer? | Should we stop measuring? | Can we remove controls?</t>
  </si>
  <si>
    <t xml:space="preserve">No. First map the capability to a business problem and evidence of value.</t>
  </si>
  <si>
    <t xml:space="preserve">Correct. Trend literacy needs business fit.</t>
  </si>
  <si>
    <t xml:space="preserve">Yes. Newer models always create immediate ROI.</t>
  </si>
  <si>
    <t xml:space="preserve">New capability is not automatic value.</t>
  </si>
  <si>
    <t xml:space="preserve">Only competitors should decide the roadmap.</t>
  </si>
  <si>
    <t xml:space="preserve">Competitor moves are signals, not strategy.</t>
  </si>
  <si>
    <t xml:space="preserve">Ignore all trends until regulation is perfect.</t>
  </si>
  <si>
    <t xml:space="preserve">Too passive. Trends need calibrated review.</t>
  </si>
  <si>
    <t xml:space="preserve">value</t>
  </si>
  <si>
    <t xml:space="preserve">Measurable business value and owner.</t>
  </si>
  <si>
    <t xml:space="preserve">Correct. Value and accountability matter.</t>
  </si>
  <si>
    <t xml:space="preserve">fit</t>
  </si>
  <si>
    <t xml:space="preserve">Strategic fit and differentiation.</t>
  </si>
  <si>
    <t xml:space="preserve">Correct. Not every use case is strategic.</t>
  </si>
  <si>
    <t xml:space="preserve">Customer, legal, privacy, and operational risk.</t>
  </si>
  <si>
    <t xml:space="preserve">Correct. Risk changes funding path.</t>
  </si>
  <si>
    <t xml:space="preserve">readiness</t>
  </si>
  <si>
    <t xml:space="preserve">Data, workflow, and adoption readiness.</t>
  </si>
  <si>
    <t xml:space="preserve">Correct. Readiness affects feasibility.</t>
  </si>
  <si>
    <t xml:space="preserve">hype</t>
  </si>
  <si>
    <t xml:space="preserve">How exciting the demo feels.</t>
  </si>
  <si>
    <t xml:space="preserve">Excitement is not enough for portfolio funding.</t>
  </si>
  <si>
    <t xml:space="preserve">The human reviewer who sends it.</t>
  </si>
  <si>
    <t xml:space="preserve">Correct. AI can assist, but the sender owns the action.</t>
  </si>
  <si>
    <t xml:space="preserve">The AI model because it wrote the first draft.</t>
  </si>
  <si>
    <t xml:space="preserve">AI is not accountable for the customer action.</t>
  </si>
  <si>
    <t xml:space="preserve">No one if the draft is automated.</t>
  </si>
  <si>
    <t xml:space="preserve">Automation still needs accountability.</t>
  </si>
  <si>
    <t xml:space="preserve">The customer because they asked the question.</t>
  </si>
  <si>
    <t xml:space="preserve">The organization owns its response.</t>
  </si>
  <si>
    <t xml:space="preserve">challenge</t>
  </si>
  <si>
    <t xml:space="preserve">Challenge the AI ranking with evidence.</t>
  </si>
  <si>
    <t xml:space="preserve">Correct. Teams need challenge culture.</t>
  </si>
  <si>
    <t xml:space="preserve">evidence</t>
  </si>
  <si>
    <t xml:space="preserve">Compare AI summary against interview notes and criteria.</t>
  </si>
  <si>
    <t xml:space="preserve">Correct. Review evidence, not vibes.</t>
  </si>
  <si>
    <t xml:space="preserve">document</t>
  </si>
  <si>
    <t xml:space="preserve">Document override reason for learning and audit.</t>
  </si>
  <si>
    <t xml:space="preserve">Correct. Overrides improve the system.</t>
  </si>
  <si>
    <t xml:space="preserve">rubric</t>
  </si>
  <si>
    <t xml:space="preserve">Use the same hiring rubric for all candidates.</t>
  </si>
  <si>
    <t xml:space="preserve">Correct. Consistency protects fairness.</t>
  </si>
  <si>
    <t xml:space="preserve">obey</t>
  </si>
  <si>
    <t xml:space="preserve">Obey the AI ranking to avoid slowing down.</t>
  </si>
  <si>
    <t xml:space="preserve">Speed should not override evidence and fairness.</t>
  </si>
  <si>
    <t xml:space="preserve">sample</t>
  </si>
  <si>
    <t xml:space="preserve">Sample AI outputs and human overrides.</t>
  </si>
  <si>
    <t xml:space="preserve">classify</t>
  </si>
  <si>
    <t xml:space="preserve">Classify error patterns and risk level.</t>
  </si>
  <si>
    <t xml:space="preserve">coach</t>
  </si>
  <si>
    <t xml:space="preserve">Coach users and update prompt/workflow guidance.</t>
  </si>
  <si>
    <t xml:space="preserve">control</t>
  </si>
  <si>
    <t xml:space="preserve">Adjust controls for high-risk patterns.</t>
  </si>
  <si>
    <t xml:space="preserve">Measure whether errors and overrides improve.</t>
  </si>
  <si>
    <t xml:space="preserve">Role-specific examples, coaching, support, and feedback loops.</t>
  </si>
  <si>
    <t xml:space="preserve">Correct. Adoption needs enablement.</t>
  </si>
  <si>
    <t xml:space="preserve">Only a launch email with the login link.</t>
  </si>
  <si>
    <t xml:space="preserve">Awareness alone is weak.</t>
  </si>
  <si>
    <t xml:space="preserve">A rule that everyone must use AI daily.</t>
  </si>
  <si>
    <t xml:space="preserve">Mandates can increase usage without capability.</t>
  </si>
  <si>
    <t xml:space="preserve">No guidance so users can discover everything alone.</t>
  </si>
  <si>
    <t xml:space="preserve">Discovery works better with examples and guardrails.</t>
  </si>
  <si>
    <t xml:space="preserve">lowuse</t>
  </si>
  <si>
    <t xml:space="preserve">Low use, high anxiety  →  Manager coaching and safe starter tasks</t>
  </si>
  <si>
    <t xml:space="preserve">choices: Manager coaching and safe starter tasks | Mandate automation | Remove support | Ignore quality</t>
  </si>
  <si>
    <t xml:space="preserve">higherror</t>
  </si>
  <si>
    <t xml:space="preserve">High use, high error rate  →  Review routines and targeted training</t>
  </si>
  <si>
    <t xml:space="preserve">choices: Review routines and targeted training | Celebrate usage only | Reduce oversight | Scale immediately</t>
  </si>
  <si>
    <t xml:space="preserve">expert</t>
  </si>
  <si>
    <t xml:space="preserve">One team has strong reusable workflows  →  Share patterns and peer examples</t>
  </si>
  <si>
    <t xml:space="preserve">choices: Share patterns and peer examples | Keep learning private | Stop measuring | Block experimentation</t>
  </si>
  <si>
    <t xml:space="preserve">trust</t>
  </si>
  <si>
    <t xml:space="preserve">Users distrust outputs after one failure  →  Show evidence checks and escalation paths</t>
  </si>
  <si>
    <t xml:space="preserve">choices: Show evidence checks and escalation paths | Tell them to trust AI | Hide incidents | Use a bigger model only</t>
  </si>
  <si>
    <t xml:space="preserve">llm</t>
  </si>
  <si>
    <t xml:space="preserve">LLM  →  Generates language from learned patterns</t>
  </si>
  <si>
    <t xml:space="preserve">choices: Generates language from learned patterns | Stores every company fact forever | Approves payments | Prevents all hallucinations</t>
  </si>
  <si>
    <t xml:space="preserve">rag</t>
  </si>
  <si>
    <t xml:space="preserve">RAG  →  Retrieves relevant sources before answering</t>
  </si>
  <si>
    <t xml:space="preserve">choices: Retrieves relevant sources before answering | Makes the UI faster | Deletes audit logs | Guarantees legal approval</t>
  </si>
  <si>
    <t xml:space="preserve">Prompt  →  Instruction and context given for the task</t>
  </si>
  <si>
    <t xml:space="preserve">choices: Instruction and context given for the task | A license file | A server region | A peer benchmark</t>
  </si>
  <si>
    <t xml:space="preserve">memory</t>
  </si>
  <si>
    <t xml:space="preserve">Memory  →  Saved information reused across sessions</t>
  </si>
  <si>
    <t xml:space="preserve">choices: Saved information reused across sessions | The current pasted text only | A model leaderboard | A safety incident</t>
  </si>
  <si>
    <t xml:space="preserve">chat</t>
  </si>
  <si>
    <t xml:space="preserve">General chat assistant  →  Data pasted by users and source-check behavior</t>
  </si>
  <si>
    <t xml:space="preserve">choices: Data pasted by users and source-check behavior | Pull-request permissions only | Robot sensor fusion | Warehouse routing</t>
  </si>
  <si>
    <t xml:space="preserve">copilot</t>
  </si>
  <si>
    <t xml:space="preserve">GitHub-style coding assistant  →  Repository access, code review, tests, and license risk</t>
  </si>
  <si>
    <t xml:space="preserve">choices: Repository access, code review, tests, and license risk | Patient bedside consent | Image caption source | Ad auction budget</t>
  </si>
  <si>
    <t xml:space="preserve">hub</t>
  </si>
  <si>
    <t xml:space="preserve">Hugging Face-style model hub  →  Model card, license, dataset, and intended-use limits</t>
  </si>
  <si>
    <t xml:space="preserve">choices: Model card, license, dataset, and intended-use limits | Calendar tone only | Sales discount script | HR interview order</t>
  </si>
  <si>
    <t xml:space="preserve">agent</t>
  </si>
  <si>
    <t xml:space="preserve">Tool-using workflow agent  →  Read/write permissions, action gates, and audit logs</t>
  </si>
  <si>
    <t xml:space="preserve">choices: Read/write permissions, action gates, and audit logs | Only logo quality | Only model popularity | Only prompt length</t>
  </si>
  <si>
    <t xml:space="preserve">bench</t>
  </si>
  <si>
    <t xml:space="preserve">Evaluation / benchmark results  →  Whether the model was tested on relevant tasks</t>
  </si>
  <si>
    <t xml:space="preserve">choices: Whether the model was tested on relevant tasks | Who owns customer refunds | What color the UI should be | Whether staff like AI</t>
  </si>
  <si>
    <t xml:space="preserve">License  →  Whether the model can be used commercially</t>
  </si>
  <si>
    <t xml:space="preserve">choices: Whether the model can be used commercially | Whether the model is always accurate | Whether the prompt is short | Whether the app has memory</t>
  </si>
  <si>
    <t xml:space="preserve">intended</t>
  </si>
  <si>
    <t xml:space="preserve">Intended use  →  Whether the planned deployment matches the model scope</t>
  </si>
  <si>
    <t xml:space="preserve">choices: Whether the planned deployment matches the model scope | Whether the image is dramatic | Whether adoption doubled | Whether reviewers are fast</t>
  </si>
  <si>
    <t xml:space="preserve">Limitations  →  What guardrails and human review are needed</t>
  </si>
  <si>
    <t xml:space="preserve">choices: What guardrails and human review are needed | What font size to use | What sales region to target | What chatbot name to pick</t>
  </si>
  <si>
    <t xml:space="preserve">release</t>
  </si>
  <si>
    <t xml:space="preserve">No release in 18 months  →  Maintenance risk</t>
  </si>
  <si>
    <t xml:space="preserve">choices: Maintenance risk | Better accuracy | Guaranteed support | Lower privacy risk</t>
  </si>
  <si>
    <t xml:space="preserve">ci</t>
  </si>
  <si>
    <t xml:space="preserve">Failing CI on recent commits  →  Quality or integration risk</t>
  </si>
  <si>
    <t xml:space="preserve">choices: Quality or integration risk | Clear legal approval | More adoption | Safe data handling</t>
  </si>
  <si>
    <t xml:space="preserve">security</t>
  </si>
  <si>
    <t xml:space="preserve">No security policy or advisory process  →  Vulnerability response risk</t>
  </si>
  <si>
    <t xml:space="preserve">choices: Vulnerability response risk | Higher benchmark score | Better UI | More citations</t>
  </si>
  <si>
    <t xml:space="preserve">License missing or incompatible  →  Legal adoption risk</t>
  </si>
  <si>
    <t xml:space="preserve">choices: Legal adoption risk | Lower latency | More memory | Less need for tests</t>
  </si>
  <si>
    <t xml:space="preserve">knowledge</t>
  </si>
  <si>
    <t xml:space="preserve">General knowledge exam benchmark  →  Broad factual and reasoning performance</t>
  </si>
  <si>
    <t xml:space="preserve">choices: Broad factual and reasoning performance | Repository issue resolution only | Robot motion control | Customer churn ROI</t>
  </si>
  <si>
    <t xml:space="preserve">swe</t>
  </si>
  <si>
    <t xml:space="preserve">Software engineering benchmark  →  Code change and issue-solving ability</t>
  </si>
  <si>
    <t xml:space="preserve">choices: Code change and issue-solving ability | Image provenance | Policy approval | Medical consent</t>
  </si>
  <si>
    <t xml:space="preserve">long</t>
  </si>
  <si>
    <t xml:space="preserve">Long-context benchmark  →  Using information across large documents</t>
  </si>
  <si>
    <t xml:space="preserve">choices: Using information across large documents | Physical driving safety | Vendor license rights | Ad campaign spend</t>
  </si>
  <si>
    <t xml:space="preserve">Agentic task benchmark  →  Planning and tool use across steps</t>
  </si>
  <si>
    <t xml:space="preserve">choices: Planning and tool use across steps | Only text fluency | Logo recognition | Payroll accuracy</t>
  </si>
  <si>
    <t xml:space="preserve">Approval gate  →  Stops high-impact action before human signoff</t>
  </si>
  <si>
    <t xml:space="preserve">choices: Stops high-impact action before human signoff | Improves logo quality | Makes answers longer | Increases benchmark score</t>
  </si>
  <si>
    <t xml:space="preserve">audit</t>
  </si>
  <si>
    <t xml:space="preserve">Audit log  →  Shows prompt, source, action, reviewer, and reason trail</t>
  </si>
  <si>
    <t xml:space="preserve">choices: Shows prompt, source, action, reviewer, and reason trail | Replaces all training | Proves model is unbiased | Removes need for policy</t>
  </si>
  <si>
    <t xml:space="preserve">Approved-source rule  →  Prevents unsupported or unapproved evidence use</t>
  </si>
  <si>
    <t xml:space="preserve">choices: Prevents unsupported or unapproved evidence use | Selects font color | Guarantees ROI | Avoids all incidents</t>
  </si>
  <si>
    <t xml:space="preserve">escalate</t>
  </si>
  <si>
    <t xml:space="preserve">Escalation path  →  Moves uncertain or harmful cases to accountable humans</t>
  </si>
  <si>
    <t xml:space="preserve">choices: Moves uncertain or harmful cases to accountable humans | Lets AI self-approve | Deletes user complaints | Maximizes automation</t>
  </si>
  <si>
    <t xml:space="preserve">current-policy</t>
  </si>
  <si>
    <t xml:space="preserve">What best supports answers about the current approved policy?</t>
  </si>
  <si>
    <t xml:space="preserve">Rely on model training data because it is broad.</t>
  </si>
  <si>
    <t xml:space="preserve">Training data may be stale or missing private policy.</t>
  </si>
  <si>
    <t xml:space="preserve">Retrieve the approved source at answer time.</t>
  </si>
  <si>
    <t xml:space="preserve">Correct. RAG is the right concept for current source grounding.</t>
  </si>
  <si>
    <t xml:space="preserve">Ask for a more confident tone.</t>
  </si>
  <si>
    <t xml:space="preserve">Tone does not improve source support.</t>
  </si>
  <si>
    <t xml:space="preserve">prompt-constraint</t>
  </si>
  <si>
    <t xml:space="preserve">Which prompt instruction best reduces unsupported policy claims?</t>
  </si>
  <si>
    <t xml:space="preserve">Use only the supplied policy and mark missing evidence.</t>
  </si>
  <si>
    <t xml:space="preserve">Correct. This gives a source rule and uncertainty behavior.</t>
  </si>
  <si>
    <t xml:space="preserve">Be concise and persuasive.</t>
  </si>
  <si>
    <t xml:space="preserve">Style does not control factual grounding.</t>
  </si>
  <si>
    <t xml:space="preserve">Answer from general best practice if the file is unclear.</t>
  </si>
  <si>
    <t xml:space="preserve">That invites unsupported substitution.</t>
  </si>
  <si>
    <t xml:space="preserve">context-limit</t>
  </si>
  <si>
    <t xml:space="preserve">What is a practical context-window risk?</t>
  </si>
  <si>
    <t xml:space="preserve">The model can remember infinite source text exactly.</t>
  </si>
  <si>
    <t xml:space="preserve">Context is limited and must be managed.</t>
  </si>
  <si>
    <t xml:space="preserve">More pasted material always lowers risk.</t>
  </si>
  <si>
    <t xml:space="preserve">More context can add noise and private data.</t>
  </si>
  <si>
    <t xml:space="preserve">Important details can be omitted, buried, or outweighed by irrelevant context.</t>
  </si>
  <si>
    <t xml:space="preserve">Correct. Users need scoped, relevant inputs.</t>
  </si>
  <si>
    <t xml:space="preserve">Saved memory  →  What is retained, editable, and visible to users?</t>
  </si>
  <si>
    <t xml:space="preserve">choices: What is retained, editable, and visible to users? | Which font is used? | Whether the model can never hallucinate | Which competitor launched first</t>
  </si>
  <si>
    <t xml:space="preserve">connector</t>
  </si>
  <si>
    <t xml:space="preserve">CRM connector  →  Which records can be read or changed?</t>
  </si>
  <si>
    <t xml:space="preserve">choices: Which records can be read or changed? | Whether the answer is shorter | Whether users like the logo | Which benchmark is most famous</t>
  </si>
  <si>
    <t xml:space="preserve">policy</t>
  </si>
  <si>
    <t xml:space="preserve">Enterprise data policy  →  Which data may enter the assistant and under what terms?</t>
  </si>
  <si>
    <t xml:space="preserve">choices: Which data may enter the assistant and under what terms? | Whether all prompts become public posts | Whether every answer is approved | Which model has the longest name</t>
  </si>
  <si>
    <t xml:space="preserve">log</t>
  </si>
  <si>
    <t xml:space="preserve">Action log  →  Who can review prompts, sources, actions, and approvals?</t>
  </si>
  <si>
    <t xml:space="preserve">choices: Who can review prompts, sources, actions, and approvals? | How colorful the dashboard is | Whether training is optional forever | Whether cost disappears</t>
  </si>
  <si>
    <t xml:space="preserve">Check whether the evaluation task matches the policy workflow.</t>
  </si>
  <si>
    <t xml:space="preserve">Correct. Capability depends on task fit.</t>
  </si>
  <si>
    <t xml:space="preserve">sources</t>
  </si>
  <si>
    <t xml:space="preserve">Inspect whether answers were grounded in approved sources.</t>
  </si>
  <si>
    <t xml:space="preserve">Correct. Grounding changes reliability.</t>
  </si>
  <si>
    <t xml:space="preserve">failures</t>
  </si>
  <si>
    <t xml:space="preserve">Ask for failure cases, refusal behavior, and uncertainty handling.</t>
  </si>
  <si>
    <t xml:space="preserve">Correct. Limits matter as much as headline scores.</t>
  </si>
  <si>
    <t xml:space="preserve">local</t>
  </si>
  <si>
    <t xml:space="preserve">Run a local test on representative policies and edge cases.</t>
  </si>
  <si>
    <t xml:space="preserve">Correct. Local evidence is needed before deployment.</t>
  </si>
  <si>
    <t xml:space="preserve">headline</t>
  </si>
  <si>
    <t xml:space="preserve">Trust the claim because the model is newest.</t>
  </si>
  <si>
    <t xml:space="preserve">Newness is not proof of workflow reliability.</t>
  </si>
  <si>
    <t xml:space="preserve">Classify ticket risk and identify required evidence.</t>
  </si>
  <si>
    <t xml:space="preserve">draft</t>
  </si>
  <si>
    <t xml:space="preserve">Have AI draft from ticket, payment log, and policy only.</t>
  </si>
  <si>
    <t xml:space="preserve">Human reviewer checks evidence, tone, and exception rules.</t>
  </si>
  <si>
    <t xml:space="preserve">send</t>
  </si>
  <si>
    <t xml:space="preserve">Send approved response and record override reason.</t>
  </si>
  <si>
    <t xml:space="preserve">learn</t>
  </si>
  <si>
    <t xml:space="preserve">Review patterns weekly and update coaching or prompts.</t>
  </si>
  <si>
    <t xml:space="preserve">Users cannot find approved procedure details  →  RAG knowledge assistant with source citations</t>
  </si>
  <si>
    <t xml:space="preserve">choices: RAG knowledge assistant with source citations | Autonomous payment approval | Synthetic video generator | Unmeasured chatbot launch</t>
  </si>
  <si>
    <t xml:space="preserve">Staff spend time writing repetitive status notes  →  Drafting copilot with reviewer checklist</t>
  </si>
  <si>
    <t xml:space="preserve">choices: Drafting copilot with reviewer checklist | Delete the workflow owner | Ignore source quality | Use only a trend report</t>
  </si>
  <si>
    <t xml:space="preserve">Tickets stall between teams with unclear next step  →  Workflow triage with explicit handoff states</t>
  </si>
  <si>
    <t xml:space="preserve">choices: Workflow triage with explicit handoff states | A prettier dashboard only | One generic prompt | Full autonomy without logs</t>
  </si>
  <si>
    <t xml:space="preserve">No baseline exists for time, quality, or rework  →  Measurement-first pilot before scale</t>
  </si>
  <si>
    <t xml:space="preserve">choices: Measurement-first pilot before scale | Scale immediately | Pick the newest model | Report prompt volume as ROI</t>
  </si>
  <si>
    <t xml:space="preserve">link</t>
  </si>
  <si>
    <t xml:space="preserve">Shortened or mismatched tracking domain.</t>
  </si>
  <si>
    <t xml:space="preserve">Correct. Domain mismatch is a major fraud signal.</t>
  </si>
  <si>
    <t xml:space="preserve">pressure</t>
  </si>
  <si>
    <t xml:space="preserve">Urgent countdown or threat of failed delivery.</t>
  </si>
  <si>
    <t xml:space="preserve">Correct. Pressure is a common manipulation tactic.</t>
  </si>
  <si>
    <t xml:space="preserve">card</t>
  </si>
  <si>
    <t xml:space="preserve">Request for full card details for a tiny fee.</t>
  </si>
  <si>
    <t xml:space="preserve">Correct. Payment collection should be treated carefully.</t>
  </si>
  <si>
    <t xml:space="preserve">verify</t>
  </si>
  <si>
    <t xml:space="preserve">Need to verify through the carrier app or official site.</t>
  </si>
  <si>
    <t xml:space="preserve">Correct. Official-channel verification is the safer path.</t>
  </si>
  <si>
    <t xml:space="preserve">expected</t>
  </si>
  <si>
    <t xml:space="preserve">No risk because a package is expected.</t>
  </si>
  <si>
    <t xml:space="preserve">Attackers often exploit plausible timing.</t>
  </si>
  <si>
    <t xml:space="preserve">Bank details changed from prior invoices  →  Verify through known vendor contact before payment</t>
  </si>
  <si>
    <t xml:space="preserve">choices: Verify through known vendor contact before payment | Pay faster to keep discount | Use the new bank field silently | Ask AI to approve</t>
  </si>
  <si>
    <t xml:space="preserve">urgent</t>
  </si>
  <si>
    <t xml:space="preserve">Urgent pressure from unfamiliar sender  →  Slow down and follow exception approval path</t>
  </si>
  <si>
    <t xml:space="preserve">choices: Slow down and follow exception approval path | Bypass review | Delete audit notes | Trust the confident wording</t>
  </si>
  <si>
    <t xml:space="preserve">Logo and spacing differ from vendor template  →  Compare against known-good invoice and contract record</t>
  </si>
  <si>
    <t xml:space="preserve">choices: Compare against known-good invoice and contract record | Ignore visual anomalies | Change the payment amount | Use only the email subject</t>
  </si>
  <si>
    <t xml:space="preserve">Approver name appears but no approval trail exists  →  Require auditable approval in the finance system</t>
  </si>
  <si>
    <t xml:space="preserve">choices: Require auditable approval in the finance system | Treat the PDF as approval | Let the vendor decide | Hide uncertainty</t>
  </si>
  <si>
    <t xml:space="preserve">Missing pre-pilot baseline and comparison group.</t>
  </si>
  <si>
    <t xml:space="preserve">Correct. Lift needs a comparison point.</t>
  </si>
  <si>
    <t xml:space="preserve">Unclear sample size and adoption rate.</t>
  </si>
  <si>
    <t xml:space="preserve">Correct. Weak samples can exaggerate results.</t>
  </si>
  <si>
    <t xml:space="preserve">period</t>
  </si>
  <si>
    <t xml:space="preserve">Measurement period and seasonality are not shown.</t>
  </si>
  <si>
    <t xml:space="preserve">Correct. Timing can distort outcomes.</t>
  </si>
  <si>
    <t xml:space="preserve">quality</t>
  </si>
  <si>
    <t xml:space="preserve">No quality, rework, or customer-impact metric.</t>
  </si>
  <si>
    <t xml:space="preserve">Correct. Productivity alone can hide harm.</t>
  </si>
  <si>
    <t xml:space="preserve">color</t>
  </si>
  <si>
    <t xml:space="preserve">The chart uses a muted color palette.</t>
  </si>
  <si>
    <t xml:space="preserve">Color is not the decision-grade evidence issue.</t>
  </si>
  <si>
    <t xml:space="preserve">contain</t>
  </si>
  <si>
    <t xml:space="preserve">Contain the workflow and stop repeat harm.</t>
  </si>
  <si>
    <t xml:space="preserve">Scope affected customers, outputs, and data.</t>
  </si>
  <si>
    <t xml:space="preserve">notify</t>
  </si>
  <si>
    <t xml:space="preserve">Notify stakeholders through approved legal/comms path.</t>
  </si>
  <si>
    <t xml:space="preserve">Fix controls, prompts, evidence checks, and rollback path.</t>
  </si>
  <si>
    <t xml:space="preserve">Run a post-incident review with owner and prevention metrics.</t>
  </si>
  <si>
    <t xml:space="preserve">improvement</t>
  </si>
  <si>
    <t xml:space="preserve">Which term needs explicit approval before customer data can improve vendor models?</t>
  </si>
  <si>
    <t xml:space="preserve">Training/model-improvement data rights and opt-out terms.</t>
  </si>
  <si>
    <t xml:space="preserve">Correct. Data reuse must be explicit.</t>
  </si>
  <si>
    <t xml:space="preserve">The vendor logo placement.</t>
  </si>
  <si>
    <t xml:space="preserve">Branding does not settle data rights.</t>
  </si>
  <si>
    <t xml:space="preserve">The longest possible contract appendix.</t>
  </si>
  <si>
    <t xml:space="preserve">Length is not the issue; enforceable terms are.</t>
  </si>
  <si>
    <t xml:space="preserve">support</t>
  </si>
  <si>
    <t xml:space="preserve">Why does support access change system risk?</t>
  </si>
  <si>
    <t xml:space="preserve">It only changes the user interface.</t>
  </si>
  <si>
    <t xml:space="preserve">Support access can expose data and logs.</t>
  </si>
  <si>
    <t xml:space="preserve">It can expand who sees prompts, files, outputs, or customer records.</t>
  </si>
  <si>
    <t xml:space="preserve">Correct. System access boundaries matter.</t>
  </si>
  <si>
    <t xml:space="preserve">It proves the model is more accurate.</t>
  </si>
  <si>
    <t xml:space="preserve">Access and accuracy are different questions.</t>
  </si>
  <si>
    <t xml:space="preserve">What evidence should the contract preserve?</t>
  </si>
  <si>
    <t xml:space="preserve">Only monthly seat counts.</t>
  </si>
  <si>
    <t xml:space="preserve">Seat counts do not support incident review.</t>
  </si>
  <si>
    <t xml:space="preserve">Only vendor marketing claims.</t>
  </si>
  <si>
    <t xml:space="preserve">Claims are not audit evidence.</t>
  </si>
  <si>
    <t xml:space="preserve">Retention, audit logs, access approvals, incident duties, and exit rights.</t>
  </si>
  <si>
    <t xml:space="preserve">Correct. These make governance enforceable.</t>
  </si>
  <si>
    <t xml:space="preserve">advantage</t>
  </si>
  <si>
    <t xml:space="preserve">Unique proprietary data creates durable customer advantage  →  Build or co-develop with strong controls</t>
  </si>
  <si>
    <t xml:space="preserve">choices: Build or co-develop with strong controls | Buy the cheapest commodity tool | Ignore governance | Measure prompt volume only</t>
  </si>
  <si>
    <t xml:space="preserve">commodity</t>
  </si>
  <si>
    <t xml:space="preserve">Common back-office task with mature vendors  →  Buy/configure and measure adoption</t>
  </si>
  <si>
    <t xml:space="preserve">choices: Buy/configure and measure adoption | Build from scratch for prestige | Treat as board-level innovation | Skip procurement</t>
  </si>
  <si>
    <t xml:space="preserve">unclear</t>
  </si>
  <si>
    <t xml:space="preserve">High risk and unresolved data rights  →  Pause until governance terms are resolved</t>
  </si>
  <si>
    <t xml:space="preserve">choices: Pause until governance terms are resolved | Scale to learn from mistakes | Hide risk from sponsors | Use a longer prompt</t>
  </si>
  <si>
    <t xml:space="preserve">starter</t>
  </si>
  <si>
    <t xml:space="preserve">Clear pain, measurable baseline, low risk  →  Pilot with success and stop criteria</t>
  </si>
  <si>
    <t xml:space="preserve">choices: Pilot with success and stop criteria | Delay until perfect certainty | Launch companywide | Outsource accountability</t>
  </si>
  <si>
    <t xml:space="preserve">outcome</t>
  </si>
  <si>
    <t xml:space="preserve">Workflow outcome vs baseline, such as cycle time or resolved tickets.</t>
  </si>
  <si>
    <t xml:space="preserve">Correct. Value needs a baseline outcome.</t>
  </si>
  <si>
    <t xml:space="preserve">Quality defects, rework, exceptions, and customer-impact incidents.</t>
  </si>
  <si>
    <t xml:space="preserve">Correct. Speed without quality is incomplete.</t>
  </si>
  <si>
    <t xml:space="preserve">adoption</t>
  </si>
  <si>
    <t xml:space="preserve">Sustained use by role and manager coaching coverage.</t>
  </si>
  <si>
    <t xml:space="preserve">Correct. Change evidence matters for scale.</t>
  </si>
  <si>
    <t xml:space="preserve">learning</t>
  </si>
  <si>
    <t xml:space="preserve">Override reasons, user feedback, and prompt/workflow updates.</t>
  </si>
  <si>
    <t xml:space="preserve">Correct. Learning loops show whether the system improves.</t>
  </si>
  <si>
    <t xml:space="preserve">volume</t>
  </si>
  <si>
    <t xml:space="preserve">Total prompts sent as the single success metric.</t>
  </si>
  <si>
    <t xml:space="preserve">Activity volume alone does not prove value.</t>
  </si>
  <si>
    <t xml:space="preserve">fear</t>
  </si>
  <si>
    <t xml:space="preserve">Employees fear blame for AI mistakes  →  Use blameless review focused on controls and learning</t>
  </si>
  <si>
    <t xml:space="preserve">choices: Use blameless review focused on controls and learning | Name and shame reviewers | Hide incidents | Remove all questions</t>
  </si>
  <si>
    <t xml:space="preserve">conflict</t>
  </si>
  <si>
    <t xml:space="preserve">Managers give different rules for the same workflow  →  Publish one approved playbook and escalation path</t>
  </si>
  <si>
    <t xml:space="preserve">choices: Publish one approved playbook and escalation path | Let each team guess | Ask the model to set policy | Track only logins</t>
  </si>
  <si>
    <t xml:space="preserve">Same error repeats after fixes  →  Assign owner for root cause and prevention metrics</t>
  </si>
  <si>
    <t xml:space="preserve">choices: Assign owner for root cause and prevention metrics | Ignore because speed improved | Disable audit logs | Reward prompt volume</t>
  </si>
  <si>
    <t xml:space="preserve">hesitant</t>
  </si>
  <si>
    <t xml:space="preserve">Users avoid useful low-risk AI tasks  →  Coach safe starter workflows with visible review support</t>
  </si>
  <si>
    <t xml:space="preserve">choices: Coach safe starter workflows with visible review support | Mandate high-risk automation | Cancel all training | Hide examples</t>
  </si>
  <si>
    <t xml:space="preserve">reviewer</t>
  </si>
  <si>
    <t xml:space="preserve">Assign a named reviewer for the final source-faithfulness check.</t>
  </si>
  <si>
    <t xml:space="preserve">Correct. Role clarity prevents invisible gaps.</t>
  </si>
  <si>
    <t xml:space="preserve">Compare the final wording against the source exception.</t>
  </si>
  <si>
    <t xml:space="preserve">Correct. The source exception is material.</t>
  </si>
  <si>
    <t xml:space="preserve">Invite and document the teammate challenge before final approval.</t>
  </si>
  <si>
    <t xml:space="preserve">Correct. Challenge culture improves quality.</t>
  </si>
  <si>
    <t xml:space="preserve">Update the team prompt or checklist so exceptions are preserved next time.</t>
  </si>
  <si>
    <t xml:space="preserve">Correct. Collaboration improves through learning loops.</t>
  </si>
  <si>
    <t xml:space="preserve">speed</t>
  </si>
  <si>
    <t xml:space="preserve">Submit quickly because the AI summary is shorter.</t>
  </si>
  <si>
    <t xml:space="preserve">Speed should not erase important source conditions.</t>
  </si>
  <si>
    <t xml:space="preserve">listen</t>
  </si>
  <si>
    <t xml:space="preserve">Review user feedback, override reasons, and adoption barriers.</t>
  </si>
  <si>
    <t xml:space="preserve">Coach managers on safe role-specific workflows.</t>
  </si>
  <si>
    <t xml:space="preserve">Measure quality, value, trust, and support demand against baseline.</t>
  </si>
  <si>
    <t xml:space="preserve">adjust</t>
  </si>
  <si>
    <t xml:space="preserve">Update prompts, controls, and training for weak spots.</t>
  </si>
  <si>
    <t xml:space="preserve">Scale only where evidence and manager support are strong.</t>
  </si>
  <si>
    <t xml:space="preserve">training</t>
  </si>
  <si>
    <t xml:space="preserve">The model gives a plausible answer without the new policy  →  Training data or prior context may be stale</t>
  </si>
  <si>
    <t xml:space="preserve">choices: Training data or prior context may be stale | The answer is automatically audited | The prompt is always perfect | The app has no settings</t>
  </si>
  <si>
    <t xml:space="preserve">retrieval</t>
  </si>
  <si>
    <t xml:space="preserve">The assistant quotes the approved policy repository  →  Retrieval is grounding the answer in a source</t>
  </si>
  <si>
    <t xml:space="preserve">choices: Retrieval is grounding the answer in a source | Memory replaces governance | A benchmark approved the output | The UI color created accuracy</t>
  </si>
  <si>
    <t xml:space="preserve">The app remembers a user preference next week  →  Saved memory is part of the product system</t>
  </si>
  <si>
    <t xml:space="preserve">choices: Saved memory is part of the product system | The base model changed every file | The prompt disappeared | No privacy review can apply</t>
  </si>
  <si>
    <t xml:space="preserve">The user tells AI to cite evidence and mark uncertainty  →  Prompt constraints guide the task and review behavior</t>
  </si>
  <si>
    <t xml:space="preserve">choices: Prompt constraints guide the task and review behavior | A license term | A fraud signal | An adoption metric</t>
  </si>
  <si>
    <t xml:space="preserve">inventory</t>
  </si>
  <si>
    <t xml:space="preserve">Inventory workflows by pain, volume, risk, and owner.</t>
  </si>
  <si>
    <t xml:space="preserve">pattern</t>
  </si>
  <si>
    <t xml:space="preserve">Choose reusable AI patterns such as retrieval, drafting, or triage.</t>
  </si>
  <si>
    <t xml:space="preserve">Define data, tool, review, and escalation controls.</t>
  </si>
  <si>
    <t xml:space="preserve">Pilot with baseline, success, stop, and learning criteria.</t>
  </si>
  <si>
    <t xml:space="preserve">portfolio</t>
  </si>
  <si>
    <t xml:space="preserve">Fund scale only for patterns that meet evidence gates.</t>
  </si>
  <si>
    <t xml:space="preserve">domain</t>
  </si>
  <si>
    <t xml:space="preserve">The link domain does not match the service domain.</t>
  </si>
  <si>
    <t xml:space="preserve">Correct. Domain mismatch is a high-value signal.</t>
  </si>
  <si>
    <t xml:space="preserve">The message uses urgent account-lock pressure.</t>
  </si>
  <si>
    <t xml:space="preserve">Correct. Pressure can push users past verification.</t>
  </si>
  <si>
    <t xml:space="preserve">device</t>
  </si>
  <si>
    <t xml:space="preserve">The device/location claim should be checked independently.</t>
  </si>
  <si>
    <t xml:space="preserve">Correct. Use the account app or known URL.</t>
  </si>
  <si>
    <t xml:space="preserve">channel</t>
  </si>
  <si>
    <t xml:space="preserve">The safest path is opening the service directly, not the message link.</t>
  </si>
  <si>
    <t xml:space="preserve">Correct. Official-channel verification reduces fraud risk.</t>
  </si>
  <si>
    <t xml:space="preserve">The logo looks familiar, so the link is safe.</t>
  </si>
  <si>
    <t xml:space="preserve">Brand visuals can be copied.</t>
  </si>
  <si>
    <t xml:space="preserve">grounding</t>
  </si>
  <si>
    <t xml:space="preserve">Truth requires support from reliable sources or validated evidence.</t>
  </si>
  <si>
    <t xml:space="preserve">Correct. Grounding and verification are separate from style.</t>
  </si>
  <si>
    <t xml:space="preserve">temperature</t>
  </si>
  <si>
    <t xml:space="preserve">Lower temperature may reduce variation but does not guarantee correctness.</t>
  </si>
  <si>
    <t xml:space="preserve">Correct. Sampling settings are not fact checks.</t>
  </si>
  <si>
    <t xml:space="preserve">citation</t>
  </si>
  <si>
    <t xml:space="preserve">Citation style must be checked against the actual source.</t>
  </si>
  <si>
    <t xml:space="preserve">Correct. A citation-looking answer can still mismatch evidence.</t>
  </si>
  <si>
    <t xml:space="preserve">Users should compare important claims with source material before acting.</t>
  </si>
  <si>
    <t xml:space="preserve">Correct. Verification is the practical behavior.</t>
  </si>
  <si>
    <t xml:space="preserve">guarantee</t>
  </si>
  <si>
    <t xml:space="preserve">A confident answer is enough when the prompt is detailed.</t>
  </si>
  <si>
    <t xml:space="preserve">Confidence is not evidence.</t>
  </si>
  <si>
    <t xml:space="preserve">facts</t>
  </si>
  <si>
    <t xml:space="preserve">Tell AI to use only verified notes and approved policy language.</t>
  </si>
  <si>
    <t xml:space="preserve">Correct. Source constraints reduce invented claims.</t>
  </si>
  <si>
    <t xml:space="preserve">unknowns</t>
  </si>
  <si>
    <t xml:space="preserve">Require missing facts to be listed instead of guessed.</t>
  </si>
  <si>
    <t xml:space="preserve">Correct. Unknowns should stay visible.</t>
  </si>
  <si>
    <t xml:space="preserve">Specify output sections: draft, evidence used, and open questions.</t>
  </si>
  <si>
    <t xml:space="preserve">Correct. Format makes review easier.</t>
  </si>
  <si>
    <t xml:space="preserve">Add a final checklist for factual accuracy, tone, and approval needs.</t>
  </si>
  <si>
    <t xml:space="preserve">Correct. Review checks turn drafting into a workflow.</t>
  </si>
  <si>
    <t xml:space="preserve">flair</t>
  </si>
  <si>
    <t xml:space="preserve">Ask for a persuasive answer even if facts are missing.</t>
  </si>
  <si>
    <t xml:space="preserve">Persuasion without evidence creates risk.</t>
  </si>
  <si>
    <t xml:space="preserve">best</t>
  </si>
  <si>
    <t xml:space="preserve">Ask what task the agent will perform, what tools it can access, what approval gates exist, and where a human remains accountable.</t>
  </si>
  <si>
    <t xml:space="preserve">Strong awareness evidence for core ai concepts: it connects the trend to task fit, evidence, controls, and outcomes.</t>
  </si>
  <si>
    <t xml:space="preserve">partial</t>
  </si>
  <si>
    <t xml:space="preserve">Ask which model is newest before deciding whether to try an agent.</t>
  </si>
  <si>
    <t xml:space="preserve">Partial evidence. This notices part of the trend but does not fully test fit, risk, evidence, and operational use.</t>
  </si>
  <si>
    <t xml:space="preserve">weak</t>
  </si>
  <si>
    <t xml:space="preserve">Assume any chatbot with tool access is safe to run autonomously.</t>
  </si>
  <si>
    <t xml:space="preserve">Weak evidence. This over-trusts the technology or misses the practical control problem.</t>
  </si>
  <si>
    <t xml:space="preserve">trend-chasing</t>
  </si>
  <si>
    <t xml:space="preserve">Adopt the agent because competitors are discussing agentic AI.</t>
  </si>
  <si>
    <t xml:space="preserve">Trend-chasing is not readiness. Strong AI users connect new capabilities to evidence, workflow design, and accountable use.</t>
  </si>
  <si>
    <t xml:space="preserve">Create a source-backed brief, define brand/IP checks, review image and video claims separately, and measure revision rate before scaling.</t>
  </si>
  <si>
    <t xml:space="preserve">Strong applied evidence for core ai concepts: it connects the trend to task fit, evidence, controls, and outcomes.</t>
  </si>
  <si>
    <t xml:space="preserve">Generate several variants and choose the one that looks most polished.</t>
  </si>
  <si>
    <t xml:space="preserve">Use the same approval checklist for text, images, and video because they came from one model.</t>
  </si>
  <si>
    <t xml:space="preserve">Skip provenance review because synthetic media is now normal in marketing.</t>
  </si>
  <si>
    <t xml:space="preserve">Test whether retrieved sources are current, relevant, cited, and sufficient for the answer before trusting the assistant.</t>
  </si>
  <si>
    <t xml:space="preserve">Increase the context window and assume the answer will be grounded.</t>
  </si>
  <si>
    <t xml:space="preserve">Fine-tune immediately before checking source quality.</t>
  </si>
  <si>
    <t xml:space="preserve">Remove human review once the assistant includes citations.</t>
  </si>
  <si>
    <t xml:space="preserve">Start read-only, log every proposed action, require approval for customer-impacting writes, monitor failures, and expand authority only after evidence improves.</t>
  </si>
  <si>
    <t xml:space="preserve">Strong proficient evidence for core ai concepts: it connects the trend to task fit, evidence, controls, and outcomes.</t>
  </si>
  <si>
    <t xml:space="preserve">Let the agent handle low-value tasks and review a weekly sample.</t>
  </si>
  <si>
    <t xml:space="preserve">Give the agent broad permissions so it can learn the workflow faster.</t>
  </si>
  <si>
    <t xml:space="preserve">Measure success only by tickets closed per hour.</t>
  </si>
  <si>
    <t xml:space="preserve">Run a task-specific eval with your data, failure cases, cost/latency constraints, safety checks, and reviewer agreement before selecting the model.</t>
  </si>
  <si>
    <t xml:space="preserve">Prefer the domain-specific model if its published benchmark is higher.</t>
  </si>
  <si>
    <t xml:space="preserve">Reject all vendor benchmarks because they are marketing.</t>
  </si>
  <si>
    <t xml:space="preserve">Choose the model with the largest context window.</t>
  </si>
  <si>
    <t xml:space="preserve">Create a tiered AI operating model with use-case intake, risk-based controls, eval evidence, incident review, role training, and measurable value gates.</t>
  </si>
  <si>
    <t xml:space="preserve">Strong advanced evidence for core ai concepts: it connects the trend to task fit, evidence, controls, and outcomes.</t>
  </si>
  <si>
    <t xml:space="preserve">Create one central approval committee for every AI request.</t>
  </si>
  <si>
    <t xml:space="preserve">Let each team pick tools independently to move faster.</t>
  </si>
  <si>
    <t xml:space="preserve">Delay all adoption until regulation is fully settled.</t>
  </si>
  <si>
    <t xml:space="preserve">Compare model capability with data residency, language performance, auditability, vendor exit paths, and local regulatory obligations before designing the rollout.</t>
  </si>
  <si>
    <t xml:space="preserve">Choose the strongest global model and translate outputs locally.</t>
  </si>
  <si>
    <t xml:space="preserve">Use only local models even if they fail critical tasks.</t>
  </si>
  <si>
    <t xml:space="preserve">Treat sovereignty as a hosting choice rather than an operating and governance requirement.</t>
  </si>
  <si>
    <t xml:space="preserve">Strong awareness evidence for generative ai mechanics: it connects the trend to task fit, evidence, controls, and outcomes.</t>
  </si>
  <si>
    <t xml:space="preserve">Strong applied evidence for generative ai mechanics: it connects the trend to task fit, evidence, controls, and outcomes.</t>
  </si>
  <si>
    <t xml:space="preserve">Strong proficient evidence for generative ai mechanics: it connects the trend to task fit, evidence, controls, and outcomes.</t>
  </si>
  <si>
    <t xml:space="preserve">Strong advanced evidence for generative ai mechanics: it connects the trend to task fit, evidence, controls, and outcomes.</t>
  </si>
  <si>
    <t xml:space="preserve">Strong awareness evidence for capability boundaries: it connects the trend to task fit, evidence, controls, and outcomes.</t>
  </si>
  <si>
    <t xml:space="preserve">Strong applied evidence for capability boundaries: it connects the trend to task fit, evidence, controls, and outcomes.</t>
  </si>
  <si>
    <t xml:space="preserve">Strong proficient evidence for capability boundaries: it connects the trend to task fit, evidence, controls, and outcomes.</t>
  </si>
  <si>
    <t xml:space="preserve">Strong advanced evidence for capability boundaries: it connects the trend to task fit, evidence, controls, and outcomes.</t>
  </si>
  <si>
    <t xml:space="preserve">Strong awareness evidence for ai systems literacy: it connects the trend to task fit, evidence, controls, and outcomes.</t>
  </si>
  <si>
    <t xml:space="preserve">Strong applied evidence for ai systems literacy: it connects the trend to task fit, evidence, controls, and outcomes.</t>
  </si>
  <si>
    <t xml:space="preserve">Strong proficient evidence for ai systems literacy: it connects the trend to task fit, evidence, controls, and outcomes.</t>
  </si>
  <si>
    <t xml:space="preserve">Strong advanced evidence for ai systems literacy: it connects the trend to task fit, evidence, controls, and outcomes.</t>
  </si>
  <si>
    <t xml:space="preserve">Strong awareness evidence for prompt design: it connects the trend to task fit, evidence, controls, and outcomes.</t>
  </si>
  <si>
    <t xml:space="preserve">Strong applied evidence for prompt design: it connects the trend to task fit, evidence, controls, and outcomes.</t>
  </si>
  <si>
    <t xml:space="preserve">Strong proficient evidence for prompt design: it connects the trend to task fit, evidence, controls, and outcomes.</t>
  </si>
  <si>
    <t xml:space="preserve">Strong advanced evidence for prompt design: it connects the trend to task fit, evidence, controls, and outcomes.</t>
  </si>
  <si>
    <t xml:space="preserve">Strong awareness evidence for tool selection and integration: it connects the trend to task fit, evidence, controls, and outcomes.</t>
  </si>
  <si>
    <t xml:space="preserve">Strong applied evidence for tool selection and integration: it connects the trend to task fit, evidence, controls, and outcomes.</t>
  </si>
  <si>
    <t xml:space="preserve">Strong proficient evidence for tool selection and integration: it connects the trend to task fit, evidence, controls, and outcomes.</t>
  </si>
  <si>
    <t xml:space="preserve">Strong advanced evidence for tool selection and integration: it connects the trend to task fit, evidence, controls, and outcomes.</t>
  </si>
  <si>
    <t xml:space="preserve">Strong awareness evidence for agentic workflows: it connects the trend to task fit, evidence, controls, and outcomes.</t>
  </si>
  <si>
    <t xml:space="preserve">Strong applied evidence for agentic workflows: it connects the trend to task fit, evidence, controls, and outcomes.</t>
  </si>
  <si>
    <t xml:space="preserve">Strong proficient evidence for agentic workflows: it connects the trend to task fit, evidence, controls, and outcomes.</t>
  </si>
  <si>
    <t xml:space="preserve">Strong advanced evidence for agentic workflows: it connects the trend to task fit, evidence, controls, and outcomes.</t>
  </si>
  <si>
    <t xml:space="preserve">Strong awareness evidence for output refinement: it connects the trend to task fit, evidence, controls, and outcomes.</t>
  </si>
  <si>
    <t xml:space="preserve">Strong applied evidence for output refinement: it connects the trend to task fit, evidence, controls, and outcomes.</t>
  </si>
  <si>
    <t xml:space="preserve">Strong proficient evidence for output refinement: it connects the trend to task fit, evidence, controls, and outcomes.</t>
  </si>
  <si>
    <t xml:space="preserve">Strong advanced evidence for output refinement: it connects the trend to task fit, evidence, controls, and outcomes.</t>
  </si>
  <si>
    <t xml:space="preserve">Strong awareness evidence for source and claim verification: it connects the trend to task fit, evidence, controls, and outcomes.</t>
  </si>
  <si>
    <t xml:space="preserve">Strong applied evidence for source and claim verification: it connects the trend to task fit, evidence, controls, and outcomes.</t>
  </si>
  <si>
    <t xml:space="preserve">Strong proficient evidence for source and claim verification: it connects the trend to task fit, evidence, controls, and outcomes.</t>
  </si>
  <si>
    <t xml:space="preserve">Strong advanced evidence for source and claim verification: it connects the trend to task fit, evidence, controls, and outcomes.</t>
  </si>
  <si>
    <t xml:space="preserve">Strong awareness evidence for data and chart judgment: it connects the trend to task fit, evidence, controls, and outcomes.</t>
  </si>
  <si>
    <t xml:space="preserve">Strong applied evidence for data and chart judgment: it connects the trend to task fit, evidence, controls, and outcomes.</t>
  </si>
  <si>
    <t xml:space="preserve">Strong proficient evidence for data and chart judgment: it connects the trend to task fit, evidence, controls, and outcomes.</t>
  </si>
  <si>
    <t xml:space="preserve">Strong advanced evidence for data and chart judgment: it connects the trend to task fit, evidence, controls, and outcomes.</t>
  </si>
  <si>
    <t xml:space="preserve">Strong awareness evidence for media provenance: it connects the trend to task fit, evidence, controls, and outcomes.</t>
  </si>
  <si>
    <t xml:space="preserve">Strong applied evidence for media provenance: it connects the trend to task fit, evidence, controls, and outcomes.</t>
  </si>
  <si>
    <t xml:space="preserve">Strong proficient evidence for media provenance: it connects the trend to task fit, evidence, controls, and outcomes.</t>
  </si>
  <si>
    <t xml:space="preserve">Strong advanced evidence for media provenance: it connects the trend to task fit, evidence, controls, and outcomes.</t>
  </si>
  <si>
    <t xml:space="preserve">Strong awareness evidence for fraud and manipulation detection: it connects the trend to task fit, evidence, controls, and outcomes.</t>
  </si>
  <si>
    <t xml:space="preserve">Strong applied evidence for fraud and manipulation detection: it connects the trend to task fit, evidence, controls, and outcomes.</t>
  </si>
  <si>
    <t xml:space="preserve">Strong proficient evidence for fraud and manipulation detection: it connects the trend to task fit, evidence, controls, and outcomes.</t>
  </si>
  <si>
    <t xml:space="preserve">Strong advanced evidence for fraud and manipulation detection: it connects the trend to task fit, evidence, controls, and outcomes.</t>
  </si>
  <si>
    <t xml:space="preserve">Strong awareness evidence for data protection and privacy: it connects the trend to task fit, evidence, controls, and outcomes.</t>
  </si>
  <si>
    <t xml:space="preserve">Strong applied evidence for data protection and privacy: it connects the trend to task fit, evidence, controls, and outcomes.</t>
  </si>
  <si>
    <t xml:space="preserve">Strong proficient evidence for data protection and privacy: it connects the trend to task fit, evidence, controls, and outcomes.</t>
  </si>
  <si>
    <t xml:space="preserve">Strong advanced evidence for data protection and privacy: it connects the trend to task fit, evidence, controls, and outcomes.</t>
  </si>
  <si>
    <t xml:space="preserve">Strong awareness evidence for regulatory and policy fluency: it connects the trend to task fit, evidence, controls, and outcomes.</t>
  </si>
  <si>
    <t xml:space="preserve">Strong applied evidence for regulatory and policy fluency: it connects the trend to task fit, evidence, controls, and outcomes.</t>
  </si>
  <si>
    <t xml:space="preserve">Strong proficient evidence for regulatory and policy fluency: it connects the trend to task fit, evidence, controls, and outcomes.</t>
  </si>
  <si>
    <t xml:space="preserve">Strong advanced evidence for regulatory and policy fluency: it connects the trend to task fit, evidence, controls, and outcomes.</t>
  </si>
  <si>
    <t xml:space="preserve">Strong awareness evidence for fairness, ethics, and rights: it connects the trend to task fit, evidence, controls, and outcomes.</t>
  </si>
  <si>
    <t xml:space="preserve">Strong applied evidence for fairness, ethics, and rights: it connects the trend to task fit, evidence, controls, and outcomes.</t>
  </si>
  <si>
    <t xml:space="preserve">Strong proficient evidence for fairness, ethics, and rights: it connects the trend to task fit, evidence, controls, and outcomes.</t>
  </si>
  <si>
    <t xml:space="preserve">Strong advanced evidence for fairness, ethics, and rights: it connects the trend to task fit, evidence, controls, and outcomes.</t>
  </si>
  <si>
    <t xml:space="preserve">Strong awareness evidence for security and governance controls: it connects the trend to task fit, evidence, controls, and outcomes.</t>
  </si>
  <si>
    <t xml:space="preserve">Strong applied evidence for security and governance controls: it connects the trend to task fit, evidence, controls, and outcomes.</t>
  </si>
  <si>
    <t xml:space="preserve">Strong proficient evidence for security and governance controls: it connects the trend to task fit, evidence, controls, and outcomes.</t>
  </si>
  <si>
    <t xml:space="preserve">Strong advanced evidence for security and governance controls: it connects the trend to task fit, evidence, controls, and outcomes.</t>
  </si>
  <si>
    <t xml:space="preserve">Strong awareness evidence for use-case evaluation: it connects the trend to task fit, evidence, controls, and outcomes.</t>
  </si>
  <si>
    <t xml:space="preserve">Strong applied evidence for use-case evaluation: it connects the trend to task fit, evidence, controls, and outcomes.</t>
  </si>
  <si>
    <t xml:space="preserve">Strong proficient evidence for use-case evaluation: it connects the trend to task fit, evidence, controls, and outcomes.</t>
  </si>
  <si>
    <t xml:space="preserve">Strong advanced evidence for use-case evaluation: it connects the trend to task fit, evidence, controls, and outcomes.</t>
  </si>
  <si>
    <t xml:space="preserve">Strong awareness evidence for roi and measurement: it connects the trend to task fit, evidence, controls, and outcomes.</t>
  </si>
  <si>
    <t xml:space="preserve">Strong applied evidence for roi and measurement: it connects the trend to task fit, evidence, controls, and outcomes.</t>
  </si>
  <si>
    <t xml:space="preserve">Strong proficient evidence for roi and measurement: it connects the trend to task fit, evidence, controls, and outcomes.</t>
  </si>
  <si>
    <t xml:space="preserve">Strong advanced evidence for roi and measurement: it connects the trend to task fit, evidence, controls, and outcomes.</t>
  </si>
  <si>
    <t xml:space="preserve">Strong awareness evidence for portfolio prioritization: it connects the trend to task fit, evidence, controls, and outcomes.</t>
  </si>
  <si>
    <t xml:space="preserve">Strong applied evidence for portfolio prioritization: it connects the trend to task fit, evidence, controls, and outcomes.</t>
  </si>
  <si>
    <t xml:space="preserve">Strong proficient evidence for portfolio prioritization: it connects the trend to task fit, evidence, controls, and outcomes.</t>
  </si>
  <si>
    <t xml:space="preserve">Strong advanced evidence for portfolio prioritization: it connects the trend to task fit, evidence, controls, and outcomes.</t>
  </si>
  <si>
    <t xml:space="preserve">Strong awareness evidence for strategy and transformation: it connects the trend to task fit, evidence, controls, and outcomes.</t>
  </si>
  <si>
    <t xml:space="preserve">Strong applied evidence for strategy and transformation: it connects the trend to task fit, evidence, controls, and outcomes.</t>
  </si>
  <si>
    <t xml:space="preserve">Strong proficient evidence for strategy and transformation: it connects the trend to task fit, evidence, controls, and outcomes.</t>
  </si>
  <si>
    <t xml:space="preserve">Strong advanced evidence for strategy and transformation: it connects the trend to task fit, evidence, controls, and outcomes.</t>
  </si>
  <si>
    <t xml:space="preserve">Strong awareness evidence for human-ai role clarity: it connects the trend to task fit, evidence, controls, and outcomes.</t>
  </si>
  <si>
    <t xml:space="preserve">Strong applied evidence for human-ai role clarity: it connects the trend to task fit, evidence, controls, and outcomes.</t>
  </si>
  <si>
    <t xml:space="preserve">Strong proficient evidence for human-ai role clarity: it connects the trend to task fit, evidence, controls, and outcomes.</t>
  </si>
  <si>
    <t xml:space="preserve">Strong advanced evidence for human-ai role clarity: it connects the trend to task fit, evidence, controls, and outcomes.</t>
  </si>
  <si>
    <t xml:space="preserve">Strong awareness evidence for trust and challenge culture: it connects the trend to task fit, evidence, controls, and outcomes.</t>
  </si>
  <si>
    <t xml:space="preserve">Strong applied evidence for trust and challenge culture: it connects the trend to task fit, evidence, controls, and outcomes.</t>
  </si>
  <si>
    <t xml:space="preserve">Strong proficient evidence for trust and challenge culture: it connects the trend to task fit, evidence, controls, and outcomes.</t>
  </si>
  <si>
    <t xml:space="preserve">Strong advanced evidence for trust and challenge culture: it connects the trend to task fit, evidence, controls, and outcomes.</t>
  </si>
  <si>
    <t xml:space="preserve">Strong awareness evidence for change enablement: it connects the trend to task fit, evidence, controls, and outcomes.</t>
  </si>
  <si>
    <t xml:space="preserve">Strong applied evidence for change enablement: it connects the trend to task fit, evidence, controls, and outcomes.</t>
  </si>
  <si>
    <t xml:space="preserve">Strong proficient evidence for change enablement: it connects the trend to task fit, evidence, controls, and outcomes.</t>
  </si>
  <si>
    <t xml:space="preserve">Strong advanced evidence for change enablement: it connects the trend to task fit, evidence, controls, and outcomes.</t>
  </si>
  <si>
    <t xml:space="preserve">Strong awareness evidence for learning and improvement loops: it connects the trend to task fit, evidence, controls, and outcomes.</t>
  </si>
  <si>
    <t xml:space="preserve">Strong applied evidence for learning and improvement loops: it connects the trend to task fit, evidence, controls, and outcomes.</t>
  </si>
  <si>
    <t xml:space="preserve">Strong proficient evidence for learning and improvement loops: it connects the trend to task fit, evidence, controls, and outcomes.</t>
  </si>
  <si>
    <t xml:space="preserve">Strong advanced evidence for learning and improvement loops: it connects the trend to task fit, evidence, controls, and outcomes.</t>
  </si>
  <si>
    <t xml:space="preserve">advanced-control</t>
  </si>
  <si>
    <t xml:space="preserve">Define success criteria, evidence requirements, ownership, and review controls for core ai concepts before scaling.</t>
  </si>
  <si>
    <t xml:space="preserve">Strong advanced evidence. The answer connects core ai concepts to measurable outcomes, constraints, and accountable operation.</t>
  </si>
  <si>
    <t xml:space="preserve">speed-first</t>
  </si>
  <si>
    <t xml:space="preserve">Scale the workflow now because early users reported speed improvements.</t>
  </si>
  <si>
    <t xml:space="preserve">Speed is useful, but advanced readiness requires quality, risk, ownership, and evidence checks before scale.</t>
  </si>
  <si>
    <t xml:space="preserve">tool-only</t>
  </si>
  <si>
    <t xml:space="preserve">Switch to a newer model or tool and assume the competency gap is resolved.</t>
  </si>
  <si>
    <t xml:space="preserve">Tool capability does not replace competency evidence, workflow design, or governance.</t>
  </si>
  <si>
    <t xml:space="preserve">block-without-learning</t>
  </si>
  <si>
    <t xml:space="preserve">Stop all AI use in this area without preserving evidence or defining a safer path.</t>
  </si>
  <si>
    <t xml:space="preserve">Caution may be appropriate, but advanced practice keeps evidence, learns from failure, and defines controlled next steps.</t>
  </si>
  <si>
    <t xml:space="preserve">Define success criteria, evidence requirements, ownership, and review controls for generative ai mechanics before scaling.</t>
  </si>
  <si>
    <t xml:space="preserve">Strong advanced evidence. The answer connects generative ai mechanics to measurable outcomes, constraints, and accountable operation.</t>
  </si>
  <si>
    <t xml:space="preserve">Define success criteria, evidence requirements, ownership, and review controls for capability boundaries before scaling.</t>
  </si>
  <si>
    <t xml:space="preserve">Strong advanced evidence. The answer connects capability boundaries to measurable outcomes, constraints, and accountable operation.</t>
  </si>
  <si>
    <t xml:space="preserve">Define success criteria, evidence requirements, ownership, and review controls for ai systems literacy before scaling.</t>
  </si>
  <si>
    <t xml:space="preserve">Strong advanced evidence. The answer connects ai systems literacy to measurable outcomes, constraints, and accountable operation.</t>
  </si>
  <si>
    <t xml:space="preserve">Define success criteria, evidence requirements, ownership, and review controls for prompt design before scaling.</t>
  </si>
  <si>
    <t xml:space="preserve">Strong advanced evidence. The answer connects prompt design to measurable outcomes, constraints, and accountable operation.</t>
  </si>
  <si>
    <t xml:space="preserve">Define success criteria, evidence requirements, ownership, and review controls for tool selection and integration before scaling.</t>
  </si>
  <si>
    <t xml:space="preserve">Strong advanced evidence. The answer connects tool selection and integration to measurable outcomes, constraints, and accountable operation.</t>
  </si>
  <si>
    <t xml:space="preserve">Define success criteria, evidence requirements, ownership, and review controls for agentic workflows before scaling.</t>
  </si>
  <si>
    <t xml:space="preserve">Strong advanced evidence. The answer connects agentic workflows to measurable outcomes, constraints, and accountable operation.</t>
  </si>
  <si>
    <t xml:space="preserve">Define success criteria, evidence requirements, ownership, and review controls for output refinement before scaling.</t>
  </si>
  <si>
    <t xml:space="preserve">Strong advanced evidence. The answer connects output refinement to measurable outcomes, constraints, and accountable operation.</t>
  </si>
  <si>
    <t xml:space="preserve">Define success criteria, evidence requirements, ownership, and review controls for source and claim verification before scaling.</t>
  </si>
  <si>
    <t xml:space="preserve">Strong advanced evidence. The answer connects source and claim verification to measurable outcomes, constraints, and accountable operation.</t>
  </si>
  <si>
    <t xml:space="preserve">Define success criteria, evidence requirements, ownership, and review controls for data and chart judgment before scaling.</t>
  </si>
  <si>
    <t xml:space="preserve">Strong advanced evidence. The answer connects data and chart judgment to measurable outcomes, constraints, and accountable operation.</t>
  </si>
  <si>
    <t xml:space="preserve">Define success criteria, evidence requirements, ownership, and review controls for media provenance before scaling.</t>
  </si>
  <si>
    <t xml:space="preserve">Strong advanced evidence. The answer connects media provenance to measurable outcomes, constraints, and accountable operation.</t>
  </si>
  <si>
    <t xml:space="preserve">Define success criteria, evidence requirements, ownership, and review controls for fraud and manipulation detection before scaling.</t>
  </si>
  <si>
    <t xml:space="preserve">Strong advanced evidence. The answer connects fraud and manipulation detection to measurable outcomes, constraints, and accountable operation.</t>
  </si>
  <si>
    <t xml:space="preserve">Define success criteria, evidence requirements, ownership, and review controls for data protection and privacy before scaling.</t>
  </si>
  <si>
    <t xml:space="preserve">Strong advanced evidence. The answer connects data protection and privacy to measurable outcomes, constraints, and accountable operation.</t>
  </si>
  <si>
    <t xml:space="preserve">Define success criteria, evidence requirements, ownership, and review controls for regulatory and policy fluency before scaling.</t>
  </si>
  <si>
    <t xml:space="preserve">Strong advanced evidence. The answer connects regulatory and policy fluency to measurable outcomes, constraints, and accountable operation.</t>
  </si>
  <si>
    <t xml:space="preserve">Define success criteria, evidence requirements, ownership, and review controls for fairness, ethics, and rights before scaling.</t>
  </si>
  <si>
    <t xml:space="preserve">Strong advanced evidence. The answer connects fairness, ethics, and rights to measurable outcomes, constraints, and accountable operation.</t>
  </si>
  <si>
    <t xml:space="preserve">Define success criteria, evidence requirements, ownership, and review controls for security and governance controls before scaling.</t>
  </si>
  <si>
    <t xml:space="preserve">Strong advanced evidence. The answer connects security and governance controls to measurable outcomes, constraints, and accountable operation.</t>
  </si>
  <si>
    <t xml:space="preserve">Define success criteria, evidence requirements, ownership, and review controls for use-case evaluation before scaling.</t>
  </si>
  <si>
    <t xml:space="preserve">Strong advanced evidence. The answer connects use-case evaluation to measurable outcomes, constraints, and accountable operation.</t>
  </si>
  <si>
    <t xml:space="preserve">Define success criteria, evidence requirements, ownership, and review controls for roi and measurement before scaling.</t>
  </si>
  <si>
    <t xml:space="preserve">Strong advanced evidence. The answer connects roi and measurement to measurable outcomes, constraints, and accountable operation.</t>
  </si>
  <si>
    <t xml:space="preserve">Define success criteria, evidence requirements, ownership, and review controls for portfolio prioritization before scaling.</t>
  </si>
  <si>
    <t xml:space="preserve">Strong advanced evidence. The answer connects portfolio prioritization to measurable outcomes, constraints, and accountable operation.</t>
  </si>
  <si>
    <t xml:space="preserve">Define success criteria, evidence requirements, ownership, and review controls for strategy and transformation before scaling.</t>
  </si>
  <si>
    <t xml:space="preserve">Strong advanced evidence. The answer connects strategy and transformation to measurable outcomes, constraints, and accountable operation.</t>
  </si>
  <si>
    <t xml:space="preserve">Define success criteria, evidence requirements, ownership, and review controls for human-ai role clarity before scaling.</t>
  </si>
  <si>
    <t xml:space="preserve">Strong advanced evidence. The answer connects human-ai role clarity to measurable outcomes, constraints, and accountable operation.</t>
  </si>
  <si>
    <t xml:space="preserve">Define success criteria, evidence requirements, ownership, and review controls for trust and challenge culture before scaling.</t>
  </si>
  <si>
    <t xml:space="preserve">Strong advanced evidence. The answer connects trust and challenge culture to measurable outcomes, constraints, and accountable operation.</t>
  </si>
  <si>
    <t xml:space="preserve">Define success criteria, evidence requirements, ownership, and review controls for change enablement before scaling.</t>
  </si>
  <si>
    <t xml:space="preserve">Strong advanced evidence. The answer connects change enablement to measurable outcomes, constraints, and accountable operation.</t>
  </si>
  <si>
    <t xml:space="preserve">Define success criteria, evidence requirements, ownership, and review controls for learning and improvement loops before scaling.</t>
  </si>
  <si>
    <t xml:space="preserve">Strong advanced evidence. The answer connects learning and improvement loops to measurable outcomes, constraints, and accountable operation.</t>
  </si>
  <si>
    <t xml:space="preserve">What is the most accurate plain-language description of an LLM?</t>
  </si>
  <si>
    <t xml:space="preserve">A database that stores only verified facts.</t>
  </si>
  <si>
    <t xml:space="preserve">LLMs can produce facts, but they are not verified fact databases.</t>
  </si>
  <si>
    <t xml:space="preserve">A model that predicts and generates language from learned patterns.</t>
  </si>
  <si>
    <t xml:space="preserve">Correct. This is the core idea behind LLM behavior.</t>
  </si>
  <si>
    <t xml:space="preserve">A workflow tool that always checks company policy.</t>
  </si>
  <si>
    <t xml:space="preserve">That requires additional tools or retrieval, not just the LLM.</t>
  </si>
  <si>
    <t xml:space="preserve">What does RAG add to a chatbot?</t>
  </si>
  <si>
    <t xml:space="preserve">Relevant source retrieval that the model can use while answering.</t>
  </si>
  <si>
    <t xml:space="preserve">Correct. RAG can ground answers in retrieved material.</t>
  </si>
  <si>
    <t xml:space="preserve">A guarantee that every answer is legally approved.</t>
  </si>
  <si>
    <t xml:space="preserve">RAG helps, but approval still needs governance and review.</t>
  </si>
  <si>
    <t xml:space="preserve">A larger screen for writing prompts.</t>
  </si>
  <si>
    <t xml:space="preserve">No. RAG is about retrieving context, not interface size.</t>
  </si>
  <si>
    <t xml:space="preserve">hallucination</t>
  </si>
  <si>
    <t xml:space="preserve">What is a hallucination risk?</t>
  </si>
  <si>
    <t xml:space="preserve">The model refuses to answer unsafe content.</t>
  </si>
  <si>
    <t xml:space="preserve">That is refusal behavior, not hallucination.</t>
  </si>
  <si>
    <t xml:space="preserve">The model is slower than expected.</t>
  </si>
  <si>
    <t xml:space="preserve">Latency is not hallucination.</t>
  </si>
  <si>
    <t xml:space="preserve">The model gives a fluent answer that is unsupported or false.</t>
  </si>
  <si>
    <t xml:space="preserve">Correct. Fluency can hide weak evidence.</t>
  </si>
  <si>
    <t xml:space="preserve">The app matters because tools and memory can expose or act on user data.</t>
  </si>
  <si>
    <t xml:space="preserve">Correct. System literacy includes tools, permissions, memory, and context.</t>
  </si>
  <si>
    <t xml:space="preserve">The model name alone tells us all operational risk.</t>
  </si>
  <si>
    <t xml:space="preserve">The model matters, but the app configuration can change the risk substantially.</t>
  </si>
  <si>
    <t xml:space="preserve">Privacy is only relevant if the chatbot writes code.</t>
  </si>
  <si>
    <t xml:space="preserve">Privacy risk depends on data access and use, not only coding.</t>
  </si>
  <si>
    <t xml:space="preserve">The safest fix is to disable every AI tool permanently.</t>
  </si>
  <si>
    <t xml:space="preserve">Too blunt. Better to scope connectors, permissions, and review gates.</t>
  </si>
  <si>
    <t xml:space="preserve">Limit the assistant to a branch, issue, and allowed files.</t>
  </si>
  <si>
    <t xml:space="preserve">generate</t>
  </si>
  <si>
    <t xml:space="preserve">Generate the patch with tests and a short rationale.</t>
  </si>
  <si>
    <t xml:space="preserve">Run lint, unit tests, security checks, and dependency review.</t>
  </si>
  <si>
    <t xml:space="preserve">Require human pull-request review for behavior and risk.</t>
  </si>
  <si>
    <t xml:space="preserve">Merge and monitor production signals after approval.</t>
  </si>
  <si>
    <t xml:space="preserve">Check whether the benchmark task matches the support workflow.</t>
  </si>
  <si>
    <t xml:space="preserve">Correct. Benchmark fit matters.</t>
  </si>
  <si>
    <t xml:space="preserve">leakage</t>
  </si>
  <si>
    <t xml:space="preserve">Look for contamination, leakage, or overfitting warnings.</t>
  </si>
  <si>
    <t xml:space="preserve">Correct. Public benchmarks can be gamed or saturated.</t>
  </si>
  <si>
    <t xml:space="preserve">recency</t>
  </si>
  <si>
    <t xml:space="preserve">Compare dates, model version, and evaluation setting.</t>
  </si>
  <si>
    <t xml:space="preserve">Correct. Stale or mismatched evaluations mislead.</t>
  </si>
  <si>
    <t xml:space="preserve">cost</t>
  </si>
  <si>
    <t xml:space="preserve">Test latency, cost, safety behavior, and failure cases in the real workflow.</t>
  </si>
  <si>
    <t xml:space="preserve">Correct. Operational fit matters beyond score.</t>
  </si>
  <si>
    <t xml:space="preserve">brand</t>
  </si>
  <si>
    <t xml:space="preserve">Choose the best-known vendor because it is probably safer.</t>
  </si>
  <si>
    <t xml:space="preserve">Brand reputation is not enough evidence.</t>
  </si>
  <si>
    <t xml:space="preserve">image</t>
  </si>
  <si>
    <t xml:space="preserve">The image has inconsistent product details across views.</t>
  </si>
  <si>
    <t xml:space="preserve">Correct. Visual inconsistency is a useful signal.</t>
  </si>
  <si>
    <t xml:space="preserve">seller</t>
  </si>
  <si>
    <t xml:space="preserve">The seller is new and has little verifiable history.</t>
  </si>
  <si>
    <t xml:space="preserve">Correct. Provenance matters.</t>
  </si>
  <si>
    <t xml:space="preserve">reviews</t>
  </si>
  <si>
    <t xml:space="preserve">Reviews repeat similar wording and dates.</t>
  </si>
  <si>
    <t xml:space="preserve">Correct. Review patterns can be suspicious.</t>
  </si>
  <si>
    <t xml:space="preserve">payment</t>
  </si>
  <si>
    <t xml:space="preserve">Payment or warranty terms differ from the platform policy.</t>
  </si>
  <si>
    <t xml:space="preserve">Correct. Off-platform terms increase risk.</t>
  </si>
  <si>
    <t xml:space="preserve">discount</t>
  </si>
  <si>
    <t xml:space="preserve">Any discount means the item is fake.</t>
  </si>
  <si>
    <t xml:space="preserve">A discount alone is not enough evidence.</t>
  </si>
  <si>
    <t xml:space="preserve">License field is unclear for commercial use  →  Legal/license review before deployment</t>
  </si>
  <si>
    <t xml:space="preserve">choices: Legal/license review before deployment | Ignore because the model is public | Increase temperature | Skip monitoring</t>
  </si>
  <si>
    <t xml:space="preserve">Training data summary omits sensitive-data handling  →  Data provenance and privacy check</t>
  </si>
  <si>
    <t xml:space="preserve">choices: Data provenance and privacy check | Use in production immediately | Only change the UI | Ask marketing to approve</t>
  </si>
  <si>
    <t xml:space="preserve">Safety evaluation covers English chat only  →  Test in local language and workflow</t>
  </si>
  <si>
    <t xml:space="preserve">choices: Test in local language and workflow | Assume scores transfer | Disable all logging | Remove user feedback</t>
  </si>
  <si>
    <t xml:space="preserve">Known limitation: may generate unsafe advice  →  Add guardrails and human escalation</t>
  </si>
  <si>
    <t xml:space="preserve">choices: Add guardrails and human escalation | Promote as autonomous expert | Hide limitation from users | Use only longer prompts</t>
  </si>
  <si>
    <t xml:space="preserve">Named accountable owner for the workflow and exceptions.</t>
  </si>
  <si>
    <t xml:space="preserve">Correct. Ownership must be visible.</t>
  </si>
  <si>
    <t xml:space="preserve">reason</t>
  </si>
  <si>
    <t xml:space="preserve">Reason codes for the agent actions and recommendations.</t>
  </si>
  <si>
    <t xml:space="preserve">Correct. Decisions need traceability.</t>
  </si>
  <si>
    <t xml:space="preserve">Approval gate for sensitive or customer-impacting changes.</t>
  </si>
  <si>
    <t xml:space="preserve">Correct. High-impact actions need review gates.</t>
  </si>
  <si>
    <t xml:space="preserve">incident</t>
  </si>
  <si>
    <t xml:space="preserve">Escalation route when the agent makes a harmful change.</t>
  </si>
  <si>
    <t xml:space="preserve">Correct. Incident response is part of governance.</t>
  </si>
  <si>
    <t xml:space="preserve">A friendlier assistant avatar.</t>
  </si>
  <si>
    <t xml:space="preserve">Style does not solve accountability gaps.</t>
  </si>
  <si>
    <t xml:space="preserve">A flashy chatbot demo with no baseline or owner.</t>
  </si>
  <si>
    <t xml:space="preserve">A demo without a baseline is weak evidence.</t>
  </si>
  <si>
    <t xml:space="preserve">A ticket-triage draft tool with baseline handle time, review gate, and stop criteria.</t>
  </si>
  <si>
    <t xml:space="preserve">Correct. This has value evidence and pilot discipline.</t>
  </si>
  <si>
    <t xml:space="preserve">A full automation plan for refunds before testing edge cases.</t>
  </si>
  <si>
    <t xml:space="preserve">Too much risk before validation.</t>
  </si>
  <si>
    <t xml:space="preserve">A company-wide rollout because competitors mention AI in earnings calls.</t>
  </si>
  <si>
    <t xml:space="preserve">Trend pressure is not a business case.</t>
  </si>
  <si>
    <t xml:space="preserve">AI writes first reply draft  →  Human verifies facts before sending</t>
  </si>
  <si>
    <t xml:space="preserve">choices: Human verifies facts before sending | AI approves refund | Remove review notes | Hide uncertainty</t>
  </si>
  <si>
    <t xml:space="preserve">override</t>
  </si>
  <si>
    <t xml:space="preserve">Human changes the AI recommendation  →  Capture override reason for learning</t>
  </si>
  <si>
    <t xml:space="preserve">choices: Capture override reason for learning | Punish the reviewer | Delete the draft | Block all future AI use</t>
  </si>
  <si>
    <t xml:space="preserve">edge</t>
  </si>
  <si>
    <t xml:space="preserve">Ticket includes legal or safety risk  →  Escalate to specialist owner</t>
  </si>
  <si>
    <t xml:space="preserve">choices: Escalate to specialist owner | Let AI decide faster | Use a more cheerful tone | Ignore until weekly review</t>
  </si>
  <si>
    <t xml:space="preserve">Repeated AI errors appear in one topic  →  Update guidance and coaching loop</t>
  </si>
  <si>
    <t xml:space="preserve">choices: Update guidance and coaching loop | Increase confidence score | Use fewer sources | Automate every case</t>
  </si>
  <si>
    <t xml:space="preserve">Compare usage with baseline productivity and quality measures.</t>
  </si>
  <si>
    <t xml:space="preserve">Correct. Usage alone is not value.</t>
  </si>
  <si>
    <t xml:space="preserve">segments</t>
  </si>
  <si>
    <t xml:space="preserve">Segment adoption by role/team to find where support is needed.</t>
  </si>
  <si>
    <t xml:space="preserve">Correct. Averages hide adoption gaps.</t>
  </si>
  <si>
    <t xml:space="preserve">coaching</t>
  </si>
  <si>
    <t xml:space="preserve">Create coaching loops from common review/override patterns.</t>
  </si>
  <si>
    <t xml:space="preserve">Correct. Change requires learning loops.</t>
  </si>
  <si>
    <t xml:space="preserve">Track output quality, customer impact, and confidence together.</t>
  </si>
  <si>
    <t xml:space="preserve">Correct. Responsible adoption balances speed and quality.</t>
  </si>
  <si>
    <t xml:space="preserve">mandate</t>
  </si>
  <si>
    <t xml:space="preserve">Mandate daily usage because higher usage proves transformation.</t>
  </si>
  <si>
    <t xml:space="preserve">Mandated usage can increase activity without value or trust.</t>
  </si>
  <si>
    <t xml:space="preserve">context</t>
  </si>
  <si>
    <t xml:space="preserve">The answer improves when the user pastes the policy excerpt  →  Context</t>
  </si>
  <si>
    <t xml:space="preserve">choices: Context | Memory | RAG | Fine-tuning</t>
  </si>
  <si>
    <t xml:space="preserve">The app searches a source library before answering  →  RAG</t>
  </si>
  <si>
    <t xml:space="preserve">choices: RAG | Temperature | Memory | Vision model</t>
  </si>
  <si>
    <t xml:space="preserve">The assistant remembers a saved user preference next week  →  Memory</t>
  </si>
  <si>
    <t xml:space="preserve">choices: Memory | Context | Benchmark | Embedding only</t>
  </si>
  <si>
    <t xml:space="preserve">false</t>
  </si>
  <si>
    <t xml:space="preserve">The assistant invents a citation that looks real  →  Hallucination</t>
  </si>
  <si>
    <t xml:space="preserve">choices: Hallucination | Grounding | Calibration | Latency</t>
  </si>
  <si>
    <t xml:space="preserve">Which tools can act, read, write, or send?</t>
  </si>
  <si>
    <t xml:space="preserve">Correct. Tool authority changes system risk.</t>
  </si>
  <si>
    <t xml:space="preserve">What data crosses each connector boundary?</t>
  </si>
  <si>
    <t xml:space="preserve">Correct. Data movement must be visible.</t>
  </si>
  <si>
    <t xml:space="preserve">Can reviewers inspect prompts, tool calls, outputs, and approvals?</t>
  </si>
  <si>
    <t xml:space="preserve">Correct. Auditability is required.</t>
  </si>
  <si>
    <t xml:space="preserve">fallback</t>
  </si>
  <si>
    <t xml:space="preserve">What happens when a tool fails or returns conflicting evidence?</t>
  </si>
  <si>
    <t xml:space="preserve">Correct. Failure modes are part of system design.</t>
  </si>
  <si>
    <t xml:space="preserve">tone</t>
  </si>
  <si>
    <t xml:space="preserve">Whether the assistant sounds enthusiastic enough.</t>
  </si>
  <si>
    <t xml:space="preserve">Tone is secondary to permissions, data flow, and auditability.</t>
  </si>
  <si>
    <t xml:space="preserve">triage</t>
  </si>
  <si>
    <t xml:space="preserve">Classify ticket risk and missing evidence.</t>
  </si>
  <si>
    <t xml:space="preserve">retrieve</t>
  </si>
  <si>
    <t xml:space="preserve">Pull approved policy and account facts.</t>
  </si>
  <si>
    <t xml:space="preserve">Draft reply with evidence and uncertainty notes.</t>
  </si>
  <si>
    <t xml:space="preserve">Human reviews refunds, disputes, and legal-risk cases.</t>
  </si>
  <si>
    <t xml:space="preserve">Log overrides and update guidance.</t>
  </si>
  <si>
    <t xml:space="preserve">The chart needs baseline, comparison group, and quality checks before causal claims.</t>
  </si>
  <si>
    <t xml:space="preserve">Correct. Chart review needs causality and quality evidence.</t>
  </si>
  <si>
    <t xml:space="preserve">The claim is true because the chart uses a large number.</t>
  </si>
  <si>
    <t xml:space="preserve">A large number does not prove causality.</t>
  </si>
  <si>
    <t xml:space="preserve">The chart is useless because all AI dashboards are biased.</t>
  </si>
  <si>
    <t xml:space="preserve">Too broad. The right critique is specific evidence quality.</t>
  </si>
  <si>
    <t xml:space="preserve">The only issue is the chart color choice.</t>
  </si>
  <si>
    <t xml:space="preserve">Visual polish is not the core evidence problem.</t>
  </si>
  <si>
    <t xml:space="preserve">minimize</t>
  </si>
  <si>
    <t xml:space="preserve">Use only fields needed for the variance task.</t>
  </si>
  <si>
    <t xml:space="preserve">Correct. Minimize data exposure.</t>
  </si>
  <si>
    <t xml:space="preserve">mask</t>
  </si>
  <si>
    <t xml:space="preserve">Remove or mask bank details and personal identifiers.</t>
  </si>
  <si>
    <t xml:space="preserve">Correct. Sensitive data should not be exposed unnecessarily.</t>
  </si>
  <si>
    <t xml:space="preserve">approved</t>
  </si>
  <si>
    <t xml:space="preserve">Use an approved tool and policy path for financial data.</t>
  </si>
  <si>
    <t xml:space="preserve">Correct. Tool approval matters.</t>
  </si>
  <si>
    <t xml:space="preserve">Keep a record of data source, prompt, output, and review.</t>
  </si>
  <si>
    <t xml:space="preserve">Correct. Audit evidence supports accountability.</t>
  </si>
  <si>
    <t xml:space="preserve">paste</t>
  </si>
  <si>
    <t xml:space="preserve">Paste everything so the AI has maximum context.</t>
  </si>
  <si>
    <t xml:space="preserve">More context can create unnecessary privacy and security risk.</t>
  </si>
  <si>
    <t xml:space="preserve">Classify data sensitivity and permitted use.</t>
  </si>
  <si>
    <t xml:space="preserve">contract</t>
  </si>
  <si>
    <t xml:space="preserve">Review data rights, retention, subcontractors, and audit clauses.</t>
  </si>
  <si>
    <t xml:space="preserve">Define access controls, monitoring, and incident obligations.</t>
  </si>
  <si>
    <t xml:space="preserve">Run a limited pilot with exit criteria.</t>
  </si>
  <si>
    <t xml:space="preserve">Approve expansion only after evidence and signoff.</t>
  </si>
  <si>
    <t xml:space="preserve">Forecast accuracy before and after AI on comparable periods.</t>
  </si>
  <si>
    <t xml:space="preserve">Correct. Improvement needs a baseline.</t>
  </si>
  <si>
    <t xml:space="preserve">accuracy</t>
  </si>
  <si>
    <t xml:space="preserve">Error rates by deal stage, stale activity, and risk flags.</t>
  </si>
  <si>
    <t xml:space="preserve">Correct. Accuracy must be segmented.</t>
  </si>
  <si>
    <t xml:space="preserve">segment</t>
  </si>
  <si>
    <t xml:space="preserve">Evidence by team, market, and deal type.</t>
  </si>
  <si>
    <t xml:space="preserve">Correct. Averages can hide failure modes.</t>
  </si>
  <si>
    <t xml:space="preserve">action</t>
  </si>
  <si>
    <t xml:space="preserve">Whether recommendations change seller behavior and outcomes.</t>
  </si>
  <si>
    <t xml:space="preserve">Correct. Value depends on decisions, not predictions alone.</t>
  </si>
  <si>
    <t xml:space="preserve">confidence</t>
  </si>
  <si>
    <t xml:space="preserve">The model confidence number by itself.</t>
  </si>
  <si>
    <t xml:space="preserve">Confidence alone is not business evidence.</t>
  </si>
  <si>
    <t xml:space="preserve">Common workflow, mature vendors, low differentiation  →  Buy or configure</t>
  </si>
  <si>
    <t xml:space="preserve">choices: Buy or configure | Build core IP | Pause for policy | Launch companywide</t>
  </si>
  <si>
    <t xml:space="preserve">core</t>
  </si>
  <si>
    <t xml:space="preserve">Unique customer data and strategic differentiation  →  Build or co-develop with controls</t>
  </si>
  <si>
    <t xml:space="preserve">choices: Build or co-develop with controls | Ignore governance | Buy cheapest tool | Avoid AI entirely</t>
  </si>
  <si>
    <t xml:space="preserve">High impact, unclear data rights, weak auditability  →  Pause until controls are resolved</t>
  </si>
  <si>
    <t xml:space="preserve">choices: Pause until controls are resolved | Scale immediately | Hide risk in pilot notes | Use only a better prompt</t>
  </si>
  <si>
    <t xml:space="preserve">ready</t>
  </si>
  <si>
    <t xml:space="preserve">Clear baseline, low risk, strong owner, measurable gain  →  Pilot with scale gate</t>
  </si>
  <si>
    <t xml:space="preserve">choices: Pilot with scale gate | Wait for perfect certainty | Skip measurement | Treat as research only</t>
  </si>
  <si>
    <t xml:space="preserve">Give managers example workflows, review routines, and a feedback channel.</t>
  </si>
  <si>
    <t xml:space="preserve">Correct. Adoption needs practical support and learning loops.</t>
  </si>
  <si>
    <t xml:space="preserve">Send one announcement saying the tool is now available.</t>
  </si>
  <si>
    <t xml:space="preserve">Awareness alone rarely changes behavior.</t>
  </si>
  <si>
    <t xml:space="preserve">Measure only login count and call it transformation.</t>
  </si>
  <si>
    <t xml:space="preserve">Usage alone does not prove capability or value.</t>
  </si>
  <si>
    <t xml:space="preserve">Tell teams to experiment without any guidance or guardrails.</t>
  </si>
  <si>
    <t xml:space="preserve">Experimentation still needs safety, support, and shared learning.</t>
  </si>
  <si>
    <t xml:space="preserve">Accept the answer if the writing is fluent.</t>
  </si>
  <si>
    <t xml:space="preserve">Fluency is not evidence of accuracy.</t>
  </si>
  <si>
    <t xml:space="preserve">Check whether the sources support the claim before using it.</t>
  </si>
  <si>
    <t xml:space="preserve">Strong. AI outputs need source and claim verification.</t>
  </si>
  <si>
    <t xml:space="preserve">Reject all chatbot answers because they are never reliable.</t>
  </si>
  <si>
    <t xml:space="preserve">Too broad. The right move is calibrated verification.</t>
  </si>
  <si>
    <t xml:space="preserve">Ask the chatbot to be more confident.</t>
  </si>
  <si>
    <t xml:space="preserve">Confidence wording does not improve truthfulness.</t>
  </si>
  <si>
    <t xml:space="preserve">Use retrieval from the approved policy repository.</t>
  </si>
  <si>
    <t xml:space="preserve">Correct. Retrieval grounds the answer in current approved material.</t>
  </si>
  <si>
    <t xml:space="preserve">Rely on the model training data.</t>
  </si>
  <si>
    <t xml:space="preserve">Training data may be stale and may not contain private policy.</t>
  </si>
  <si>
    <t xml:space="preserve">Fine-tune immediately without evaluating retrieval first.</t>
  </si>
  <si>
    <t xml:space="preserve">Fine-tuning may help style, but retrieval is the first fit for current facts.</t>
  </si>
  <si>
    <t xml:space="preserve">Ask users to paste policy text each time.</t>
  </si>
  <si>
    <t xml:space="preserve">This may work manually but creates privacy and consistency risk.</t>
  </si>
  <si>
    <t xml:space="preserve">The model generated a plausible answer not grounded in retrieved evidence.</t>
  </si>
  <si>
    <t xml:space="preserve">Correct. This describes hallucination in a grounded workflow.</t>
  </si>
  <si>
    <t xml:space="preserve">The model became malicious.</t>
  </si>
  <si>
    <t xml:space="preserve">Possible in some contexts, but not the best explanation here.</t>
  </si>
  <si>
    <t xml:space="preserve">The user typed too slowly.</t>
  </si>
  <si>
    <t xml:space="preserve">Input speed is irrelevant.</t>
  </si>
  <si>
    <t xml:space="preserve">The answer must be hidden in the documents.</t>
  </si>
  <si>
    <t xml:space="preserve">That assumes the conclusion instead of checking evidence.</t>
  </si>
  <si>
    <t xml:space="preserve">Write something good.</t>
  </si>
  <si>
    <t xml:space="preserve">Too vague to guide format, audience, or constraints.</t>
  </si>
  <si>
    <t xml:space="preserve">Draft a warm 150-word reply using these notes, avoid promises, and end with one next step.</t>
  </si>
  <si>
    <t xml:space="preserve">Strong. It gives role, output, constraints, and success criteria.</t>
  </si>
  <si>
    <t xml:space="preserve">Make it perfect and professional.</t>
  </si>
  <si>
    <t xml:space="preserve">Better tone guidance, but still underspecified.</t>
  </si>
  <si>
    <t xml:space="preserve">Rewrite the notes exactly.</t>
  </si>
  <si>
    <t xml:space="preserve">This may preserve meaning but misses the communication goal.</t>
  </si>
  <si>
    <t xml:space="preserve">Before customer messages or CRM commitments go live.</t>
  </si>
  <si>
    <t xml:space="preserve">Correct. Higher-impact outputs need review before action.</t>
  </si>
  <si>
    <t xml:space="preserve">After customers report errors in the follow-up.</t>
  </si>
  <si>
    <t xml:space="preserve">Too late. Controls should prevent avoidable mistakes.</t>
  </si>
  <si>
    <t xml:space="preserve">Only during the first week of the automation.</t>
  </si>
  <si>
    <t xml:space="preserve">Launch review helps, but ongoing risky actions still need gates.</t>
  </si>
  <si>
    <t xml:space="preserve">When the AI marks its own answer uncertain.</t>
  </si>
  <si>
    <t xml:space="preserve">Useful signal, but uncertainty is not the only risk trigger.</t>
  </si>
  <si>
    <t xml:space="preserve">A reusable template with inputs, constraints, examples, review checks, and source links.</t>
  </si>
  <si>
    <t xml:space="preserve">Correct. Repeatability needs structured prompting and review.</t>
  </si>
  <si>
    <t xml:space="preserve">A fresh free-form prompt every month.</t>
  </si>
  <si>
    <t xml:space="preserve">This creates inconsistent outputs.</t>
  </si>
  <si>
    <t xml:space="preserve">Ask for the most impressive summary possible.</t>
  </si>
  <si>
    <t xml:space="preserve">Impressive is not a measurable output constraint.</t>
  </si>
  <si>
    <t xml:space="preserve">Skip source links to make it shorter.</t>
  </si>
  <si>
    <t xml:space="preserve">Board summaries need traceability.</t>
  </si>
  <si>
    <t xml:space="preserve">Share quickly because urgent posts need speed.</t>
  </si>
  <si>
    <t xml:space="preserve">Urgency increases the need for verification.</t>
  </si>
  <si>
    <t xml:space="preserve">Check original source, date, location, and signs of manipulation.</t>
  </si>
  <si>
    <t xml:space="preserve">Strong. Authenticity requires provenance and visual/context checks.</t>
  </si>
  <si>
    <t xml:space="preserve">Trust it if many people reposted it.</t>
  </si>
  <si>
    <t xml:space="preserve">Virality is not validation.</t>
  </si>
  <si>
    <t xml:space="preserve">Ignore all images online.</t>
  </si>
  <si>
    <t xml:space="preserve">Too broad. The skill is verification, not blanket rejection.</t>
  </si>
  <si>
    <t xml:space="preserve">A repost from an anonymous account.</t>
  </si>
  <si>
    <t xml:space="preserve">Anonymous reposts are weak provenance.</t>
  </si>
  <si>
    <t xml:space="preserve">Original company channel, dated statement, or reliable news source confirming it.</t>
  </si>
  <si>
    <t xml:space="preserve">Correct. Verify the claim through authoritative provenance.</t>
  </si>
  <si>
    <t xml:space="preserve">The image has high resolution.</t>
  </si>
  <si>
    <t xml:space="preserve">Image quality does not validate the caption.</t>
  </si>
  <si>
    <t xml:space="preserve">The post has emotional wording.</t>
  </si>
  <si>
    <t xml:space="preserve">Emotion is often a manipulation signal, not evidence.</t>
  </si>
  <si>
    <t xml:space="preserve">The listing asks for payment outside the trusted platform.</t>
  </si>
  <si>
    <t xml:space="preserve">Correct. Outside-platform payment is a major fraud and protection-loss signal.</t>
  </si>
  <si>
    <t xml:space="preserve">The seller profile is new and reviews repeat phrases.</t>
  </si>
  <si>
    <t xml:space="preserve">This is suspicious, but the payment request creates the biggest immediate risk.</t>
  </si>
  <si>
    <t xml:space="preserve">The product photo has warped branding and odd shadows.</t>
  </si>
  <si>
    <t xml:space="preserve">A useful clue, but payment outside the platform is more decisive.</t>
  </si>
  <si>
    <t xml:space="preserve">The discount is unusually large for a premium device.</t>
  </si>
  <si>
    <t xml:space="preserve">A big discount is a warning sign, but it is not the strongest stop signal here.</t>
  </si>
  <si>
    <t xml:space="preserve">The report has a citation-support mismatch and should not use the claim as written.</t>
  </si>
  <si>
    <t xml:space="preserve">Correct. This identifies the evidence failure precisely.</t>
  </si>
  <si>
    <t xml:space="preserve">The report is acceptable because citations exist.</t>
  </si>
  <si>
    <t xml:space="preserve">Citations must support the exact claim.</t>
  </si>
  <si>
    <t xml:space="preserve">The productivity claim is automatically false.</t>
  </si>
  <si>
    <t xml:space="preserve">Not necessarily false, but unsupported by the cited evidence.</t>
  </si>
  <si>
    <t xml:space="preserve">Only formatting needs correction.</t>
  </si>
  <si>
    <t xml:space="preserve">The issue is evidence quality, not formatting.</t>
  </si>
  <si>
    <t xml:space="preserve">The chatbot may write too formally.</t>
  </si>
  <si>
    <t xml:space="preserve">Tone is secondary here.</t>
  </si>
  <si>
    <t xml:space="preserve">Personal and confidential data may be exposed outside approved systems.</t>
  </si>
  <si>
    <t xml:space="preserve">Correct. This is a data protection and governance issue.</t>
  </si>
  <si>
    <t xml:space="preserve">The recruiter may save time.</t>
  </si>
  <si>
    <t xml:space="preserve">Efficiency does not remove privacy obligations.</t>
  </si>
  <si>
    <t xml:space="preserve">There is no risk if the output is useful.</t>
  </si>
  <si>
    <t xml:space="preserve">Usefulness does not make unsafe handling acceptable.</t>
  </si>
  <si>
    <t xml:space="preserve">Bias, privacy, explainability, and human review checks.</t>
  </si>
  <si>
    <t xml:space="preserve">Strong. Hiring is high-impact and needs layered governance.</t>
  </si>
  <si>
    <t xml:space="preserve">A more colorful dashboard.</t>
  </si>
  <si>
    <t xml:space="preserve">Presentation does not address high-impact risk.</t>
  </si>
  <si>
    <t xml:space="preserve">Let the vendor decide all policies.</t>
  </si>
  <si>
    <t xml:space="preserve">The organization still owns governance accountability.</t>
  </si>
  <si>
    <t xml:space="preserve">Launch first and audit next year.</t>
  </si>
  <si>
    <t xml:space="preserve">Controls are needed before deployment.</t>
  </si>
  <si>
    <t xml:space="preserve">Tool permissions, audit logs, approval gates, and least-privilege access.</t>
  </si>
  <si>
    <t xml:space="preserve">Correct. Agentic systems need clear authority boundaries.</t>
  </si>
  <si>
    <t xml:space="preserve">A friendly name for the agent.</t>
  </si>
  <si>
    <t xml:space="preserve">Naming does not control action risk.</t>
  </si>
  <si>
    <t xml:space="preserve">Unlimited access so it can be helpful.</t>
  </si>
  <si>
    <t xml:space="preserve">Unlimited permissions create serious risk.</t>
  </si>
  <si>
    <t xml:space="preserve">Only a launch announcement.</t>
  </si>
  <si>
    <t xml:space="preserve">Communication is not a sufficient control.</t>
  </si>
  <si>
    <t xml:space="preserve">Which business problem, user workflow, and measurable outcome are we targeting?</t>
  </si>
  <si>
    <t xml:space="preserve">Correct. AI value starts from a concrete problem and metric.</t>
  </si>
  <si>
    <t xml:space="preserve">Which model has the most hype?</t>
  </si>
  <si>
    <t xml:space="preserve">Hype is not a strategy.</t>
  </si>
  <si>
    <t xml:space="preserve">Can we replace the whole team?</t>
  </si>
  <si>
    <t xml:space="preserve">This jumps to an unsafe and unsupported conclusion.</t>
  </si>
  <si>
    <t xml:space="preserve">How quickly can we announce it?</t>
  </si>
  <si>
    <t xml:space="preserve">Communication follows a credible plan.</t>
  </si>
  <si>
    <t xml:space="preserve">Accept it because vendor benchmarks are enough.</t>
  </si>
  <si>
    <t xml:space="preserve">Benchmarks need local validation.</t>
  </si>
  <si>
    <t xml:space="preserve">Run a scoped pilot with baseline metrics, risk controls, and success criteria.</t>
  </si>
  <si>
    <t xml:space="preserve">Correct. This turns a claim into testable evidence.</t>
  </si>
  <si>
    <t xml:space="preserve">Reject every productivity tool.</t>
  </si>
  <si>
    <t xml:space="preserve">Too broad. The issue is evidence and fit.</t>
  </si>
  <si>
    <t xml:space="preserve">Buy first to avoid missing the trend.</t>
  </si>
  <si>
    <t xml:space="preserve">Speed without validation creates waste and risk.</t>
  </si>
  <si>
    <t xml:space="preserve">Tell them not to worry and continue rollout.</t>
  </si>
  <si>
    <t xml:space="preserve">Reassurance without process does not build trust.</t>
  </si>
  <si>
    <t xml:space="preserve">Define human review points, escalation paths, training, and accountability.</t>
  </si>
  <si>
    <t xml:space="preserve">Correct. Trust comes from clear workflow and support.</t>
  </si>
  <si>
    <t xml:space="preserve">Ban questions about AI.</t>
  </si>
  <si>
    <t xml:space="preserve">That damages adoption and safety.</t>
  </si>
  <si>
    <t xml:space="preserve">Use AI only in secret pilots.</t>
  </si>
  <si>
    <t xml:space="preserve">Hidden use weakens trust and governance.</t>
  </si>
  <si>
    <t xml:space="preserve">Keep automation, add review rituals, edge-case coaching, and learning loops.</t>
  </si>
  <si>
    <t xml:space="preserve">Correct. This preserves value while strengthening human capability.</t>
  </si>
  <si>
    <t xml:space="preserve">Remove all AI permanently.</t>
  </si>
  <si>
    <t xml:space="preserve">That may lose benefits without solving learning design.</t>
  </si>
  <si>
    <t xml:space="preserve">Let AI send every answer automatically.</t>
  </si>
  <si>
    <t xml:space="preserve">This worsens skill decay and risk.</t>
  </si>
  <si>
    <t xml:space="preserve">Ignore the learning issue if metrics improved.</t>
  </si>
  <si>
    <t xml:space="preserve">Short-term metrics can hide long-term capability loss.</t>
  </si>
  <si>
    <t xml:space="preserve">brainstorm</t>
  </si>
  <si>
    <t xml:space="preserve">Generate first-draft ideas  →  AI can help; human sets direction</t>
  </si>
  <si>
    <t xml:space="preserve">choices: AI can help; human sets direction | AI owns the final decision | No AI use is possible</t>
  </si>
  <si>
    <t xml:space="preserve">Approve a sensitive customer refund  →  Human owns the decision</t>
  </si>
  <si>
    <t xml:space="preserve">choices: Human owns the decision | AI decides automatically | No review is needed</t>
  </si>
  <si>
    <t xml:space="preserve">rewrite</t>
  </si>
  <si>
    <t xml:space="preserve">Rewrite a note for tone  →  AI can draft; human checks meaning</t>
  </si>
  <si>
    <t xml:space="preserve">choices: AI can draft; human checks meaning | AI changes facts freely | Human must type every word</t>
  </si>
  <si>
    <t xml:space="preserve">Provide the transcript and meeting purpose</t>
  </si>
  <si>
    <t xml:space="preserve">Specify the output format and decision audience</t>
  </si>
  <si>
    <t xml:space="preserve">Check names, owners, dates, and commitments</t>
  </si>
  <si>
    <t xml:space="preserve">Share the final summary with caveats if needed</t>
  </si>
  <si>
    <t xml:space="preserve">Audience and purpose of the presentation.</t>
  </si>
  <si>
    <t xml:space="preserve">Audience changes content and tone.</t>
  </si>
  <si>
    <t xml:space="preserve">Length, format, and deadline.</t>
  </si>
  <si>
    <t xml:space="preserve">Constraints make the output usable.</t>
  </si>
  <si>
    <t xml:space="preserve">Source notes or facts that must be included.</t>
  </si>
  <si>
    <t xml:space="preserve">Grounding reduces generic answers.</t>
  </si>
  <si>
    <t xml:space="preserve">A request to be impressive with no other detail.</t>
  </si>
  <si>
    <t xml:space="preserve">Impressive is not a clear success criterion.</t>
  </si>
  <si>
    <t xml:space="preserve">The summary overstates the rule.</t>
  </si>
  <si>
    <t xml:space="preserve">Correct. The exception matters.</t>
  </si>
  <si>
    <t xml:space="preserve">The source should be checked before action.</t>
  </si>
  <si>
    <t xml:space="preserve">Correct. Policy use needs source support.</t>
  </si>
  <si>
    <t xml:space="preserve">The output needs a caveat about teacher permission.</t>
  </si>
  <si>
    <t xml:space="preserve">Correct. The summary must preserve the condition.</t>
  </si>
  <si>
    <t xml:space="preserve">The summary is fine because it is shorter.</t>
  </si>
  <si>
    <t xml:space="preserve">Shorter is not better if meaning changes.</t>
  </si>
  <si>
    <t xml:space="preserve">Share it because the image looks realistic.</t>
  </si>
  <si>
    <t xml:space="preserve">Realistic appearance is not enough.</t>
  </si>
  <si>
    <t xml:space="preserve">Look for the original post, trusted reporting, date, and manipulation clues.</t>
  </si>
  <si>
    <t xml:space="preserve">Correct. Provenance and context come first.</t>
  </si>
  <si>
    <t xml:space="preserve">Assume it is fake without checking.</t>
  </si>
  <si>
    <t xml:space="preserve">Skepticism helps, but the best response is evidence-based verification.</t>
  </si>
  <si>
    <t xml:space="preserve">Ask the AI to make the claim sound more certain.</t>
  </si>
  <si>
    <t xml:space="preserve">Confidence wording does not prove authenticity.</t>
  </si>
  <si>
    <t xml:space="preserve">Limit file and tool permissions to the task.</t>
  </si>
  <si>
    <t xml:space="preserve">Least privilege reduces damage.</t>
  </si>
  <si>
    <t xml:space="preserve">Require approval before sending external messages.</t>
  </si>
  <si>
    <t xml:space="preserve">Outbound actions need review.</t>
  </si>
  <si>
    <t xml:space="preserve">Keep audit logs of actions and source files.</t>
  </si>
  <si>
    <t xml:space="preserve">Traceability matters.</t>
  </si>
  <si>
    <t xml:space="preserve">Define a stop condition for unusual behavior.</t>
  </si>
  <si>
    <t xml:space="preserve">Agents need operational boundaries.</t>
  </si>
  <si>
    <t xml:space="preserve">Give it full access so it can be helpful.</t>
  </si>
  <si>
    <t xml:space="preserve">Full access creates unnecessary risk.</t>
  </si>
  <si>
    <t xml:space="preserve">problem</t>
  </si>
  <si>
    <t xml:space="preserve">Clear user problem and workflow fit</t>
  </si>
  <si>
    <t xml:space="preserve">Measurable outcome and baseline</t>
  </si>
  <si>
    <t xml:space="preserve">Acceptable risk and review controls</t>
  </si>
  <si>
    <t xml:space="preserve">Fast learning path for scale or stop decision</t>
  </si>
  <si>
    <t xml:space="preserve">Ban all AI use immediately.</t>
  </si>
  <si>
    <t xml:space="preserve">A ban may drive use further underground.</t>
  </si>
  <si>
    <t xml:space="preserve">Create safe-use guidelines, examples, disclosure norms, and review points.</t>
  </si>
  <si>
    <t xml:space="preserve">Correct. Practical rules make learning and accountability possible.</t>
  </si>
  <si>
    <t xml:space="preserve">Ignore the behavior if work is faster.</t>
  </si>
  <si>
    <t xml:space="preserve">Speed without transparency creates risk.</t>
  </si>
  <si>
    <t xml:space="preserve">Let everyone choose any tool with no guidance.</t>
  </si>
  <si>
    <t xml:space="preserve">Unguided use does not build shared capability.</t>
  </si>
  <si>
    <t xml:space="preserve">The answer is probably correct because it used legal vocabulary.</t>
  </si>
  <si>
    <t xml:space="preserve">Specialized language can sound convincing without being grounded.</t>
  </si>
  <si>
    <t xml:space="preserve">The answer may be useful as a first explanation, but Mina should compare it to the actual clause and approved policy.</t>
  </si>
  <si>
    <t xml:space="preserve">Correct. This separates useful assistance from authority.</t>
  </si>
  <si>
    <t xml:space="preserve">AI should never be used to understand documents.</t>
  </si>
  <si>
    <t xml:space="preserve">Too broad. The key is controlled use and verification.</t>
  </si>
  <si>
    <t xml:space="preserve">The company policy is less important than the model answer.</t>
  </si>
  <si>
    <t xml:space="preserve">Internal policy and source text remain authoritative.</t>
  </si>
  <si>
    <t xml:space="preserve">It overstates praise and hides the payment complaints.</t>
  </si>
  <si>
    <t xml:space="preserve">Correct. Good judgment preserves uncertainty and conflicting signals.</t>
  </si>
  <si>
    <t xml:space="preserve">It should mention praise but mark the evidence mixed.</t>
  </si>
  <si>
    <t xml:space="preserve">This is directionally better, but it still needs to call out the contradiction clearly.</t>
  </si>
  <si>
    <t xml:space="preserve">It should remove complaints to keep the story simple.</t>
  </si>
  <si>
    <t xml:space="preserve">That would distort the evidence.</t>
  </si>
  <si>
    <t xml:space="preserve">It can ignore sample details because the pattern is clear.</t>
  </si>
  <si>
    <t xml:space="preserve">Sample context affects how much confidence to place in the finding.</t>
  </si>
  <si>
    <t xml:space="preserve">Treat any high score as proof of cheating.</t>
  </si>
  <si>
    <t xml:space="preserve">Detector scores are not proof and can create serious harm.</t>
  </si>
  <si>
    <t xml:space="preserve">Use the score only as one signal, require human review, disclose limits, and provide an appeal process.</t>
  </si>
  <si>
    <t xml:space="preserve">Correct. High-impact decisions need due process and human judgment.</t>
  </si>
  <si>
    <t xml:space="preserve">Hide the detector from students and parents.</t>
  </si>
  <si>
    <t xml:space="preserve">Opacity weakens trust and accountability.</t>
  </si>
  <si>
    <t xml:space="preserve">Ignore all academic integrity issues.</t>
  </si>
  <si>
    <t xml:space="preserve">The concern is real, but the control must be proportionate.</t>
  </si>
  <si>
    <t xml:space="preserve">Keep AI notes, but add decision owners, review moments, dissent capture, and human sign-off.</t>
  </si>
  <si>
    <t xml:space="preserve">Correct. AI can support collaboration without replacing shared attention.</t>
  </si>
  <si>
    <t xml:space="preserve">Let the AI decide what mattered in the meeting.</t>
  </si>
  <si>
    <t xml:space="preserve">Decision salience remains a human responsibility.</t>
  </si>
  <si>
    <t xml:space="preserve">Stop documenting meetings entirely.</t>
  </si>
  <si>
    <t xml:space="preserve">That loses useful traceability.</t>
  </si>
  <si>
    <t xml:space="preserve">Only invite people who agree with the AI summary.</t>
  </si>
  <si>
    <t xml:space="preserve">That damages psychological safety and decision quality.</t>
  </si>
  <si>
    <t xml:space="preserve">Enter the password and one-time code before the timer ends.</t>
  </si>
  <si>
    <t xml:space="preserve">Urgency and code capture are strong phishing signals.</t>
  </si>
  <si>
    <t xml:space="preserve">Close it, report it, and navigate to the official IT page independently.</t>
  </si>
  <si>
    <t xml:space="preserve">Correct. Do not authenticate through suspicious links.</t>
  </si>
  <si>
    <t xml:space="preserve">Forward it to coworkers so they can check too.</t>
  </si>
  <si>
    <t xml:space="preserve">Forwarding can spread the phishing attempt.</t>
  </si>
  <si>
    <t xml:space="preserve">Trust it because it uses the company logo.</t>
  </si>
  <si>
    <t xml:space="preserve">Logos are easy to copy.</t>
  </si>
  <si>
    <t xml:space="preserve">Collect representative failed and successful cases</t>
  </si>
  <si>
    <t xml:space="preserve">Define review criteria and error categories</t>
  </si>
  <si>
    <t xml:space="preserve">revise</t>
  </si>
  <si>
    <t xml:space="preserve">Revise prompt, sources, or workflow controls</t>
  </si>
  <si>
    <t xml:space="preserve">monitor</t>
  </si>
  <si>
    <t xml:space="preserve">Monitor new outputs against the same criteria</t>
  </si>
  <si>
    <t xml:space="preserve">identity</t>
  </si>
  <si>
    <t xml:space="preserve">Which agent is making the request?  →  Authenticated agent identity</t>
  </si>
  <si>
    <t xml:space="preserve">choices: Authenticated agent identity | Longer prompt | Marketing page</t>
  </si>
  <si>
    <t xml:space="preserve">authority</t>
  </si>
  <si>
    <t xml:space="preserve">Can it book above policy?  →  Human approval threshold</t>
  </si>
  <si>
    <t xml:space="preserve">choices: Human approval threshold | Unlimited delegation | Hide the event</t>
  </si>
  <si>
    <t xml:space="preserve">trace</t>
  </si>
  <si>
    <t xml:space="preserve">What happened across agents?  →  Shared audit trail</t>
  </si>
  <si>
    <t xml:space="preserve">choices: Shared audit trail | No logging | Emoji status</t>
  </si>
  <si>
    <t xml:space="preserve">Confirm exactly what data will be accessed.</t>
  </si>
  <si>
    <t xml:space="preserve">Tool calls need clear data scope.</t>
  </si>
  <si>
    <t xml:space="preserve">Require approval before external sending.</t>
  </si>
  <si>
    <t xml:space="preserve">Outbound transmission needs human confirmation.</t>
  </si>
  <si>
    <t xml:space="preserve">Log tool inputs, outputs, and destination.</t>
  </si>
  <si>
    <t xml:space="preserve">Auditability is essential.</t>
  </si>
  <si>
    <t xml:space="preserve">Apply least privilege to file access.</t>
  </si>
  <si>
    <t xml:space="preserve">The tool should not see more than needed.</t>
  </si>
  <si>
    <t xml:space="preserve">Let the model decide silently because it is efficient.</t>
  </si>
  <si>
    <t xml:space="preserve">Silent tool use creates privacy and accountability risk.</t>
  </si>
  <si>
    <t xml:space="preserve">Which workflow problem, measurable outcome, data access, and human approval boundary does it solve?</t>
  </si>
  <si>
    <t xml:space="preserve">Correct. Trends matter only when tied to a real workflow and control model.</t>
  </si>
  <si>
    <t xml:space="preserve">Can we announce it before competitors?</t>
  </si>
  <si>
    <t xml:space="preserve">Announcement value is not operational value.</t>
  </si>
  <si>
    <t xml:space="preserve">Can it replace all employees in the workflow?</t>
  </si>
  <si>
    <t xml:space="preserve">That skips task analysis, risk, and human accountability.</t>
  </si>
  <si>
    <t xml:space="preserve">Does the demo look futuristic?</t>
  </si>
  <si>
    <t xml:space="preserve">A polished demo is not evidence of fit.</t>
  </si>
  <si>
    <t xml:space="preserve">Keep AI planning, but add assumption review, owner sign-off, and a retro on missed dependencies.</t>
  </si>
  <si>
    <t xml:space="preserve">Correct. The loop keeps AI useful while preserving human judgment.</t>
  </si>
  <si>
    <t xml:space="preserve">Let AI own all dependencies.</t>
  </si>
  <si>
    <t xml:space="preserve">Ownership and accountability stay human.</t>
  </si>
  <si>
    <t xml:space="preserve">Stop planning because the AI made mistakes.</t>
  </si>
  <si>
    <t xml:space="preserve">The better move is redesigning the review loop.</t>
  </si>
  <si>
    <t xml:space="preserve">Hide missed dependencies from the team.</t>
  </si>
  <si>
    <t xml:space="preserve">That blocks learning.</t>
  </si>
  <si>
    <t xml:space="preserve">chatbot</t>
  </si>
  <si>
    <t xml:space="preserve">Chatbot  →  Responds in conversation</t>
  </si>
  <si>
    <t xml:space="preserve">choices: Responds in conversation | Acts across tools autonomously | Approves budgets</t>
  </si>
  <si>
    <t xml:space="preserve">Copilot  →  Assists inside a human workflow</t>
  </si>
  <si>
    <t xml:space="preserve">choices: Assists inside a human workflow | Owns all decisions | Needs no review</t>
  </si>
  <si>
    <t xml:space="preserve">Agent  →  Can plan and use tools toward a goal</t>
  </si>
  <si>
    <t xml:space="preserve">choices: Can plan and use tools toward a goal | Only changes font size | Cannot affect systems</t>
  </si>
  <si>
    <t xml:space="preserve">Scale only after refund-case quality improves and review gates are measured.</t>
  </si>
  <si>
    <t xml:space="preserve">Correct. Value must include quality and risk, not speed alone.</t>
  </si>
  <si>
    <t xml:space="preserve">Scale now because faster handling time is enough evidence.</t>
  </si>
  <si>
    <t xml:space="preserve">Speed without quality can create customer and compliance risk.</t>
  </si>
  <si>
    <t xml:space="preserve">Cancel all AI support work because one case failed.</t>
  </si>
  <si>
    <t xml:space="preserve">One failure should drive diagnosis and controls, not automatic cancellation.</t>
  </si>
  <si>
    <t xml:space="preserve">Hide refund cases from the pilot metrics.</t>
  </si>
  <si>
    <t xml:space="preserve">That would distort the evidence base.</t>
  </si>
  <si>
    <t xml:space="preserve">The winning ad set has a tiny sample.</t>
  </si>
  <si>
    <t xml:space="preserve">Correct. Small samples make rate comparisons unstable.</t>
  </si>
  <si>
    <t xml:space="preserve">The coupon leak may distort conversion behavior.</t>
  </si>
  <si>
    <t xml:space="preserve">Correct. Traffic quality affects whether the result is scalable.</t>
  </si>
  <si>
    <t xml:space="preserve">The recommendation lacks incrementality evidence.</t>
  </si>
  <si>
    <t xml:space="preserve">Correct. Scaling needs evidence beyond observed rate.</t>
  </si>
  <si>
    <t xml:space="preserve">The table should be ignored because dashboards are never useful.</t>
  </si>
  <si>
    <t xml:space="preserve">Dashboards can help when interpreted with uncertainty and context.</t>
  </si>
  <si>
    <t xml:space="preserve">omission</t>
  </si>
  <si>
    <t xml:space="preserve">The summary drops teacher-approved exceptions.  →  Loss of source meaning</t>
  </si>
  <si>
    <t xml:space="preserve">choices: Loss of source meaning | Fresh training data | Stronger privacy protection</t>
  </si>
  <si>
    <t xml:space="preserve">The answer sounds final despite a thin review.  →  Fluent output is not proof</t>
  </si>
  <si>
    <t xml:space="preserve">choices: Fluent output is not proof | Human approval is unnecessary | The source is automatically wrong</t>
  </si>
  <si>
    <t xml:space="preserve">The user checks the handbook before sending.  →  Grounding against evidence</t>
  </si>
  <si>
    <t xml:space="preserve">choices: Grounding against evidence | Delegating the decision fully | Ignoring context length</t>
  </si>
  <si>
    <t xml:space="preserve">An answer sounds fluent but cites no current source. What concept explains the risk?</t>
  </si>
  <si>
    <t xml:space="preserve">An LLM can generate plausible language without proof.</t>
  </si>
  <si>
    <t xml:space="preserve">Correct. Fluency is not evidence.</t>
  </si>
  <si>
    <t xml:space="preserve">RAG always guarantees the answer is current.</t>
  </si>
  <si>
    <t xml:space="preserve">RAG depends on retrieved source quality.</t>
  </si>
  <si>
    <t xml:space="preserve">Memory means the model checked an approved file.</t>
  </si>
  <si>
    <t xml:space="preserve">Memory is not the same as source verification.</t>
  </si>
  <si>
    <t xml:space="preserve">You need answers from the latest HR policy. What setup is most useful?</t>
  </si>
  <si>
    <t xml:space="preserve">Ask the model to rely on general training knowledge.</t>
  </si>
  <si>
    <t xml:space="preserve">Training knowledge may be stale or generic.</t>
  </si>
  <si>
    <t xml:space="preserve">Retrieve approved policy sources and show citations.</t>
  </si>
  <si>
    <t xml:space="preserve">Correct. RAG grounds the answer in selected documents.</t>
  </si>
  <si>
    <t xml:space="preserve">Store a preference that HR questions matter.</t>
  </si>
  <si>
    <t xml:space="preserve">That may personalize behavior but does not ground policy facts.</t>
  </si>
  <si>
    <t xml:space="preserve">mcp</t>
  </si>
  <si>
    <t xml:space="preserve">An AI can read files and send emails through connectors. What changes most?</t>
  </si>
  <si>
    <t xml:space="preserve">The answer becomes automatically more accurate.</t>
  </si>
  <si>
    <t xml:space="preserve">Tool access does not guarantee correctness.</t>
  </si>
  <si>
    <t xml:space="preserve">The prompt no longer needs human review.</t>
  </si>
  <si>
    <t xml:space="preserve">Review matters more when tools can act.</t>
  </si>
  <si>
    <t xml:space="preserve">Permissions, logs, and approval gates become critical.</t>
  </si>
  <si>
    <t xml:space="preserve">Correct. Tool use adds data and action risk.</t>
  </si>
  <si>
    <t xml:space="preserve">Which prompt pattern best improves a recurring weekly planning task?</t>
  </si>
  <si>
    <t xml:space="preserve">Define task, audience, sources, format, limits, and review checks.</t>
  </si>
  <si>
    <t xml:space="preserve">Correct. Reusable prompts need inputs, constraints, and checks.</t>
  </si>
  <si>
    <t xml:space="preserve">Ask for something impressive and let the model choose structure.</t>
  </si>
  <si>
    <t xml:space="preserve">This leaves success criteria unclear.</t>
  </si>
  <si>
    <t xml:space="preserve">Use the shortest prompt so the model has more freedom.</t>
  </si>
  <si>
    <t xml:space="preserve">Freedom can increase inconsistency in recurring workflows.</t>
  </si>
  <si>
    <t xml:space="preserve">What should happen before adding calendar screenshots, bills, and work notes as context?</t>
  </si>
  <si>
    <t xml:space="preserve">Upload everything so the AI can decide relevance.</t>
  </si>
  <si>
    <t xml:space="preserve">Data minimization should happen before upload.</t>
  </si>
  <si>
    <t xml:space="preserve">Remove unnecessary private details and separate work from personal data.</t>
  </si>
  <si>
    <t xml:space="preserve">Correct. Context should be useful and bounded.</t>
  </si>
  <si>
    <t xml:space="preserve">Use memory so private details do not need review.</t>
  </si>
  <si>
    <t xml:space="preserve">Memory can increase retention risk if not governed.</t>
  </si>
  <si>
    <t xml:space="preserve">What is the healthiest team norm for AI memory in shared work?</t>
  </si>
  <si>
    <t xml:space="preserve">Let memory silently decide priorities for the group.</t>
  </si>
  <si>
    <t xml:space="preserve">Silent personalization can hide assumptions.</t>
  </si>
  <si>
    <t xml:space="preserve">Ban all saved preferences even for low-risk formatting.</t>
  </si>
  <si>
    <t xml:space="preserve">Some memory can be useful when transparent and low-risk.</t>
  </si>
  <si>
    <t xml:space="preserve">Make remembered preferences visible, editable, and easy to challenge.</t>
  </si>
  <si>
    <t xml:space="preserve">Correct. Shared work needs transparency and control.</t>
  </si>
  <si>
    <t xml:space="preserve">Separate work, school, and personal material before upload</t>
  </si>
  <si>
    <t xml:space="preserve">Give the AI the task, format, constraints, and priority rules</t>
  </si>
  <si>
    <t xml:space="preserve">Verify names, dates, commitments, and sensitive details</t>
  </si>
  <si>
    <t xml:space="preserve">use</t>
  </si>
  <si>
    <t xml:space="preserve">Use the plan after making needed human corrections</t>
  </si>
  <si>
    <t xml:space="preserve">Remove account numbers, addresses, and client names not needed.</t>
  </si>
  <si>
    <t xml:space="preserve">Correct. Data minimization lowers exposure.</t>
  </si>
  <si>
    <t xml:space="preserve">Use an approved work tool for work notes.</t>
  </si>
  <si>
    <t xml:space="preserve">Correct. Work data belongs in approved systems.</t>
  </si>
  <si>
    <t xml:space="preserve">Separate personal, school, and work tasks into different prompts.</t>
  </si>
  <si>
    <t xml:space="preserve">Correct. Separation reduces accidental disclosure and context mixing.</t>
  </si>
  <si>
    <t xml:space="preserve">Upload every screenshot because more context is safer.</t>
  </si>
  <si>
    <t xml:space="preserve">More context can increase privacy risk when the data is unnecessary.</t>
  </si>
  <si>
    <t xml:space="preserve">Let the AI decide which private details matter after upload.</t>
  </si>
  <si>
    <t xml:space="preserve">Privacy decisions should happen before sharing the data.</t>
  </si>
  <si>
    <t xml:space="preserve">Weekly planning drafts with baseline, privacy limits, and human approval.</t>
  </si>
  <si>
    <t xml:space="preserve">Correct. It has a clear workflow, measurable value, and manageable risk.</t>
  </si>
  <si>
    <t xml:space="preserve">Public advice bot launched broadly to learn from complaints.</t>
  </si>
  <si>
    <t xml:space="preserve">This creates customer-facing risk before controls and evidence are ready.</t>
  </si>
  <si>
    <t xml:space="preserve">Automated invoice approval because finance work uses numbers.</t>
  </si>
  <si>
    <t xml:space="preserve">Payment approval is high-impact and needs stronger governance before automation.</t>
  </si>
  <si>
    <t xml:space="preserve">Any pilot with the newest model, even without an owner.</t>
  </si>
  <si>
    <t xml:space="preserve">Model novelty does not replace problem fit, measurement, and ownership.</t>
  </si>
  <si>
    <t xml:space="preserve">ownership</t>
  </si>
  <si>
    <t xml:space="preserve">Nobody knows who checked the final summary.  →  Assign a named reviewer before sharing</t>
  </si>
  <si>
    <t xml:space="preserve">choices: Assign a named reviewer before sharing | Ask AI to pick the owner | Remove all source links</t>
  </si>
  <si>
    <t xml:space="preserve">Team members accept AI wording without understanding it.  →  Have people explain key changes in their own words</t>
  </si>
  <si>
    <t xml:space="preserve">choices: Have people explain key changes in their own words | Use longer AI outputs | Hide uncertainty from the group</t>
  </si>
  <si>
    <t xml:space="preserve">dissent</t>
  </si>
  <si>
    <t xml:space="preserve">A source exception disappears from the group decision.  →  Preserve caveats and invite challenge before final approval</t>
  </si>
  <si>
    <t xml:space="preserve">choices: Preserve caveats and invite challenge before final approval | Prefer the shorter version automatically | Let speed override disagreement</t>
  </si>
  <si>
    <t xml:space="preserve">grounding-gap</t>
  </si>
  <si>
    <t xml:space="preserve">What is the main concept problem in the assistant answer?</t>
  </si>
  <si>
    <t xml:space="preserve">The answer is too short to be useful.</t>
  </si>
  <si>
    <t xml:space="preserve">Length is not the main issue. The answer conflicts with the source.</t>
  </si>
  <si>
    <t xml:space="preserve">It treats fluent text as if it were grounded in the source.</t>
  </si>
  <si>
    <t xml:space="preserve">Correct. The answer sounds confident but is not source-faithful.</t>
  </si>
  <si>
    <t xml:space="preserve">It refuses to help with a safe task.</t>
  </si>
  <si>
    <t xml:space="preserve">The issue is over-permission, not excessive refusal.</t>
  </si>
  <si>
    <t xml:space="preserve">review-action</t>
  </si>
  <si>
    <t xml:space="preserve">What should the reviewer do before sharing the answer?</t>
  </si>
  <si>
    <t xml:space="preserve">Share it because the source name appears in the packet.</t>
  </si>
  <si>
    <t xml:space="preserve">Source presence does not prove the answer reflects it.</t>
  </si>
  <si>
    <t xml:space="preserve">Ask AI to make the answer more confident.</t>
  </si>
  <si>
    <t xml:space="preserve">Confidence language can hide unsupported claims.</t>
  </si>
  <si>
    <t xml:space="preserve">Mark each claim as supported, contradicted, or missing from the source.</t>
  </si>
  <si>
    <t xml:space="preserve">Correct. Claim-by-claim evidence checking is the practical skill.</t>
  </si>
  <si>
    <t xml:space="preserve">privacy-control</t>
  </si>
  <si>
    <t xml:space="preserve">Which policy detail matters most for safe everyday use?</t>
  </si>
  <si>
    <t xml:space="preserve">Work records should use the approved enterprise assistant.</t>
  </si>
  <si>
    <t xml:space="preserve">Correct. Tool choice is part of privacy and governance.</t>
  </si>
  <si>
    <t xml:space="preserve">Public tools are safe if the prompt is polite.</t>
  </si>
  <si>
    <t xml:space="preserve">Tone does not control data exposure.</t>
  </si>
  <si>
    <t xml:space="preserve">A password is the only sensitive information to avoid.</t>
  </si>
  <si>
    <t xml:space="preserve">The policy names several sensitive data categories.</t>
  </si>
  <si>
    <t xml:space="preserve">map</t>
  </si>
  <si>
    <t xml:space="preserve">Map the refund workflow, impact thresholds, and human owners</t>
  </si>
  <si>
    <t xml:space="preserve">Limit tools, data, refund authority, and external sends</t>
  </si>
  <si>
    <t xml:space="preserve">Run a monitored pilot with logs, quality review, and exceptions</t>
  </si>
  <si>
    <t xml:space="preserve">Expand only after value, harm, and adoption evidence meet gates</t>
  </si>
  <si>
    <t xml:space="preserve">Rewrite the answer so every permission matches the source text.</t>
  </si>
  <si>
    <t xml:space="preserve">Correct. Source-faithful rewriting is the key repair.</t>
  </si>
  <si>
    <t xml:space="preserve">Remove the source date because dates make answers look less polished.</t>
  </si>
  <si>
    <t xml:space="preserve">Dates help users judge currency.</t>
  </si>
  <si>
    <t xml:space="preserve">Add the required approved-tool rule for work records.</t>
  </si>
  <si>
    <t xml:space="preserve">Correct. This is a missing governance constraint.</t>
  </si>
  <si>
    <t xml:space="preserve">Flag customer, financial, health, and HR data as excluded from public tools.</t>
  </si>
  <si>
    <t xml:space="preserve">Correct. The answer omitted the main data-risk categories.</t>
  </si>
  <si>
    <t xml:space="preserve">Ask AI for a longer answer and post the longest version.</t>
  </si>
  <si>
    <t xml:space="preserve">More words do not solve source contradiction.</t>
  </si>
  <si>
    <t xml:space="preserve">Executive: decide from judgment alone.</t>
  </si>
  <si>
    <t xml:space="preserve">Executives own the decision, but evidence structuring should not be skipped.</t>
  </si>
  <si>
    <t xml:space="preserve">Together: AI structures evidence, executives decide.</t>
  </si>
  <si>
    <t xml:space="preserve">Correct. AI can organize value, readiness, and risk; leaders own the tradeoff.</t>
  </si>
  <si>
    <t xml:space="preserve">AI: rank and approve the portfolio automatically.</t>
  </si>
  <si>
    <t xml:space="preserve">Unsafe. Portfolio governance and risk appetite are executive responsibilities.</t>
  </si>
  <si>
    <t xml:space="preserve">Executive/legal team only.</t>
  </si>
  <si>
    <t xml:space="preserve">Human leadership is essential, but AI can support timeline reconstruction and evidence gathering.</t>
  </si>
  <si>
    <t xml:space="preserve">Together: AI supports triage, executives own response.</t>
  </si>
  <si>
    <t xml:space="preserve">Correct. Use AI for controlled analysis while humans own notification, remediation, and accountability.</t>
  </si>
  <si>
    <t xml:space="preserve">AI: draft and send all incident messages.</t>
  </si>
  <si>
    <t xml:space="preserve">Unsafe. High-stakes communication must not be delegated end to end.</t>
  </si>
  <si>
    <t xml:space="preserve">Executive: write and own the message.</t>
  </si>
  <si>
    <t xml:space="preserve">Leadership ownership is required, though AI can help test clarity and possible misunderstandings.</t>
  </si>
  <si>
    <t xml:space="preserve">Together: AI drafts scenarios, executives write final.</t>
  </si>
  <si>
    <t xml:space="preserve">Correct. AI can support preparation; leaders own trust, tone, and commitments.</t>
  </si>
  <si>
    <t xml:space="preserve">AI: generate and publish the announcement.</t>
  </si>
  <si>
    <t xml:space="preserve">Unsafe. This would make a sensitive people decision feel outsourced.</t>
  </si>
  <si>
    <t xml:space="preserve">Executive/finance: decide after evidence review.</t>
  </si>
  <si>
    <t xml:space="preserve">Strong. AI may support analysis, but accountable leaders must challenge assumptions.</t>
  </si>
  <si>
    <t xml:space="preserve">Together: AI analyzes scenarios, leaders decide disclosure.</t>
  </si>
  <si>
    <t xml:space="preserve">Correct. Use AI for scenario work while humans own investor-facing judgment.</t>
  </si>
  <si>
    <t xml:space="preserve">AI: publish the forecast if confidence is high.</t>
  </si>
  <si>
    <t xml:space="preserve">Unsafe. Model confidence is not disclosure-grade evidence.</t>
  </si>
  <si>
    <t xml:space="preserve">Executive: explain from current understanding.</t>
  </si>
  <si>
    <t xml:space="preserve">Helpful, but executives should verify technical claims before presenting.</t>
  </si>
  <si>
    <t xml:space="preserve">Together: AI helps draft, executive validates and explains.</t>
  </si>
  <si>
    <t xml:space="preserve">Correct. Leaders can use AI to prepare, but must understand and own the explanation.</t>
  </si>
  <si>
    <t xml:space="preserve">AI: present directly to the board.</t>
  </si>
  <si>
    <t xml:space="preserve">Too much delegation. The board needs accountable leadership judgment.</t>
  </si>
  <si>
    <t xml:space="preserve">Executive/owners: approve manually without AI input.</t>
  </si>
  <si>
    <t xml:space="preserve">Accountability is right, but AI can help map risks and missing controls.</t>
  </si>
  <si>
    <t xml:space="preserve">Together: AI maps risks, owners approve bounded access.</t>
  </si>
  <si>
    <t xml:space="preserve">Correct. Use AI to structure the review; humans set permissions and escalation rules.</t>
  </si>
  <si>
    <t xml:space="preserve">AI: grant itself tools as needed.</t>
  </si>
  <si>
    <t xml:space="preserve">Unsafe. Agents must not self-authorize high-impact tools.</t>
  </si>
  <si>
    <t xml:space="preserve">Approve scale-up because the chart shows a large gain.</t>
  </si>
  <si>
    <t xml:space="preserve">The chart alone is not enough evidence for an investment decision.</t>
  </si>
  <si>
    <t xml:space="preserve">Request baseline metrics, cohort design, adoption data, risk controls, and a decision gate.</t>
  </si>
  <si>
    <t xml:space="preserve">Correct. This turns a vendor claim into decision-grade evidence.</t>
  </si>
  <si>
    <t xml:space="preserve">Ask for a more polished board deck.</t>
  </si>
  <si>
    <t xml:space="preserve">Presentation quality does not solve weak evidence.</t>
  </si>
  <si>
    <t xml:space="preserve">Reject AI productivity pilots entirely.</t>
  </si>
  <si>
    <t xml:space="preserve">Too broad. The right move is disciplined validation.</t>
  </si>
  <si>
    <t xml:space="preserve">Measurable business value and decision owner.</t>
  </si>
  <si>
    <t xml:space="preserve">Value and ownership are required.</t>
  </si>
  <si>
    <t xml:space="preserve">Data readiness and integration feasibility.</t>
  </si>
  <si>
    <t xml:space="preserve">Readiness determines whether value is achievable.</t>
  </si>
  <si>
    <t xml:space="preserve">Risk, compliance, and human-review needs.</t>
  </si>
  <si>
    <t xml:space="preserve">Risk-adjusted value matters at executive level.</t>
  </si>
  <si>
    <t xml:space="preserve">Pilot learning value and scale path.</t>
  </si>
  <si>
    <t xml:space="preserve">Learning and scale evidence prevent isolated experiments.</t>
  </si>
  <si>
    <t xml:space="preserve">Whether the idea sounds most innovative in a press release.</t>
  </si>
  <si>
    <t xml:space="preserve">Novelty is not a decision criterion.</t>
  </si>
  <si>
    <t xml:space="preserve">email</t>
  </si>
  <si>
    <t xml:space="preserve">Draft supplier emails  →  Human approval before external send</t>
  </si>
  <si>
    <t xml:space="preserve">choices: Human approval before external send | Autonomous execution | No log required</t>
  </si>
  <si>
    <t xml:space="preserve">crm</t>
  </si>
  <si>
    <t xml:space="preserve">Update CRM records  →  Audit log and rollback path</t>
  </si>
  <si>
    <t xml:space="preserve">choices: Audit log and rollback path | Public announcement | Ignore until quarter end</t>
  </si>
  <si>
    <t xml:space="preserve">finance</t>
  </si>
  <si>
    <t xml:space="preserve">Trigger finance approval  →  Named owner and threshold gate</t>
  </si>
  <si>
    <t xml:space="preserve">choices: Named owner and threshold gate | Unlimited tool access | Vendor decides</t>
  </si>
  <si>
    <t xml:space="preserve">No auditability or monitoring commitments.</t>
  </si>
  <si>
    <t xml:space="preserve">Auditability is a procurement gate.</t>
  </si>
  <si>
    <t xml:space="preserve">Unclear data retention and vendor data use.</t>
  </si>
  <si>
    <t xml:space="preserve">Data terms must be explicit.</t>
  </si>
  <si>
    <t xml:space="preserve">Unknown subprocessors and cross-border exposure.</t>
  </si>
  <si>
    <t xml:space="preserve">Third-party chain of custody matters.</t>
  </si>
  <si>
    <t xml:space="preserve">No exit rights or portability language.</t>
  </si>
  <si>
    <t xml:space="preserve">Executives should avoid hidden lock-in.</t>
  </si>
  <si>
    <t xml:space="preserve">The deck uses plain typography.</t>
  </si>
  <si>
    <t xml:space="preserve">Visual polish is not a risk control.</t>
  </si>
  <si>
    <t xml:space="preserve">Respond immediately to match the speed of the post.</t>
  </si>
  <si>
    <t xml:space="preserve">Speed matters, but an unverified response can amplify misinformation.</t>
  </si>
  <si>
    <t xml:space="preserve">Verify provenance through original channels, trusted reporting, metadata where available, and internal confirmation.</t>
  </si>
  <si>
    <t xml:space="preserve">Correct. Executive response should be fast and evidence-led.</t>
  </si>
  <si>
    <t xml:space="preserve">Ignore it until it disappears.</t>
  </si>
  <si>
    <t xml:space="preserve">Silence may be risky when market or employee trust is affected.</t>
  </si>
  <si>
    <t xml:space="preserve">Assume realistic visuals are authentic.</t>
  </si>
  <si>
    <t xml:space="preserve">Realistic visuals are not proof of authenticity.</t>
  </si>
  <si>
    <t xml:space="preserve">Define value hypothesis and owner</t>
  </si>
  <si>
    <t xml:space="preserve">Assess data, workflow, and risk readiness</t>
  </si>
  <si>
    <t xml:space="preserve">Run controlled pilot with success metrics</t>
  </si>
  <si>
    <t xml:space="preserve">Scale only after evidence and controls pass</t>
  </si>
  <si>
    <t xml:space="preserve">fairness</t>
  </si>
  <si>
    <t xml:space="preserve">Uneven outcomes across protected groups  →  Bias test and remediation record</t>
  </si>
  <si>
    <t xml:space="preserve">choices: Bias test and remediation record | Marketing launch plan | Seat-license count</t>
  </si>
  <si>
    <t xml:space="preserve">appeal</t>
  </si>
  <si>
    <t xml:space="preserve">User challenges AI-assisted decision  →  Appeal path and human rationale</t>
  </si>
  <si>
    <t xml:space="preserve">choices: Appeal path and human rationale | Vendor logo page | Internal hype metric</t>
  </si>
  <si>
    <t xml:space="preserve">drift</t>
  </si>
  <si>
    <t xml:space="preserve">Performance changes after launch  →  Monitoring dashboard and review cadence</t>
  </si>
  <si>
    <t xml:space="preserve">choices: Monitoring dashboard and review cadence | One-time demo | No evidence needed</t>
  </si>
  <si>
    <t xml:space="preserve">Blame the frontline team for accepting the AI output.</t>
  </si>
  <si>
    <t xml:space="preserve">Blame discourages learning and hides systemic control failures.</t>
  </si>
  <si>
    <t xml:space="preserve">Contain harm, notify affected stakeholders, explain remediation, fix controls, and share learning.</t>
  </si>
  <si>
    <t xml:space="preserve">Correct. Trust comes from accountability and visible improvement.</t>
  </si>
  <si>
    <t xml:space="preserve">Quietly patch the system without communicating.</t>
  </si>
  <si>
    <t xml:space="preserve">Hidden fixes may fail trust and disclosure obligations.</t>
  </si>
  <si>
    <t xml:space="preserve">Stop all customer-facing AI forever.</t>
  </si>
  <si>
    <t xml:space="preserve">A pause may be needed, but permanent retreat is not necessarily proportional.</t>
  </si>
  <si>
    <t xml:space="preserve">Data ownership, retention, and reuse rights.</t>
  </si>
  <si>
    <t xml:space="preserve">Data rights determine long-term control.</t>
  </si>
  <si>
    <t xml:space="preserve">Portability, exit rights, and migration cost.</t>
  </si>
  <si>
    <t xml:space="preserve">Exit paths protect strategic flexibility.</t>
  </si>
  <si>
    <t xml:space="preserve">Dependency on vendor prompts, workflows, and model roadmap.</t>
  </si>
  <si>
    <t xml:space="preserve">Capability dependency can become lock-in.</t>
  </si>
  <si>
    <t xml:space="preserve">The charisma of the vendor presenter.</t>
  </si>
  <si>
    <t xml:space="preserve">A strong pitch is not diligence evidence.</t>
  </si>
  <si>
    <t xml:space="preserve">benchmark</t>
  </si>
  <si>
    <t xml:space="preserve">High benchmark score  →  Capability signal, not safe authority</t>
  </si>
  <si>
    <t xml:space="preserve">choices: Capability signal, not safe authority | Permission to automate everything | Legal approval</t>
  </si>
  <si>
    <t xml:space="preserve">Current policy answer  →  Requires grounding in approved sources</t>
  </si>
  <si>
    <t xml:space="preserve">choices: Requires grounding in approved sources | Model memory is enough | Ignore citations</t>
  </si>
  <si>
    <t xml:space="preserve">Tool-chaining agent  →  Needs permissions, logs, and supervision</t>
  </si>
  <si>
    <t xml:space="preserve">choices: Needs permissions, logs, and supervision | No human role remains | Only branding matters</t>
  </si>
  <si>
    <t xml:space="preserve">Map where AI enters the workflow</t>
  </si>
  <si>
    <t xml:space="preserve">Set human review and exception points</t>
  </si>
  <si>
    <t xml:space="preserve">Measure quality, speed, adoption, and risk</t>
  </si>
  <si>
    <t xml:space="preserve">train</t>
  </si>
  <si>
    <t xml:space="preserve">Train role owners and scale the pattern</t>
  </si>
  <si>
    <t xml:space="preserve">The forecast is decision-ready because sources are listed.</t>
  </si>
  <si>
    <t xml:space="preserve">Sources must support the exact claim.</t>
  </si>
  <si>
    <t xml:space="preserve">The recommendation has a citation-support gap and needs correction before board use.</t>
  </si>
  <si>
    <t xml:space="preserve">Correct. This identifies the evidence failure without overclaiming.</t>
  </si>
  <si>
    <t xml:space="preserve">The entire market report must be false.</t>
  </si>
  <si>
    <t xml:space="preserve">The specific claim is unsupported; other content may still be valid.</t>
  </si>
  <si>
    <t xml:space="preserve">Only the citation formatting needs editing.</t>
  </si>
  <si>
    <t xml:space="preserve">This is a substance issue, not formatting.</t>
  </si>
  <si>
    <t xml:space="preserve">Quarterly AI portfolio and risk review.</t>
  </si>
  <si>
    <t xml:space="preserve">Portfolio review keeps investment and risk connected.</t>
  </si>
  <si>
    <t xml:space="preserve">Incident and near-miss learning review.</t>
  </si>
  <si>
    <t xml:space="preserve">Incidents are a leadership learning loop.</t>
  </si>
  <si>
    <t xml:space="preserve">Executive scenario drills for emerging AI risks.</t>
  </si>
  <si>
    <t xml:space="preserve">Scenario practice improves judgment under ambiguity.</t>
  </si>
  <si>
    <t xml:space="preserve">Named accountability for business, risk, technology, and people outcomes.</t>
  </si>
  <si>
    <t xml:space="preserve">Accountability must be shared but explicit.</t>
  </si>
  <si>
    <t xml:space="preserve">One annual inspirational keynote with no operating follow-up.</t>
  </si>
  <si>
    <t xml:space="preserve">Inspiration without cadence does not create oversight capability.</t>
  </si>
  <si>
    <t xml:space="preserve">Contain access and preserve audit evidence</t>
  </si>
  <si>
    <t xml:space="preserve">assess</t>
  </si>
  <si>
    <t xml:space="preserve">Assess impact, legal obligations, and notification needs</t>
  </si>
  <si>
    <t xml:space="preserve">communicate</t>
  </si>
  <si>
    <t xml:space="preserve">Communicate clearly to affected stakeholders</t>
  </si>
  <si>
    <t xml:space="preserve">prevent</t>
  </si>
  <si>
    <t xml:space="preserve">Fix permissions, monitoring, and ownership</t>
  </si>
  <si>
    <t xml:space="preserve">AI will replace routine work, and details will come later.</t>
  </si>
  <si>
    <t xml:space="preserve">This increases fear and ambiguity.</t>
  </si>
  <si>
    <t xml:space="preserve">AI will target measurable customer, quality, and productivity outcomes while protecting accountability and learning.</t>
  </si>
  <si>
    <t xml:space="preserve">Correct. It connects value, trust, and human capability.</t>
  </si>
  <si>
    <t xml:space="preserve">AI is mainly an IT modernization project.</t>
  </si>
  <si>
    <t xml:space="preserve">That undersells business ownership and change leadership.</t>
  </si>
  <si>
    <t xml:space="preserve">AI messaging should wait until every answer is known.</t>
  </si>
  <si>
    <t xml:space="preserve">Leaders can communicate principles before every detail is final.</t>
  </si>
  <si>
    <t xml:space="preserve">legal</t>
  </si>
  <si>
    <t xml:space="preserve">Legal  →  Disclosure, liability, and regulatory obligations</t>
  </si>
  <si>
    <t xml:space="preserve">choices: Disclosure, liability, and regulatory obligations | System uptime only | Training attendance</t>
  </si>
  <si>
    <t xml:space="preserve">it</t>
  </si>
  <si>
    <t xml:space="preserve">IT / Data  →  Security, integration, access, and monitoring</t>
  </si>
  <si>
    <t xml:space="preserve">choices: Security, integration, access, and monitoring | Press release timing | Compensation policy</t>
  </si>
  <si>
    <t xml:space="preserve">hr</t>
  </si>
  <si>
    <t xml:space="preserve">HR / People  →  Role impact, enablement, and adoption trust</t>
  </si>
  <si>
    <t xml:space="preserve">choices: Role impact, enablement, and adoption trust | Vendor revenue | Database schema only</t>
  </si>
  <si>
    <t xml:space="preserve">AI definitely caused the full churn reduction.</t>
  </si>
  <si>
    <t xml:space="preserve">The visual overstates causality.</t>
  </si>
  <si>
    <t xml:space="preserve">The result is promising but needs causal analysis, controls, and baseline transparency.</t>
  </si>
  <si>
    <t xml:space="preserve">Correct. This is calibrated evidence judgment.</t>
  </si>
  <si>
    <t xml:space="preserve">The dashboard proves AI had no value.</t>
  </si>
  <si>
    <t xml:space="preserve">The evidence is weak, not necessarily negative.</t>
  </si>
  <si>
    <t xml:space="preserve">Hide the chart because it is imperfect.</t>
  </si>
  <si>
    <t xml:space="preserve">Improve the evidence rather than hiding uncertainty.</t>
  </si>
  <si>
    <t xml:space="preserve">Scale anyway to protect the announcement.</t>
  </si>
  <si>
    <t xml:space="preserve">Optics should not override adoption and outcome evidence.</t>
  </si>
  <si>
    <t xml:space="preserve">Pause scale-up, diagnose adoption barriers, and decide whether to iterate or stop.</t>
  </si>
  <si>
    <t xml:space="preserve">Correct. Stage gates should use evidence, not momentum.</t>
  </si>
  <si>
    <t xml:space="preserve">Declare the pilot a success because it launched.</t>
  </si>
  <si>
    <t xml:space="preserve">Launch is not value realization.</t>
  </si>
  <si>
    <t xml:space="preserve">Move the pilot to another team without review.</t>
  </si>
  <si>
    <t xml:space="preserve">Transferring the problem does not create learning.</t>
  </si>
  <si>
    <t xml:space="preserve">Integration, data preparation, and security review.</t>
  </si>
  <si>
    <t xml:space="preserve">These often exceed simple license cost.</t>
  </si>
  <si>
    <t xml:space="preserve">Human review, exception handling, and QA time.</t>
  </si>
  <si>
    <t xml:space="preserve">Human-in-the-loop work is part of operating cost.</t>
  </si>
  <si>
    <t xml:space="preserve">Training, adoption support, and change management.</t>
  </si>
  <si>
    <t xml:space="preserve">Capability building is needed for value.</t>
  </si>
  <si>
    <t xml:space="preserve">Monitoring, audit, incident response, and vendor management.</t>
  </si>
  <si>
    <t xml:space="preserve">Controls have recurring cost.</t>
  </si>
  <si>
    <t xml:space="preserve">Only the first-year subscription line.</t>
  </si>
  <si>
    <t xml:space="preserve">That misses the full cost structure.</t>
  </si>
  <si>
    <t xml:space="preserve">Input data snapshot and source timestamp.</t>
  </si>
  <si>
    <t xml:space="preserve">Inputs anchor the decision.</t>
  </si>
  <si>
    <t xml:space="preserve">Model/version or system configuration used.</t>
  </si>
  <si>
    <t xml:space="preserve">Versioning matters for review.</t>
  </si>
  <si>
    <t xml:space="preserve">Human review status and rationale.</t>
  </si>
  <si>
    <t xml:space="preserve">Human accountability must be visible.</t>
  </si>
  <si>
    <t xml:space="preserve">Appeal outcome and remediation record.</t>
  </si>
  <si>
    <t xml:space="preserve">Appeals complete the evidence trail.</t>
  </si>
  <si>
    <t xml:space="preserve">Only the final score.</t>
  </si>
  <si>
    <t xml:space="preserve">A score without context is not auditable.</t>
  </si>
  <si>
    <t xml:space="preserve">We will use AI wherever it improves speed.</t>
  </si>
  <si>
    <t xml:space="preserve">Speed alone is not a risk appetite.</t>
  </si>
  <si>
    <t xml:space="preserve">We permit low-risk augmentation broadly, require enhanced controls for high-impact decisions, and prohibit unsupervised safety-critical actions.</t>
  </si>
  <si>
    <t xml:space="preserve">Correct. It defines tiers, controls, and boundaries.</t>
  </si>
  <si>
    <t xml:space="preserve">We will wait for every regulation to be final.</t>
  </si>
  <si>
    <t xml:space="preserve">This is not an operating risk appetite.</t>
  </si>
  <si>
    <t xml:space="preserve">We trust vendors to decide what is safe.</t>
  </si>
  <si>
    <t xml:space="preserve">Accountability remains with the organization.</t>
  </si>
  <si>
    <t xml:space="preserve">low-use</t>
  </si>
  <si>
    <t xml:space="preserve">Low use in one function  →  Diagnose workflow fit and manager enablement</t>
  </si>
  <si>
    <t xml:space="preserve">choices: Diagnose workflow fit and manager enablement | Declare resistance | Remove all controls</t>
  </si>
  <si>
    <t xml:space="preserve">high-error</t>
  </si>
  <si>
    <t xml:space="preserve">High correction rate  →  Improve training and review checklist</t>
  </si>
  <si>
    <t xml:space="preserve">choices: Improve training and review checklist | Scale immediately | Ignore quality</t>
  </si>
  <si>
    <t xml:space="preserve">hidden-use</t>
  </si>
  <si>
    <t xml:space="preserve">Unreported tool usage  →  Create safe disclosure and policy clarity</t>
  </si>
  <si>
    <t xml:space="preserve">choices: Create safe disclosure and policy clarity | Punish every experiment | Stop measuring</t>
  </si>
  <si>
    <t xml:space="preserve">Approve the reduction based on the demo.</t>
  </si>
  <si>
    <t xml:space="preserve">A demo is not workforce evidence.</t>
  </si>
  <si>
    <t xml:space="preserve">Require workflow evidence, quality measures, role redesign, and capability planning before workforce decisions.</t>
  </si>
  <si>
    <t xml:space="preserve">Correct. Workforce redesign needs evidence and care.</t>
  </si>
  <si>
    <t xml:space="preserve">Ban the AI assistant to avoid difficult questions.</t>
  </si>
  <si>
    <t xml:space="preserve">Avoidance does not build capability.</t>
  </si>
  <si>
    <t xml:space="preserve">Tell employees nothing until reductions are final.</t>
  </si>
  <si>
    <t xml:space="preserve">This damages trust and adoption.</t>
  </si>
  <si>
    <t xml:space="preserve">Prediction interval or scenario range.</t>
  </si>
  <si>
    <t xml:space="preserve">Ranges communicate uncertainty.</t>
  </si>
  <si>
    <t xml:space="preserve">Back-test against prior periods.</t>
  </si>
  <si>
    <t xml:space="preserve">Historical performance calibrates trust.</t>
  </si>
  <si>
    <t xml:space="preserve">Assumptions, data freshness, and known limitations.</t>
  </si>
  <si>
    <t xml:space="preserve">Inputs and limits shape interpretation.</t>
  </si>
  <si>
    <t xml:space="preserve">More confident wording in the slide title.</t>
  </si>
  <si>
    <t xml:space="preserve">Confidence wording is not evidence.</t>
  </si>
  <si>
    <t xml:space="preserve">The AI recommendation won because it was quantitative.</t>
  </si>
  <si>
    <t xml:space="preserve">Quantitative output is not automatically stronger evidence.</t>
  </si>
  <si>
    <t xml:space="preserve">The conflict was escalated, evidence was compared, uncertainty was documented, and a human decision owner was named.</t>
  </si>
  <si>
    <t xml:space="preserve">Correct. This is decision-quality governance.</t>
  </si>
  <si>
    <t xml:space="preserve">The expert evidence was ignored to avoid delays.</t>
  </si>
  <si>
    <t xml:space="preserve">Ignoring contrary evidence creates risk.</t>
  </si>
  <si>
    <t xml:space="preserve">No record is needed if the decision is urgent.</t>
  </si>
  <si>
    <t xml:space="preserve">Urgency increases the need for rationale.</t>
  </si>
  <si>
    <t xml:space="preserve">Make the analysis impressive.</t>
  </si>
  <si>
    <t xml:space="preserve">Impressive is not a usable constraint.</t>
  </si>
  <si>
    <t xml:space="preserve">Use these approved sources, compare three options, state assumptions, and flag where human judgment is required.</t>
  </si>
  <si>
    <t xml:space="preserve">Correct. Executives should define context, sources, output, and use.</t>
  </si>
  <si>
    <t xml:space="preserve">Find whatever supports my preferred decision.</t>
  </si>
  <si>
    <t xml:space="preserve">That invites confirmation bias.</t>
  </si>
  <si>
    <t xml:space="preserve">Skip source notes to save time.</t>
  </si>
  <si>
    <t xml:space="preserve">Decision support needs traceability.</t>
  </si>
  <si>
    <t xml:space="preserve">Prompt template design  →  Set success criteria and review expectations</t>
  </si>
  <si>
    <t xml:space="preserve">choices: Set success criteria and review expectations | Write every prompt personally | Ignore output quality</t>
  </si>
  <si>
    <t xml:space="preserve">access</t>
  </si>
  <si>
    <t xml:space="preserve">Tool access level  →  Approve risk tier and authority boundary</t>
  </si>
  <si>
    <t xml:space="preserve">choices: Approve risk tier and authority boundary | Leave all access open | Treat as branding</t>
  </si>
  <si>
    <t xml:space="preserve">metrics</t>
  </si>
  <si>
    <t xml:space="preserve">Workflow metrics  →  Require outcome, quality, and adoption measures</t>
  </si>
  <si>
    <t xml:space="preserve">choices: Require outcome, quality, and adoption measures | Count demos only | Measure nothing</t>
  </si>
  <si>
    <t xml:space="preserve">Model memory only, because the output is fluent.</t>
  </si>
  <si>
    <t xml:space="preserve">Fluency does not ensure current policy accuracy.</t>
  </si>
  <si>
    <t xml:space="preserve">Retrieval from approved policy sources with citations, access controls, and review for high-impact advice.</t>
  </si>
  <si>
    <t xml:space="preserve">Correct. Current internal knowledge needs grounding and controls.</t>
  </si>
  <si>
    <t xml:space="preserve">Ask employees to paste policy text into public tools.</t>
  </si>
  <si>
    <t xml:space="preserve">This creates privacy and consistency risk.</t>
  </si>
  <si>
    <t xml:space="preserve">Ban all policy questions from AI forever.</t>
  </si>
  <si>
    <t xml:space="preserve">A governed architecture can support safe use.</t>
  </si>
  <si>
    <t xml:space="preserve">Classify the use case as safety-critical</t>
  </si>
  <si>
    <t xml:space="preserve">Assign human authority and fail-safe boundary</t>
  </si>
  <si>
    <t xml:space="preserve">validate</t>
  </si>
  <si>
    <t xml:space="preserve">Validate performance under edge cases</t>
  </si>
  <si>
    <t xml:space="preserve">Monitor incidents and suspend when thresholds are crossed</t>
  </si>
  <si>
    <t xml:space="preserve">spoof</t>
  </si>
  <si>
    <t xml:space="preserve">Agent identity can be spoofed  →  Authenticate agent and system identity</t>
  </si>
  <si>
    <t xml:space="preserve">choices: Authenticate agent and system identity | Use a nicer dashboard | Remove human review</t>
  </si>
  <si>
    <t xml:space="preserve">Agent exceeds allowed authority  →  Policy-bound permissions and approval gates</t>
  </si>
  <si>
    <t xml:space="preserve">choices: Policy-bound permissions and approval gates | Unlimited automation | No thresholds</t>
  </si>
  <si>
    <t xml:space="preserve">No record of the handoff  →  Cross-agent audit log and rationale</t>
  </si>
  <si>
    <t xml:space="preserve">choices: Cross-agent audit log and rationale | Private verbal update | Delete traces</t>
  </si>
  <si>
    <t xml:space="preserve">practice</t>
  </si>
  <si>
    <t xml:space="preserve">Define the manager decision moments where AI will assist</t>
  </si>
  <si>
    <t xml:space="preserve">Set review criteria for quality, fairness, and escalation</t>
  </si>
  <si>
    <t xml:space="preserve">Coach managers using examples from real use</t>
  </si>
  <si>
    <t xml:space="preserve">refresh</t>
  </si>
  <si>
    <t xml:space="preserve">Refresh prompts, policies, and training from observed failures</t>
  </si>
  <si>
    <t xml:space="preserve">Least-privilege tool access by task.</t>
  </si>
  <si>
    <t xml:space="preserve">Access should be scoped to the job.</t>
  </si>
  <si>
    <t xml:space="preserve">Human approval before external messages and finance triggers.</t>
  </si>
  <si>
    <t xml:space="preserve">High-impact actions need gates.</t>
  </si>
  <si>
    <t xml:space="preserve">Action logs and rollback for system writes.</t>
  </si>
  <si>
    <t xml:space="preserve">Traceability and recovery are required.</t>
  </si>
  <si>
    <t xml:space="preserve">Stop conditions for unusual or high-risk chains.</t>
  </si>
  <si>
    <t xml:space="preserve">Agents need bounded autonomy.</t>
  </si>
  <si>
    <t xml:space="preserve">A more confident system prompt.</t>
  </si>
  <si>
    <t xml:space="preserve">Confidence does not control tool authority.</t>
  </si>
  <si>
    <t xml:space="preserve">Fund it if competitors announced it first.</t>
  </si>
  <si>
    <t xml:space="preserve">Competitive pressure is a signal, not a business case.</t>
  </si>
  <si>
    <t xml:space="preserve">Identify target workflows, measurable value, interoperability need, risk controls, and pilot evidence before funding.</t>
  </si>
  <si>
    <t xml:space="preserve">Correct. Trend response should become a disciplined portfolio decision.</t>
  </si>
  <si>
    <t xml:space="preserve">Reject all agent programs until standards stop changing.</t>
  </si>
  <si>
    <t xml:space="preserve">Waiting forever can miss learning; pilot with controls.</t>
  </si>
  <si>
    <t xml:space="preserve">Let the vendor pick the first business process.</t>
  </si>
  <si>
    <t xml:space="preserve">Business ownership should set priorities.</t>
  </si>
  <si>
    <t xml:space="preserve">A revised explanation covering compute, revenue, one-time credits, and uncertainty.</t>
  </si>
  <si>
    <t xml:space="preserve">Correct. Board evidence should reflect material drivers and limits.</t>
  </si>
  <si>
    <t xml:space="preserve">A shorter story focused only on the easiest line item.</t>
  </si>
  <si>
    <t xml:space="preserve">Shorter is not better if it hides material causes.</t>
  </si>
  <si>
    <t xml:space="preserve">A more confident conclusion using the same evidence.</t>
  </si>
  <si>
    <t xml:space="preserve">Confidence does not fix weak analysis.</t>
  </si>
  <si>
    <t xml:space="preserve">A delay until every variance has a perfect answer.</t>
  </si>
  <si>
    <t xml:space="preserve">The board needs a calibrated view, not false certainty or paralysis.</t>
  </si>
  <si>
    <t xml:space="preserve">Define job-relevant criteria and remove proxy language.</t>
  </si>
  <si>
    <t xml:space="preserve">Correct. Screening criteria must be evidence-based.</t>
  </si>
  <si>
    <t xml:space="preserve">Audit outcomes for bias and adverse impact.</t>
  </si>
  <si>
    <t xml:space="preserve">Correct. People decisions need fairness monitoring.</t>
  </si>
  <si>
    <t xml:space="preserve">Require human review before candidate advancement.</t>
  </si>
  <si>
    <t xml:space="preserve">Correct. AI should not own high-impact employment decisions.</t>
  </si>
  <si>
    <t xml:space="preserve">Keep appeal and documentation records.</t>
  </si>
  <si>
    <t xml:space="preserve">Correct. Process evidence supports accountability.</t>
  </si>
  <si>
    <t xml:space="preserve">Scale quickly because culture fit is easy to automate.</t>
  </si>
  <si>
    <t xml:space="preserve">Culture-fit automation is a known risk area.</t>
  </si>
  <si>
    <t xml:space="preserve">Chatbot  →  Responds conversationally without owning system actions</t>
  </si>
  <si>
    <t xml:space="preserve">choices: Responds conversationally without owning system actions | Executes multi-system tasks with delegated authority | Runs fixed rules without language understanding</t>
  </si>
  <si>
    <t xml:space="preserve">Copilot  →  Assists a human inside an existing work step</t>
  </si>
  <si>
    <t xml:space="preserve">choices: Assists a human inside an existing work step | Approves exceptions without review | Sets strategy from market signals alone</t>
  </si>
  <si>
    <t xml:space="preserve">automation</t>
  </si>
  <si>
    <t xml:space="preserve">Workflow automation  →  Runs predefined steps when conditions are met</t>
  </si>
  <si>
    <t xml:space="preserve">choices: Runs predefined steps when conditions are met | Negotiates policy tradeoffs independently | Creates training data from every prompt</t>
  </si>
  <si>
    <t xml:space="preserve">AI agent  →  Plans and uses tools toward a goal within authority limits</t>
  </si>
  <si>
    <t xml:space="preserve">choices: Plans and uses tools toward a goal within authority limits | Only summarizes documents after upload | Cannot affect records or communications</t>
  </si>
  <si>
    <t xml:space="preserve">architecture</t>
  </si>
  <si>
    <t xml:space="preserve">Which distinction should leaders understand before approving an AI knowledge assistant?</t>
  </si>
  <si>
    <t xml:space="preserve">LLM fluency, RAG grounding, and memory retention solve different problems.</t>
  </si>
  <si>
    <t xml:space="preserve">Correct. These are different capabilities with different risks.</t>
  </si>
  <si>
    <t xml:space="preserve">A fluent answer means the system used approved company sources.</t>
  </si>
  <si>
    <t xml:space="preserve">Fluency alone does not prove source grounding.</t>
  </si>
  <si>
    <t xml:space="preserve">Memory should replace document retrieval for current policy.</t>
  </si>
  <si>
    <t xml:space="preserve">Memory is not an authoritative policy source.</t>
  </si>
  <si>
    <t xml:space="preserve">tooling</t>
  </si>
  <si>
    <t xml:space="preserve">What makes MCP/tool connectors strategically different from ordinary chat?</t>
  </si>
  <si>
    <t xml:space="preserve">They mainly improve tone and writing style.</t>
  </si>
  <si>
    <t xml:space="preserve">Connectors can affect data and actions, not only style.</t>
  </si>
  <si>
    <t xml:space="preserve">They let AI reach systems, files, and workflows under defined authority.</t>
  </si>
  <si>
    <t xml:space="preserve">Correct. Tooling changes operating capability.</t>
  </si>
  <si>
    <t xml:space="preserve">They remove the need to map business workflows.</t>
  </si>
  <si>
    <t xml:space="preserve">Workflow mapping becomes more important.</t>
  </si>
  <si>
    <t xml:space="preserve">governance</t>
  </si>
  <si>
    <t xml:space="preserve">What must exist before agents can trigger external messages or financial actions?</t>
  </si>
  <si>
    <t xml:space="preserve">A polished demo and a confident executive sponsor.</t>
  </si>
  <si>
    <t xml:space="preserve">Sponsorship does not replace controls.</t>
  </si>
  <si>
    <t xml:space="preserve">A longer system prompt describing good behavior.</t>
  </si>
  <si>
    <t xml:space="preserve">Prompting helps, but cannot carry authority control alone.</t>
  </si>
  <si>
    <t xml:space="preserve">Scoped permissions, approvals, logs, rollback, and named owners.</t>
  </si>
  <si>
    <t xml:space="preserve">Correct. Agent authority requires operational governance.</t>
  </si>
  <si>
    <t xml:space="preserve">How should leadership decide whether these concepts justify investment?</t>
  </si>
  <si>
    <t xml:space="preserve">Tie capability choices to workflows, value metrics, risk, and adoption evidence.</t>
  </si>
  <si>
    <t xml:space="preserve">Correct. Technology choices need business evidence.</t>
  </si>
  <si>
    <t xml:space="preserve">Fund every concept equally to show the company is AI-forward.</t>
  </si>
  <si>
    <t xml:space="preserve">Breadth without prioritization weakens learning and value.</t>
  </si>
  <si>
    <t xml:space="preserve">Wait until the market picks one final architecture.</t>
  </si>
  <si>
    <t xml:space="preserve">A controlled pilot can learn before standards settle.</t>
  </si>
  <si>
    <t xml:space="preserve">Start with documented workflows, data rules, example prompts, review, and feedback.</t>
  </si>
  <si>
    <t xml:space="preserve">Correct. This builds skill while respecting data, judgment, and workflow fit.</t>
  </si>
  <si>
    <t xml:space="preserve">Give everyone access and compare output volume after thirty days.</t>
  </si>
  <si>
    <t xml:space="preserve">Usage alone does not show quality, risk, or business value.</t>
  </si>
  <si>
    <t xml:space="preserve">Require the chatbot to make first-round management decisions.</t>
  </si>
  <si>
    <t xml:space="preserve">That assigns judgment and accountability to the wrong place.</t>
  </si>
  <si>
    <t xml:space="preserve">Delay all adoption until every use case has a custom model.</t>
  </si>
  <si>
    <t xml:space="preserve">Some low-risk workflows can be learned from before custom investment.</t>
  </si>
  <si>
    <t xml:space="preserve">Convert high-impact actions into explicit approval gates.</t>
  </si>
  <si>
    <t xml:space="preserve">Correct. Email sends, refunds, and finance triggers need enforceable gates.</t>
  </si>
  <si>
    <t xml:space="preserve">Scope each tool permission to the task and data minimum.</t>
  </si>
  <si>
    <t xml:space="preserve">Correct. Least privilege lowers blast radius.</t>
  </si>
  <si>
    <t xml:space="preserve">Log rationale, inputs, outputs, owner, and rollback path.</t>
  </si>
  <si>
    <t xml:space="preserve">Correct. Audit and recovery must be designed into the workflow.</t>
  </si>
  <si>
    <t xml:space="preserve">Assign a business owner for residual risk and exceptions.</t>
  </si>
  <si>
    <t xml:space="preserve">Correct. Ownership cannot be left to the model or vendor.</t>
  </si>
  <si>
    <t xml:space="preserve">Keep the prompt unchanged because the log documents issues.</t>
  </si>
  <si>
    <t xml:space="preserve">Documentation alone does not constrain authority.</t>
  </si>
  <si>
    <t xml:space="preserve">Sign now because the discount is time-limited.</t>
  </si>
  <si>
    <t xml:space="preserve">The discount does not resolve data rights, access, retention, or subprocessor risk.</t>
  </si>
  <si>
    <t xml:space="preserve">Require redlines on training use, retention, access approval, and subprocessors.</t>
  </si>
  <si>
    <t xml:space="preserve">Correct. These terms define the operating risk, not just legal cleanup.</t>
  </si>
  <si>
    <t xml:space="preserve">Approve only if the vendor provides a detailed feature roadmap.</t>
  </si>
  <si>
    <t xml:space="preserve">Roadmap detail is useful, but it does not settle the data and governance terms.</t>
  </si>
  <si>
    <t xml:space="preserve">Reject it solely because vendor support access is possible.</t>
  </si>
  <si>
    <t xml:space="preserve">Support access may be acceptable with approval, logging, and scope controls.</t>
  </si>
  <si>
    <t xml:space="preserve">outcomes</t>
  </si>
  <si>
    <t xml:space="preserve">Define outcomes, baseline, cohort, and decision owner</t>
  </si>
  <si>
    <t xml:space="preserve">Validate data readiness, integration effort, adoption, and fit</t>
  </si>
  <si>
    <t xml:space="preserve">Set controls, review gates, and stop conditions</t>
  </si>
  <si>
    <t xml:space="preserve">funding</t>
  </si>
  <si>
    <t xml:space="preserve">Release staged funding tied to evidence milestones</t>
  </si>
  <si>
    <t xml:space="preserve">Business outcome movement tied to a workflow baseline.</t>
  </si>
  <si>
    <t xml:space="preserve">Correct. Value needs an operating baseline.</t>
  </si>
  <si>
    <t xml:space="preserve">Sustained adoption by roles expected to change behavior.</t>
  </si>
  <si>
    <t xml:space="preserve">Correct. Benefits depend on actual workflow adoption.</t>
  </si>
  <si>
    <t xml:space="preserve">Quality, exception, and customer-impact measures.</t>
  </si>
  <si>
    <t xml:space="preserve">Correct. Productivity without quality can hide loss.</t>
  </si>
  <si>
    <t xml:space="preserve">Risk events, overrides, and control failures by owner.</t>
  </si>
  <si>
    <t xml:space="preserve">Correct. Executive value reporting should include downside evidence.</t>
  </si>
  <si>
    <t xml:space="preserve">Total prompt count because it is simple to collect.</t>
  </si>
  <si>
    <t xml:space="preserve">Prompt volume is an activity metric, not a value dashboard.</t>
  </si>
  <si>
    <t xml:space="preserve">tool-authority</t>
  </si>
  <si>
    <t xml:space="preserve">What makes this agent materially different from an ordinary chatbot?</t>
  </si>
  <si>
    <t xml:space="preserve">It writes in a friendlier customer-service tone.</t>
  </si>
  <si>
    <t xml:space="preserve">Tone is secondary. The artifact shows real tool authority.</t>
  </si>
  <si>
    <t xml:space="preserve">It can act in systems: payments, CRM, email, and documents.</t>
  </si>
  <si>
    <t xml:space="preserve">Correct. System action changes operational risk and value.</t>
  </si>
  <si>
    <t xml:space="preserve">It removes the need for customer-service policy.</t>
  </si>
  <si>
    <t xml:space="preserve">Policy becomes more important when actions are automated.</t>
  </si>
  <si>
    <t xml:space="preserve">control-gap</t>
  </si>
  <si>
    <t xml:space="preserve">Which unresolved control should block expansion?</t>
  </si>
  <si>
    <t xml:space="preserve">Broad CRM write access and customer email sends lack strong approval and rollback ownership.</t>
  </si>
  <si>
    <t xml:space="preserve">Correct. Authority, logging, and ownership are not tight enough.</t>
  </si>
  <si>
    <t xml:space="preserve">The workflow has too many human approval gates.</t>
  </si>
  <si>
    <t xml:space="preserve">The current gates are too narrow, not excessive.</t>
  </si>
  <si>
    <t xml:space="preserve">The agent reads policy documents before answering.</t>
  </si>
  <si>
    <t xml:space="preserve">Policy retrieval is useful; the risk is weak control over actions.</t>
  </si>
  <si>
    <t xml:space="preserve">value-gate</t>
  </si>
  <si>
    <t xml:space="preserve">Which evidence should leaders require before funding scale?</t>
  </si>
  <si>
    <t xml:space="preserve">Prompt volume and number of customer emails sent.</t>
  </si>
  <si>
    <t xml:space="preserve">Activity volume is not the same as value.</t>
  </si>
  <si>
    <t xml:space="preserve">A vendor roadmap showing future agent features.</t>
  </si>
  <si>
    <t xml:space="preserve">Future features do not prove this workflow is ready.</t>
  </si>
  <si>
    <t xml:space="preserve">Baseline comparison on speed, quality, harm, adoption, exceptions, and control failures.</t>
  </si>
  <si>
    <t xml:space="preserve">Correct. Scale decisions need benefit and downside evidence.</t>
  </si>
  <si>
    <t xml:space="preserve">Require source-faithful language with citation, owner, and update date.</t>
  </si>
  <si>
    <t xml:space="preserve">Correct. Guidance needs traceable authority.</t>
  </si>
  <si>
    <t xml:space="preserve">Separate low-risk drafting from work-record, customer, financial, health, and HR data use.</t>
  </si>
  <si>
    <t xml:space="preserve">Correct. The guidance must preserve data boundaries.</t>
  </si>
  <si>
    <t xml:space="preserve">Approve it because the AI answer is concise and easy to understand.</t>
  </si>
  <si>
    <t xml:space="preserve">Clarity does not fix contradiction.</t>
  </si>
  <si>
    <t xml:space="preserve">Route ambiguous cases to the approved enterprise assistant or policy owner.</t>
  </si>
  <si>
    <t xml:space="preserve">Correct. Escalation makes the guidance operational.</t>
  </si>
  <si>
    <t xml:space="preserve">Remove the policy source so employees focus on the final answer.</t>
  </si>
  <si>
    <t xml:space="preserve">Removing source evidence weakens trust and auditability.</t>
  </si>
  <si>
    <t xml:space="preserve">File exists</t>
  </si>
  <si>
    <t xml:space="preserve">Size (KB)</t>
  </si>
  <si>
    <t xml:space="preserve">Format</t>
  </si>
  <si>
    <t xml:space="preserve">Used by (count)</t>
  </si>
  <si>
    <t xml:space="preserve">Question IDs</t>
  </si>
  <si>
    <t xml:space="preserve">Domains</t>
  </si>
  <si>
    <t xml:space="preserve">Hidden by gate (question ids)</t>
  </si>
  <si>
    <t xml:space="preserve">Label</t>
  </si>
  <si>
    <t xml:space="preserve">Alt text</t>
  </si>
  <si>
    <t xml:space="preserve">Caption(s)</t>
  </si>
  <si>
    <t xml:space="preserve">Matches its questions</t>
  </si>
  <si>
    <t xml:space="preserve">Realistic (1-5)</t>
  </si>
  <si>
    <t xml:space="preserve">Readable / answer inferable (1-5)</t>
  </si>
  <si>
    <t xml:space="preserve">Guessable without reading? (Yes = bad)</t>
  </si>
  <si>
    <t xml:space="preserve">Comment / replacement brief</t>
  </si>
  <si>
    <t xml:space="preserve">SVG</t>
  </si>
  <si>
    <t xml:space="preserve">DEPTH-D1-SYSTEMS-028
MATCH-AI-PRODUCTS-062
DEPTH-EXP-D1-SYSTEMS-068
COMP-D1-SYSTEMS-002
CAL-D1-SYSTEMS-014
D4-P-004
REL-E-D2-006
EXEC-D6-004</t>
  </si>
  <si>
    <t xml:space="preserve">D1; D4; D2; D6</t>
  </si>
  <si>
    <t xml:space="preserve">AI app diagram; AI product map; System boundary map; Tool connector trace; MCP/tool-call trace; Agent tool trace; Agent trace artifact; Agent authority artifact</t>
  </si>
  <si>
    <t xml:space="preserve">Tool trace showing model, app, connector, and action permissions
Product comparison artifact with chat assistant, coding assistant, model hub, and workflow agent
AI assistant system diagram with memory, connectors, permissions, and logs
Tool trace showing a chatbot connected to calendar, email, and customer records
Agent tool trace showing file read, CRM lookup, email draft, and external web request
Agent trace showing file reads, drafted messages, record updates, finance approval, and missing control gates.
AI agent trace with broad file access, email drafting, CRM update, and finance approval without clear gates.
Agent trace showing file access, email drafting, CRM updates, finance approval, and missing approval gates.</t>
  </si>
  <si>
    <t xml:space="preserve">A model inside an app can behave differently depending on enabled tools.
Different AI products expose different capabilities and risks.
System literacy means separating model behavior from app, tool, and governance behavior.
The model is not the whole system. Connectors, memory, and permissions change what can happen.
The assistant can call tools. The user must inspect what data moved and what actions were allowed.
Inspect the agent actions and decide which permissions, logs, approvals, and stop conditions are required.
Inspect the tool trace before deciding who can approve agent access.
Inspect the agent trace before matching capabilities to executive controls.</t>
  </si>
  <si>
    <t xml:space="preserve">DEPTH-D1-CONCEPTS-025
MATCH-AI-COMPONENTS-061
DEPTH-EXP-D1-D2-067
DEPTH-EXP-D1-D2-086
DEPTH-EXP-D1-CONCEPTS-090
COMP-D1-CONCEPTS-001
CAL-D1-CONCEPTS-013
MULTI-CONCEPT-GEN-001
MULTI-CONCEPT-GEN-002
MULTI-CONCEPT-EXEC-001</t>
  </si>
  <si>
    <t xml:space="preserve">MATCH-AI-COMPONENTS-061
DEPTH-EXP-D1-D2-086
DEPTH-EXP-D1-CONCEPTS-090
COMP-D1-CONCEPTS-001
MULTI-CONCEPT-EXEC-001</t>
  </si>
  <si>
    <t xml:space="preserve">LLM basics card; AI component board; Concept-to-prompt cluster; AI assistant anatomy; Model limits review; AI concept workbench; Concept matching sheet; Concept cluster artifact; Executive concept workbench</t>
  </si>
  <si>
    <t xml:space="preserve">AI concept workbench with token, context, and hallucination notes
AI component board showing LLM, RAG, prompt, context, memory, and tools
Concept workbench showing context, retrieval, prompt rules, and hallucination risks
AI concept workbench with model, app, retrieval, memory, and prompt components
AI concept card contrasting fluent answers, grounded answers, temperature, and model limits
Concept workbench comparing LLM, RAG, context, memory, and hallucination concepts
AI concept workbench showing model, retrieval, context, memory, and tools
Concept workbench defining LLM, RAG, MCP tools, prompt, context, and memory with risks to watch for.
Concept workbench defining prompt, context, memory, LLM, RAG, and MCP/tool connectors.
Concept workbench defining LLM, RAG, MCP tools, prompt, context, and memory with leadership risks to watch for.</t>
  </si>
  <si>
    <t xml:space="preserve">The artifact explains why fluent AI text can still be wrong.
Match AI components to what they actually do in a product.
The item checks whether users can turn AI concepts into better prompting practice.
Match each assistant behavior to the concept a user should understand.
The item checks whether users can explain common AI reliability misconceptions.
Match everyday AI terms to what they actually mean before using them in a workflow.
A product team is deciding which AI concept explains each system behavior.
Use the workbench to answer each mini-part. Each part updates a domain signal.
Use the workbench to answer each mini-part. The item tests practical application across domains.
Answer each mini-part. The item updates architecture, tooling, governance, and value signals.</t>
  </si>
  <si>
    <t xml:space="preserve">REL-G-D5-005
FUNC-GEN-D5-001
DEPTH-D2-WORKFLOW-034
DEPTH-D5-VALUE-049
COMP-D5-VALUE-009
D2-M-002
D2-L-007
EXEC-D6-LOOP-019</t>
  </si>
  <si>
    <t xml:space="preserve">D5; D2; D6</t>
  </si>
  <si>
    <t xml:space="preserve">Workflow artifact; Pilot workflow artifact; Workflow map; Pilot evidence card; Pilot canvas; Workflow map artifact; Loop engineering artifact; Leadership loop artifact</t>
  </si>
  <si>
    <t xml:space="preserve">AI pilot workflow map showing missing review loop and unclear approval step.
AI pilot workflow map with review loop and approval gaps.
Simple workflow showing input, AI draft, human review, and final action
AI pilot canvas showing baseline, metric, owner, and scale criteria
AI pilot canvas with baseline, outcome metric, risk level, data readiness, and scale gate
Workflow map showing AI drafting, unclear approval, customer reply, and a missing review loop.
Workflow map showing AI drafting, missing review loop, and monitoring needs.
Workflow artifact showing AI insertion points and a missing review loop.</t>
  </si>
  <si>
    <t xml:space="preserve">Use the workflow map to decide who owns pilot prioritization and review.
Use the workflow evidence to sequence a practical pilot decision.
A workflow is more than a prompt; it includes input, AI work, review, and action.
A pilot needs a baseline before anyone can claim improvement.
The team has three AI ideas but only one has a measurable baseline and safe pilot path.
Inspect where AI enters the process and where review should happen before action.
Use the workflow map to build a practical improvement loop.
Use the workflow map to sequence a leadership learning loop.</t>
  </si>
  <si>
    <t xml:space="preserve">DEPTH-D5-STRATEGY-052
COMP-D5-STRATEGY-010
EXEC-D3-002</t>
  </si>
  <si>
    <t xml:space="preserve">D5; D3</t>
  </si>
  <si>
    <t xml:space="preserve">AI trend brief; AI trend-to-strategy brief; Report evidence image</t>
  </si>
  <si>
    <t xml:space="preserve">Market report with model news, competitor claims, and adoption caveats
Executive market report with competitor AI claims, benchmark caveats, and customer adoption notes
A board report excerpt showing an unsupported thirty-one percent market growth forecast and weak citations.</t>
  </si>
  <si>
    <t xml:space="preserve">A new AI trend should be connected to a real business problem.
The report includes model news, competitor claims, and weak adoption evidence.
The image is the item stimulus: compare the claim against the cited source notes.</t>
  </si>
  <si>
    <t xml:space="preserve">DEPTH-EXP-D3-MEDIA-074
D3-M-002
EXEC-D3-003</t>
  </si>
  <si>
    <t xml:space="preserve">Synthetic executive post; Executive endorsement post; Synthetic media image</t>
  </si>
  <si>
    <t xml:space="preserve">Executive impersonation post with synthetic image cues, urgent timing, and missing original source
Executive impersonation post with synthetic image cues, urgent timing, and missing original source.
A social media style post claiming a CEO confirmed AI-driven layoffs, labeled with missing provenance clues.</t>
  </si>
  <si>
    <t xml:space="preserve">The response should avoid both credulity and unsupported dismissal.
The visual may be real-looking, but the claim attached to it still needs provenance.
The image is the item stimulus: inspect the post, source, timing, and missing original link.</t>
  </si>
  <si>
    <t xml:space="preserve">DEPTH-D5-STRATEGY-053
DEPTH-EXP-D5-STRATEGY-080
DEPTH-EXP-D2-D5-087
CAL-D5-STRATEGY-022
EXEC-EXP-D5-PORT-006</t>
  </si>
  <si>
    <t xml:space="preserve">D5; D2</t>
  </si>
  <si>
    <t xml:space="preserve">Portfolio review; Portfolio strategy board; Workflow-to-strategy gate; AI portfolio board packet; AI scale-readiness board packet</t>
  </si>
  <si>
    <t xml:space="preserve">Board packet ranking AI projects by value, feasibility, risk, and data readiness
AI portfolio board packet with options by value, risk, data readiness, and strategic differentiation
Executive board packet showing AI portfolio options, workflow readiness, controls, and scale gates
Board packet comparing AI portfolio initiatives by readiness, value, risk, and data quality
Board packet page showing AI scale readiness claims, evidence gaps, portfolio options, and unresolved decision gates.</t>
  </si>
  <si>
    <t xml:space="preserve">The board must choose which AI initiatives deserve funding.
Strategic AI choices depend on differentiation, risk, and readiness.
Strategy becomes practical only when workflow design and scale evidence connect.
Different AI opportunities need different strategic responses.
Use the packet to sequence an executive investment decision.</t>
  </si>
  <si>
    <t xml:space="preserve">DEPTH-D5-STRATEGY-054
DEPTH-D6-CHANGE-060
DEPTH-EXP-D4-GOV-077
DEPTH-EXP-D6-CHANGE-083
EXEC-EXP-D6-LOOP-008</t>
  </si>
  <si>
    <t xml:space="preserve">D5; D6; D4</t>
  </si>
  <si>
    <t xml:space="preserve">Scale-or-pause decision; Change recovery plan; AI incident timeline; Trust repair map; AI support incident timeline</t>
  </si>
  <si>
    <t xml:space="preserve">Incident timeline for support AI rollout with quality misses and unclear ownership
AI rollout timeline showing adoption, incidents, training gaps, and communication points
AI support incident timeline with customer impact, delayed escalation, weak monitoring, and missing owner
Incident timeline showing AI error, customer impact, manager confusion, and weak learning ownership
Incident timeline showing AI support refund denial, batch approval, escalation, weak monitoring, and missing learning owner.</t>
  </si>
  <si>
    <t xml:space="preserve">The pilot has benefits and incidents, so the decision requires tradeoff judgment.
The rollout needs a recovery plan after trust is damaged.
Incident response needs ordered actions, not a vague promise to improve.
Trust repair requires governance fixes and human change routines.
Review the timeline before writing the operating response.</t>
  </si>
  <si>
    <t xml:space="preserve">DEPTH-D4-GOV-048
EXEC-EXP-D4-GOV-004</t>
  </si>
  <si>
    <t xml:space="preserve">AI risk cadence; Agent authority risk log</t>
  </si>
  <si>
    <t xml:space="preserve">Risk log with agent authority, data access, owner, residual risk, and mitigation status
Risk log showing AI agent authority across supplier email, CRM updates, refund workflows, and finance folder access.</t>
  </si>
  <si>
    <t xml:space="preserve">A governance forum must decide what to review regularly.
Inspect the raw risk log before selecting executive controls.</t>
  </si>
  <si>
    <t xml:space="preserve">DEPTH-EXP-D4-D1-078
CAL-D4-GOV-020
EXEC-EXP-D4-VEND-005</t>
  </si>
  <si>
    <t xml:space="preserve">Vendor data-rights cluster; Vendor governance memo; Vendor data-rights memo</t>
  </si>
  <si>
    <t xml:space="preserve">Vendor memo with unresolved model improvement, data retention, support access, audit, and subprocessor terms
Vendor memo with data rights, retention, audit, subcontractor, and incident terms
Vendor memo with unresolved terms for model improvement, audit retention, support access, and subprocessors.</t>
  </si>
  <si>
    <t xml:space="preserve">The item links system features to governance contract terms.
The buyer must review governance terms before expanding vendor access.
Review the memo before deciding whether the contract is ready for signature.</t>
  </si>
  <si>
    <t xml:space="preserve">COMP-D3-MEDIA-006
D3-A-007
D3-P-005</t>
  </si>
  <si>
    <t xml:space="preserve">Marketplace listing; Suspicious listing artifact; Celebrity endorsement listing</t>
  </si>
  <si>
    <t xml:space="preserve">Marketplace product listing with suspicious image, reviews, seller history, and pricing
Suspicious product listing with warped product image, unrealistic price, new seller, copied reviews, and outside-platform payment request.
Suspicious product listing with generated-looking product image, unverifiable endorsement, and weak seller signals.</t>
  </si>
  <si>
    <t xml:space="preserve">Inspect the picture, seller evidence, reviews, and claims before buying or sharing.
Inspect the product image, price, seller age, review pattern, and payment instruction.
The practical skill is not guessing. It is deciding what evidence is needed before sharing or trusting the claim.</t>
  </si>
  <si>
    <t xml:space="preserve">PNG</t>
  </si>
  <si>
    <t xml:space="preserve">DEPTH-D3-MEDIA-042
D3-A-001</t>
  </si>
  <si>
    <t xml:space="preserve">Forwarded flood chat; Forwarded flood claim</t>
  </si>
  <si>
    <t xml:space="preserve">Forwarded chat screenshot with a flood photo, vague location, and same-day claim.
Forwarded chat screenshot showing a neighborhood flood photo and a vague today claim.</t>
  </si>
  <si>
    <t xml:space="preserve">The task is to explain uncertainty across source, date, place, and forwarding chain.
Inspect the forwarding context before deciding whether the post is safe to share.</t>
  </si>
  <si>
    <t xml:space="preserve">REL-G-D3-002
DEPTH-D3-MEDIA-040</t>
  </si>
  <si>
    <t xml:space="preserve">Realistic social post screenshot showing flooding near a station with an uncertain same-day caption.
Social media post screenshot showing an urban flood near a transit station with unclear provenance.</t>
  </si>
  <si>
    <t xml:space="preserve">Inspect the post for source, date, location, and emotional pressure before sharing.
The image may be real but the caption may be misleading.</t>
  </si>
  <si>
    <t xml:space="preserve">DEPTH-D3-MEDIA-041
DEPTH-EXP-D3-MEDIA-075
D3-F-007</t>
  </si>
  <si>
    <t xml:space="preserve">Invoice fraud check; Invoice fraud artifact; Fraud detection image</t>
  </si>
  <si>
    <t xml:space="preserve">Invoice with changed bank account, urgent payment request, mismatched sender, and missing PO
Suspicious invoice with altered bank details, urgency language, vendor mismatch, and approval gap
A suspicious invoice with urgent payment language, changed bank details, inconsistent domain, and missing purchase order.</t>
  </si>
  <si>
    <t xml:space="preserve">Users inspect the invoice for payment-fraud signals.
Fraud review connects artifact clues to payment controls.
Inspect the visual evidence and describe the strongest fraud signals before deciding what to do.</t>
  </si>
  <si>
    <t xml:space="preserve">DEPTH-EXP-D3-MEDIA-088
CAL-D3-MEDIA-018
D4-F-006</t>
  </si>
  <si>
    <t xml:space="preserve">D3; D4</t>
  </si>
  <si>
    <t xml:space="preserve">Login alert review; Login screen inspection; Phishing screen check</t>
  </si>
  <si>
    <t xml:space="preserve">Suspicious login alert with unfamiliar device, urgent link, mismatched domain, and support chat pressure
Suspicious login screen with urgency, lookalike domain, and credential request
A suspicious login prompt with a lookalike domain, countdown timer, and request for password and one-time code.</t>
  </si>
  <si>
    <t xml:space="preserve">The user must inspect link, domain, device, timing, and pressure cues.
The user must explain why the page is suspicious and what to do next.
The image contains common fraud signals: lookalike URL, urgency, and credential capture.</t>
  </si>
  <si>
    <t xml:space="preserve">FUNC-EXP-MKT-D3-001
FUNC-MKT-D5-002
FUNC-MKT-SALES-D6-003
DEPTH-D5-VALUE-051</t>
  </si>
  <si>
    <t xml:space="preserve">D3; D5; D6</t>
  </si>
  <si>
    <t xml:space="preserve">Campaign export; Campaign quality artifact; Marketing-sales handoff; Marketing value review</t>
  </si>
  <si>
    <t xml:space="preserve">Raw campaign export showing spend, leads, MQLs, opportunities, AI actions, CRM validation sample, and quality warnings.
Raw marketing campaign export showing CPA, lead quality, duplicate emails, coupon leakage, and opportunity conversion warnings.
Marketing campaign export with lead quality warnings and CRM opportunity signals.
Campaign export with spend, leads, weak qualification, and AI recommendation</t>
  </si>
  <si>
    <t xml:space="preserve">Inspect lead quality, funnel progression, and attribution limits before accepting the AI action.
Use the raw campaign data to write a practical scaling recommendation.
Match each handoff risk to the best human-AI collaboration practice.
The assistant recommends scale-up, but lead quality and incrementality are unclear.</t>
  </si>
  <si>
    <t xml:space="preserve">FUNC-EXP-FIN-D3-001
FUNC-EXP-FIN-D5-002
CAL-D4-RISK-019</t>
  </si>
  <si>
    <t xml:space="preserve">D3; D5; D4</t>
  </si>
  <si>
    <t xml:space="preserve">Q3 close workbook; Close commentary workbook; Finance data export</t>
  </si>
  <si>
    <t xml:space="preserve">Raw finance workbook showing budget, actuals, variances, AI notes, and controller flags for Q3 close.
Raw Q3 close workbook with AI notes, controller flags, material variances, and one-time items.
Finance workbook with vendor names, bank details, variance notes, and AI export request</t>
  </si>
  <si>
    <t xml:space="preserve">Inspect recurring and non-recurring drivers before accepting the close narrative.
Order the pilot design steps so AI helps reporting while preserving finance controls.
The AI workflow wants more data than it needs for the task.</t>
  </si>
  <si>
    <t xml:space="preserve">FUNC-EXP-TECH-D4-001
FUNC-EXP-OPS-D6-001
FUNC-EXP-GEN-D5-001
DEPTH-D5-VALUE-050
DEPTH-EXP-D2-D5-072</t>
  </si>
  <si>
    <t xml:space="preserve">D4; D6; D5; D2</t>
  </si>
  <si>
    <t xml:space="preserve">Agent tool log; Support workflow log; Workflow evidence example; Use-case fit log; Workflow-value map</t>
  </si>
  <si>
    <t xml:space="preserve">Operations workflow and agent tool log showing support ticket evidence, workflow steps, blocked tool actions, and reviewer notes.
Raw support ticket, workflow map, and agent tool log for a duplicate renewal invoice case.
Operations support workflow log used as one example of a high-value workflow with measurable risk controls.
Operations workflow log showing bottlenecks, defects, automation candidate, and risk notes
Operations workflow log showing volume, error types, handoffs, and automation candidates</t>
  </si>
  <si>
    <t xml:space="preserve">Match each event to the control that best addresses the risk.
Use the raw ticket and tool log to write the next operational response.
Select portfolio criteria that work across functions.
Each AI idea needs a measurement approach.
Tool choices should follow workflow evidence and measurable value.</t>
  </si>
  <si>
    <t xml:space="preserve">FUNC-EXP-PEOPLE-D3-001
FUNC-EXP-PEOPLE-D4-002</t>
  </si>
  <si>
    <t xml:space="preserve">People Ops policy packet; Candidate calibration extract</t>
  </si>
  <si>
    <t xml:space="preserve">Raw People Ops packet with approved PTO policy, older draft note, AI answer, candidate screening extract, and compliance note.
Raw People Ops packet showing candidate notes, work sample status, AI fit label, and compliance note about proxy language.</t>
  </si>
  <si>
    <t xml:space="preserve">Inspect the approved policy, stale draft note, and AI answer before deciding whether to use it.
Select the controls that keep AI-assisted hiring grounded in job-relevant evidence.</t>
  </si>
  <si>
    <t xml:space="preserve">DEPTH-EXP-D3-MEDIA-073
GEN-EXP-D3-001</t>
  </si>
  <si>
    <t xml:space="preserve">Delivery SMS review; Suspicious delivery message</t>
  </si>
  <si>
    <t xml:space="preserve">Suspicious delivery SMS with short link, payment page, countdown, and card field
Suspicious delivery SMS thread and payment page with urgency, shortened link, mismatched domain, and card collection.</t>
  </si>
  <si>
    <t xml:space="preserve">Users must inspect message, link, payment request, and verification path.
Inspect the message and payment page before deciding whether to act.</t>
  </si>
  <si>
    <t xml:space="preserve">DEPTH-D4-GOV-046
MATCH-AI-CONTROLS-066
GEN-EXP-D2-001
GEN-EXP-D4-001
GEN-EXP-D5-001</t>
  </si>
  <si>
    <t xml:space="preserve">D4; D2; D5</t>
  </si>
  <si>
    <t xml:space="preserve">Governance board; Control matching board; AI workflow board; Privacy workflow artifact; AI value decision board</t>
  </si>
  <si>
    <t xml:space="preserve">Privacy workflow board with owner, review step, and escalation lane
Governance control board with approval gate, audit log, source rule, and escalation lane
Workflow board showing inputs, AI drafting, risk checks, human review, and value metrics for a weekly planning task.
Workflow board showing private inputs, risk checks, and human review gates for AI-assisted planning.
AI decision board with task inputs, risk checks, human review, collaboration norms, and value metric.</t>
  </si>
  <si>
    <t xml:space="preserve">Governance means deciding who owns what before things go wrong.
Controls should match the actual risk, not be generic policy theater.
Use the board to decide the safest practical order for using AI in the task.
Identify which privacy controls should happen before using AI on mixed personal and work material.
Use the board to choose a useful, measurable, and appropriately bounded first AI use case.</t>
  </si>
  <si>
    <t xml:space="preserve">DEPTH-EXP-D6-COLLAB-084
GEN-EXP-D1-001
GEN-EXP-D6-001</t>
  </si>
  <si>
    <t xml:space="preserve">D6; D1</t>
  </si>
  <si>
    <t xml:space="preserve">Group AI review; Policy summary artifact; Human-AI review artifact</t>
  </si>
  <si>
    <t xml:space="preserve">Group project draft with AI summary, source mismatch, reviewer notes, and missing challenge step
Document review screen comparing a source school policy excerpt with an AI summary that omits important exceptions.
Document review screen showing where an AI-generated summary diverges from source policy details.</t>
  </si>
  <si>
    <t xml:space="preserve">Healthy collaboration makes evidence, disagreement, and reviewer roles visible.
Inspect whether the AI preserved source meaning, exceptions, date, and approved owner.
Use the source mismatch to decide what each human role should own when AI helps with shared work.</t>
  </si>
  <si>
    <t xml:space="preserve">REL-G-D4-003
DEPTH-D4-RISK-043</t>
  </si>
  <si>
    <t xml:space="preserve">Medical record artifact; Sensitive data check</t>
  </si>
  <si>
    <t xml:space="preserve">Medical lab report with personal identifiers visible next to a public AI chat upload warning.
Medical record excerpt showing redacted and unredacted sensitive fields</t>
  </si>
  <si>
    <t xml:space="preserve">The visual shows why private data and high-impact advice change the allowed AI role.
The user must recognize data minimization before using AI.</t>
  </si>
  <si>
    <t xml:space="preserve">DEPTH-D6-CHANGE-059
DEPTH-EXP-D3-D5-076
DEPTH-EXP-D5-D6-081
COMP-D6-CHANGE-012
CAL-D3-VERIFY-017
D5-M-002
EXEC-D5-003</t>
  </si>
  <si>
    <t xml:space="preserve">D6; D3; D5</t>
  </si>
  <si>
    <t xml:space="preserve">Adoption signal dashboard; Productivity evidence review; Value adoption dashboard; Adoption dashboard; Productivity chart; Chart forensics task; Board dashboard artifact</t>
  </si>
  <si>
    <t xml:space="preserve">Adoption dashboard with usage, confidence, quality, and team variation
Productivity dashboard with large AI lift claim, unclear baseline, small sample, and visual scale issues
Adoption and productivity dashboard with usage, quality, confidence, and missing learning-loop indicators
Productivity chart with uneven adoption, missing baseline, and department-level differences
Productivity chart with missing baseline, uneven teams, and overstated AI impact
A dashboard showing AI Pilot productivity charts with a prominent plus forty-two percent claim and potentially misleading visual scaling.
Dashboard image claiming large productivity gain with missing baseline and potentially misleading chart evidence.</t>
  </si>
  <si>
    <t xml:space="preserve">Different adoption problems need different interventions.
The user must inspect evidence quality before treating the claim as strategy input.
The best dashboard combines value, quality, adoption, and learning evidence.
AI usage increased, but quality and confidence vary by team.
The chart looks impressive, but the evidence does not yet prove AI caused the result.
Review the chart presentation and the +42% claim before deciding how to treat the vendor evidence.
Inspect the dashboard claim before deciding whether the pilot is ready to scale.</t>
  </si>
  <si>
    <t xml:space="preserve">DEPTH-D2-WORKFLOW-036
DEPTH-D4-GOV-047
DEPTH-D6-COLLAB-057
COMP-D4-GOV-008
EXEC-D4-AGENT-020</t>
  </si>
  <si>
    <t xml:space="preserve">Multi-agent trace; Incident log; Collaboration review loop; Agent audit log; Raw agent audit log</t>
  </si>
  <si>
    <t xml:space="preserve">Multi-agent audit trace showing planner, retriever, writer, and approver agents
Agent audit log with missing owner, unsupported output, and escalation delay
Review loop with AI output, human override, issue category, and learning backlog
Agent audit log showing tool calls, approver names, missing reason codes, and escalation failures
Raw AI agent audit log showing broad file access, external email draft, CRM write, finance payment request, warnings, and missing approval.</t>
  </si>
  <si>
    <t xml:space="preserve">Agent-to-agent handoffs need visible responsibility and failure handling.
An AI assistant made a harmful recommendation and the log is incomplete.
Good teams turn AI mistakes into shared learning.
The assistant took several actions, but the log has missing reason codes and unclear approval ownership.
Inspect the raw tool log before selecting the post-incident fixes.</t>
  </si>
  <si>
    <t xml:space="preserve">DEPTH-D2-PROMPT-033
DEPTH-D6-CHANGE-058
DEPTH-EXP-D6-CHANGE-082
DEPTH-EXP-D6-CHANGE-085
CAL-D6-CHANGE-024</t>
  </si>
  <si>
    <t xml:space="preserve">Prompt loop plan; Rollout checklist; Manager enablement plan; AI rollout sequence; AI rollout plan</t>
  </si>
  <si>
    <t xml:space="preserve">Agent workflow plan with task loop, eval criteria, reviewer notes, and failure cases
Rollout plan showing tool launch, training, support channel, and manager checklist
AI rollout plan with manager checklist, training sessions, support channel, and feedback loop gaps
Rollout plan with pilot group, training gap, support channel, quality review, and scale decision
AI rollout plan with training dates, manager actions, support channel, and feedback loops</t>
  </si>
  <si>
    <t xml:space="preserve">The user must design an iterative prompt loop, not a one-shot instruction.
Tool access alone does not create capability.
Change leadership asks what managers will do after access is granted.
The order links human adoption work to value realization.
The rollout needs behavior change support, not just tool access.</t>
  </si>
  <si>
    <t xml:space="preserve">DEPTH-D2-PROMPT-032
DEPTH-EXP-D2-PROMPT-091
D3-N-006</t>
  </si>
  <si>
    <t xml:space="preserve">D2; D3</t>
  </si>
  <si>
    <t xml:space="preserve">Customer-note prompt; Customer notes prompt audit; Raw interview notes</t>
  </si>
  <si>
    <t xml:space="preserve">Customer notes with facts, unknowns, and tone requirements
Customer notes with verified facts, unknown account details, policy constraints, and a weak AI prompt
Raw customer interview notes table showing five positive comments, nine payment complaints, and missing sample information.</t>
  </si>
  <si>
    <t xml:space="preserve">Map prompt components to the work they support.
Select the missing prompt ingredients before asking AI for a customer-facing draft.
Inspect the raw notes and compare them with the AI summary.</t>
  </si>
  <si>
    <t xml:space="preserve">FUNC-CS-D3-001
FUNC-CS-D6-002
FUNC-CS-D5-003
COMP-D2-PROMPT-003
CAL-D2-WORKFLOW-016</t>
  </si>
  <si>
    <t xml:space="preserve">D3; D6; D5; D2</t>
  </si>
  <si>
    <t xml:space="preserve">Customer escalation ticket; Support reply review; Support workflow metrics; Support prompt repair; Support workflow board</t>
  </si>
  <si>
    <t xml:space="preserve">Customer service escalation queue showing duplicate payment evidence, SLA risk, frustrated customer messages, and a weak AI draft.
Customer escalation artifact with chat thread, duplicate charge evidence, SLA breach warning, and AI draft response.
Support queue artifact showing SLA breach, duplicate payment evidence, and AI draft quality issues.
Customer service ticket with refund dispute, SLA risk, and weak AI draft reply
Customer service escalation queue showing dispute status, SLA timer, AI draft, and notes</t>
  </si>
  <si>
    <t xml:space="preserve">Inspect the raw ticket evidence before accepting the AI draft.
Use the ticket, evidence, and SLA risk to write a better human-AI support routine.
Select measures that show whether AI is improving service without hiding harm.
The prompt must make the assistant use the ticket facts and avoid unsupported promises.
The team wants AI help without letting the assistant resolve risky cases alone.</t>
  </si>
  <si>
    <t xml:space="preserve">FUNC-FIN-D3-001
DEPTH-D3-VERIFY-039
EXEC-D3-FIN-022</t>
  </si>
  <si>
    <t xml:space="preserve">Raw variance report; Variance explanation review; Raw board finance packet</t>
  </si>
  <si>
    <t xml:space="preserve">Raw finance variance report showing marketing spend, cloud compute, support revenue, and non-recurring vendor credits.
Finance variance report with AI explanation, missing baseline, and exception notes
Raw finance variance report with marketing, cloud compute, support revenue, and one-time vendor credit lines.</t>
  </si>
  <si>
    <t xml:space="preserve">Inspect all line items before accepting the AI conclusion.
The AI explanation may be plausible but unsupported by the report.
Inspect the raw finance evidence before deciding what goes to the board.</t>
  </si>
  <si>
    <t xml:space="preserve">FUNC-PEOPLE-D4-001
DEPTH-D6-COLLAB-056
CAL-D6-COLLAB-023
EXEC-D4-PEOPLE-023</t>
  </si>
  <si>
    <t xml:space="preserve">D4; D6</t>
  </si>
  <si>
    <t xml:space="preserve">Raw candidate packet; Review disagreement; AI hiring review; Raw hiring evidence</t>
  </si>
  <si>
    <t xml:space="preserve">Raw candidate screening packet comparing Candidate A and Candidate B with evidence notes and a culture fit risk flag.
Candidate packet with AI score, interview notes, and reviewer disagreement
Hiring packet with AI screening summary, interviewer notes, missing evidence, and fairness flags
Raw candidate packet showing AI culture-fit recommendation, missing work sample, and stronger evidence for another candidate.</t>
  </si>
  <si>
    <t xml:space="preserve">Inspect the evidence and decide what an HR reviewer should challenge before advancing a candidate.
The team must handle disagreement between AI and human evidence.
The team must decide how to use AI without hiding human accountability.
Inspect whether the AI recommendation uses job-relevant evidence and fair process.</t>
  </si>
  <si>
    <t xml:space="preserve">FUNC-MKT-D3-001
DEPTH-EXP-D2-PROMPT-070
CAL-D2-PROMPT-015
D3-PRO-010</t>
  </si>
  <si>
    <t xml:space="preserve">D3; D2</t>
  </si>
  <si>
    <t xml:space="preserve">Raw campaign dashboard; Campaign prompt repair; Campaign analysis prompt; Raw dashboard evidence</t>
  </si>
  <si>
    <t xml:space="preserve">Raw marketing campaign dashboard with Ad Set C showing high conversion rate but tiny sample and coupon leak note.
Marketing dashboard with campaign segments, tiny samples, coupon anomaly, and AI recommendation
Marketing campaign dashboard with spend, conversion, sample-size, and channel notes
Raw campaign dashboard showing high conversion rate for a tiny sample with a coupon leak note.</t>
  </si>
  <si>
    <t xml:space="preserve">Inspect sample size and quality notes before accepting the AI recommendation.
The prompt should make AI separate creative advice from evidence review.
The prompt must prevent the assistant from overclaiming campaign performance.
Use the raw campaign export to identify what makes the recommendation weak.</t>
  </si>
  <si>
    <t xml:space="preserve">DEPTH-D3-VERIFY-037
D3-P-004</t>
  </si>
  <si>
    <t xml:space="preserve">Source check; Raw policy excerpt</t>
  </si>
  <si>
    <t xml:space="preserve">Policy excerpt beside an AI summary with one unsupported claim
Raw school phone policy excerpt with a teacher-permission exception that conflicts with the AI summary.</t>
  </si>
  <si>
    <t xml:space="preserve">The AI summary sounds plausible but adds a condition not found in the policy.
Inspect the source policy, not just the AI summary, before choosing what to flag.</t>
  </si>
  <si>
    <t xml:space="preserve">DEPTH-D1-CONCEPTS-026
DEPTH-D3-VERIFY-038
MATCH-AI-BENCHMARKS-065
DEPTH-EXP-D1-D3-069
COMP-D3-VERIFY-005
MULTI-SOURCE-GEN-003
PRACTICAL-GEN-D3-013
EXEC-EXP-D4-SOURCE-010</t>
  </si>
  <si>
    <t xml:space="preserve">D1; D3; D4</t>
  </si>
  <si>
    <t xml:space="preserve">Retrieval system notes; Benchmark evidence card; Benchmark matching brief; Capability claim review; Model benchmark brief; Raw source comparison; Policy answer review; Leadership policy guidance review</t>
  </si>
  <si>
    <t xml:space="preserve">RAG source packet with search, retrieved passages, and answer notes
Evaluation card with benchmark score, task definition, sample warning, and model version
Benchmark brief comparing model scores across knowledge, coding, long-context, and agentic tasks
AI answer and source comparison with model capability notes and unsupported claims
Benchmark comparison artifact with model leaderboard notes and caveats
Raw source comparison packet showing approved AI policy text next to an assistant answer that overstates public AI tool use.
Policy source check artifact with source text and an AI answer that overstates public AI tool permissions.
Source comparison packet showing policy source text and an assistant answer with unsupported public AI permissions.</t>
  </si>
  <si>
    <t xml:space="preserve">Choose the right AI concept for each product behavior.
A model benchmark is useful only when you know what it measured.
Different benchmarks answer different questions. None is universal.
A model capability claim still needs source, task, and evaluation context.
A team is comparing model scores before choosing a model for customer support.
Inspect the policy source and AI answer. Each mini-part tests whether the user can convert AI concepts into practical review behavior.
Select the practical evidence checks a user should make before reposting the AI answer.
Select the executive controls that turn a flawed AI answer into trustworthy guidance.</t>
  </si>
  <si>
    <t xml:space="preserve">FUNC-SALES-D3-001
FUNC-SALES-D2-002
FUNC-SALES-D5-003
DEPTH-EXP-D5-VALUE-079
CAL-D5-VALUE-021</t>
  </si>
  <si>
    <t xml:space="preserve">D3; D2; D5</t>
  </si>
  <si>
    <t xml:space="preserve">Sales pipeline review; Next-action pipeline; Revenue meeting artifact; Sales forecast value review; Sales AI forecast</t>
  </si>
  <si>
    <t xml:space="preserve">Sales CRM artifact showing opportunity stage, value, last touch, risk notes, and an AI forecast draft.
Sales CRM pipeline artifact with stale touches, risk notes, deal values, and AI forecast draft.
Sales pipeline report with raw opportunity data, stale account contact, legal hold, and AI forecast claim.
Sales CRM pipeline with stale deals, weak activity signals, AI forecast, and risk flags
Sales CRM pipeline with stale deals, risk flags, AI forecast, and missing customer activity</t>
  </si>
  <si>
    <t xml:space="preserve">Inspect stage, recency, value, and risk notes before accepting the forecast.
Use the CRM evidence to order a practical AI-assisted sales workflow.
Select the evidence that would make the AI forecast decision-grade.
The written response should connect workflow evidence to value measurement.
The AI forecast may overstate value because the pipeline evidence is weak.</t>
  </si>
  <si>
    <t xml:space="preserve">DEPTH-D1-CONCEPTS-027
PRACTICAL-GEN-D6-014</t>
  </si>
  <si>
    <t xml:space="preserve">D1; D6</t>
  </si>
  <si>
    <t xml:space="preserve">Study helper answer; Study helper artifact</t>
  </si>
  <si>
    <t xml:space="preserve">Study helper answer with unsupported citations and confident explanation
Study helper review artifact showing a student prompt, AI draft excerpt, class instruction, and reviewer notes.</t>
  </si>
  <si>
    <t xml:space="preserve">The user must explain limits without dismissing useful AI help.
Inspect the prompt, class instruction, AI draft, and reviewer notes before writing your recommendation.</t>
  </si>
  <si>
    <t xml:space="preserve">FUNC-TECH-D4-001
DEPTH-D1-SYSTEMS-030
DEPTH-D4-RISK-044
MATCH-GITHUB-REPO-064
COMP-D2-WORKFLOW-004
D4-PRO-011</t>
  </si>
  <si>
    <t xml:space="preserve">D4; D1; D2</t>
  </si>
  <si>
    <t xml:space="preserve">Raw connector log; GitHub repo review; Access log review; Repository adoption review; GitHub-style AI coding workflow; Raw access log</t>
  </si>
  <si>
    <t xml:space="preserve">Raw technical access log showing payment log access, attempted HR notes access, vendor email block, secrets access denial, and public status gate.
Repository activity showing stars, issues, releases, dependency notices, and security settings
Access log with broad permissions, export action, and missing approver
Repository artifact with releases, issues, dependency warnings, CI status, and security settings
Technical artifact with repository access, CI checks, and deployment notes
Raw access log showing denied HR notes and secrets access plus blocked external and public actions.</t>
  </si>
  <si>
    <t xml:space="preserve">Inspect the tool calls and identify which controls are working or still need review.
Technical users need to inspect repository health before adopting AI tooling.
Each risk needs a specific control.
A popular repository can still be risky if maintenance, license, tests, or dependencies are weak.
A team is using an AI coding assistant inside a GitHub pull-request workflow.
Inspect the connector log and write the governance response.</t>
  </si>
  <si>
    <t xml:space="preserve">DEPTH-D1-SYSTEMS-029
DEPTH-D4-RISK-045
MATCH-MODEL-CARD-063
COMP-D4-RISK-007
EXEC-D4-005</t>
  </si>
  <si>
    <t xml:space="preserve">D1; D4; D3</t>
  </si>
  <si>
    <t xml:space="preserve">Model hub card; Vendor risk questionnaire; Model card inspection; Hugging Face-style model card review; Raw vendor questionnaire</t>
  </si>
  <si>
    <t xml:space="preserve">Model card excerpt with license, dataset, intended use, and evaluation limitations
Vendor security questionnaire with retention, data-use, and subcontractor fields
Model card artifact with benchmark, license, intended use, limitation, and training data sections
Model card and vendor questionnaire excerpt with license, dataset, intended use, and safety notes
Raw AI vendor security questionnaire with missing audit, retention, subprocessor, monitoring, and exit answers.</t>
  </si>
  <si>
    <t xml:space="preserve">A technical user reviews an open model before using it in a product.
The vendor wants access to customer data for model improvement.
Technical users need to read model cards as evidence, not marketing.
The artifact resembles a model card plus vendor security questionnaire for an open model.
Inspect the vendor responses directly before deciding what blocks procurement.</t>
  </si>
  <si>
    <t xml:space="preserve">DEPTH-D2-WORKFLOW-035
PRACTICAL-GEN-D2-012
FUNC-EXP-OPS-D5-003
EXEC-EXP-D2-AGENT-009</t>
  </si>
  <si>
    <t xml:space="preserve">Agent workflow setup; Agent workflow artifact; Agent value and risk review; Executive agent workflow review</t>
  </si>
  <si>
    <t xml:space="preserve">The workflow needs tool boundaries, approval gates, audit logs, and rollback ownership before use.
Use the workflow plan to sequence a safe practical rollout.
Use the raw workflow to recommend practical launch criteria.
Each mini-part tests a different executive readiness signal: tooling, governance, and value realization.</t>
  </si>
  <si>
    <t xml:space="preserve">REL-G-D2-001
DEPTH-D2-PROMPT-031</t>
  </si>
  <si>
    <t xml:space="preserve">Email and calendar artifact; Prompt checklist</t>
  </si>
  <si>
    <t xml:space="preserve">Realistic email and calendar screenshot with a client scheduling request, weak AI draft, and missing prompt details.
Realistic email client and calendar artifact showing a weak scheduling prompt with missing constraints.</t>
  </si>
  <si>
    <t xml:space="preserve">Use the email and calendar evidence to decide how much of the reply can be delegated.
A weak prompt misses audience, constraints, timezone, and output format.</t>
  </si>
  <si>
    <t xml:space="preserve">DEPTH-D6-COLLAB-055
DEPTH-EXP-D2-D6-071
COMP-D6-COLLAB-011
D5-PRO-009
EXEC-D6-OPS-024</t>
  </si>
  <si>
    <t xml:space="preserve">D6; D2; D5</t>
  </si>
  <si>
    <t xml:space="preserve">AI draft review; Support workflow redesign; Human-AI support review; Raw support evidence; Raw service-quality artifact</t>
  </si>
  <si>
    <t xml:space="preserve">The user must identify who owns the final customer message.
The item asks users to sequence a human-AI workflow, not just choose a reply.
The team needs clear collaboration rules for AI drafts and human review.
Inspect the operational evidence before deciding whether the pilot is ready to scale.
Inspect the customer case before writing the leadership response.</t>
  </si>
  <si>
    <t xml:space="preserve">Audit progress</t>
  </si>
  <si>
    <t xml:space="preserve">Total questions</t>
  </si>
  <si>
    <t xml:space="preserve">Audited (Verdict filled)</t>
  </si>
  <si>
    <t xml:space="preserve">Keep</t>
  </si>
  <si>
    <t xml:space="preserve">Revise</t>
  </si>
  <si>
    <t xml:space="preserve">Replace</t>
  </si>
  <si>
    <t xml:space="preserve">Remove</t>
  </si>
  <si>
    <t xml:space="preserve">Answer key flagged (No/Unsure)</t>
  </si>
  <si>
    <t xml:space="preserve">Artifact does not match (No)</t>
  </si>
  <si>
    <t xml:space="preserve">Thai priority = High</t>
  </si>
  <si>
    <t xml:space="preserve">Artifact-backed questions</t>
  </si>
  <si>
    <t xml:space="preserve">Artifact files missing</t>
  </si>
  <si>
    <t xml:space="preserve">Questions with Thai text</t>
  </si>
  <si>
    <t xml:space="preserve">Domain × Difficulty</t>
  </si>
  <si>
    <t xml:space="preserve">Total</t>
  </si>
  <si>
    <t xml:space="preserve">D1 Foundations</t>
  </si>
  <si>
    <t xml:space="preserve">D2 Tooling</t>
  </si>
  <si>
    <t xml:space="preserve">D3 Judgment</t>
  </si>
  <si>
    <t xml:space="preserve">D4 Governance</t>
  </si>
  <si>
    <t xml:space="preserve">D5 Strategy</t>
  </si>
  <si>
    <t xml:space="preserve">D6 Collaboration</t>
  </si>
  <si>
    <t xml:space="preserve">By question type</t>
  </si>
  <si>
    <t xml:space="preserve">By interaction</t>
  </si>
  <si>
    <t xml:space="preserve">By source bank</t>
  </si>
  <si>
    <t xml:space="preserve">By assessment mode</t>
  </si>
  <si>
    <t xml:space="preserve">Explicit function track (role)</t>
  </si>
  <si>
    <t xml:space="preserve">General work</t>
  </si>
  <si>
    <t xml:space="preserve">Customer Service</t>
  </si>
  <si>
    <t xml:space="preserve">Inferred function role (via competency)</t>
  </si>
  <si>
    <t xml:space="preserve">Explicit industry track</t>
  </si>
  <si>
    <t xml:space="preserve">General</t>
  </si>
  <si>
    <t xml:space="preserve">Financial services</t>
  </si>
  <si>
    <t xml:space="preserve">Inferred industry (via competency)</t>
  </si>
  <si>
    <t xml:space="preserve">Inferred executive role (via competency)</t>
  </si>
  <si>
    <t xml:space="preserve">CEO / Managing Director</t>
  </si>
  <si>
    <t xml:space="preserve">CHRO / People leader</t>
  </si>
  <si>
    <t xml:space="preserve">Transformation sponsor</t>
  </si>
  <si>
    <t xml:space="preserve">Competency coverage (expanded ids)</t>
  </si>
  <si>
    <t xml:space="preserve">ID</t>
  </si>
  <si>
    <t xml:space="preserve">Name</t>
  </si>
  <si>
    <t xml:space="preserve">Short</t>
  </si>
  <si>
    <t xml:space="preserve">Foundations</t>
  </si>
  <si>
    <t xml:space="preserve">Tooling</t>
  </si>
  <si>
    <t xml:space="preserve">Judgment</t>
  </si>
  <si>
    <t xml:space="preserve">Governance</t>
  </si>
  <si>
    <t xml:space="preserve">Strategy</t>
  </si>
  <si>
    <t xml:space="preserve">Collaboration</t>
  </si>
  <si>
    <t xml:space="preserve">Difficulty bands</t>
  </si>
  <si>
    <t xml:space="preserve">Description</t>
  </si>
  <si>
    <t xml:space="preserve">awareness</t>
  </si>
  <si>
    <t xml:space="preserve">Recognize the concept, risk, or safe first step.</t>
  </si>
  <si>
    <t xml:space="preserve">applied</t>
  </si>
  <si>
    <t xml:space="preserve">Use the concept in a realistic task with evidence.</t>
  </si>
  <si>
    <t xml:space="preserve">proficient</t>
  </si>
  <si>
    <t xml:space="preserve">Handle ambiguity, tradeoffs, and operating consequences.</t>
  </si>
  <si>
    <t xml:space="preserve">advanced</t>
  </si>
  <si>
    <t xml:space="preserve">Design, govern, or improve AI systems across real constraints.</t>
  </si>
  <si>
    <t xml:space="preserve">Competencies</t>
  </si>
  <si>
    <t xml:space="preserve">Skills</t>
  </si>
  <si>
    <t xml:space="preserve">AI vocabulary, LLM basics, models vs apps, capability patterns</t>
  </si>
  <si>
    <t xml:space="preserve">tokens, embeddings, RAG and grounding, fine-tuning</t>
  </si>
  <si>
    <t xml:space="preserve">hallucination, staleness, uncertainty, model limits</t>
  </si>
  <si>
    <t xml:space="preserve">context windows, memory, tool connectors, agent components</t>
  </si>
  <si>
    <t xml:space="preserve">prompt repair, role and task framing, constraints, examples</t>
  </si>
  <si>
    <t xml:space="preserve">tool fit, MCP/connectors, repository use, product choice</t>
  </si>
  <si>
    <t xml:space="preserve">workflow mapping, agent setup, handoffs, approval gates</t>
  </si>
  <si>
    <t xml:space="preserve">iteration, rubric review, context setup, quality checks</t>
  </si>
  <si>
    <t xml:space="preserve">source checking, citation support, claim review, triangulation</t>
  </si>
  <si>
    <t xml:space="preserve">chart forensics, baseline checks, causality, benchmark fit</t>
  </si>
  <si>
    <t xml:space="preserve">synthetic media signals, image context, caption checks, provenance</t>
  </si>
  <si>
    <t xml:space="preserve">phishing checks, suspicious artifacts, invoice fraud, impersonation</t>
  </si>
  <si>
    <t xml:space="preserve">data minimization, sensitive data, retention, consent</t>
  </si>
  <si>
    <t xml:space="preserve">policy alignment, sector obligations, disclosure, documentation</t>
  </si>
  <si>
    <t xml:space="preserve">bias testing, impact review, IP/content rights, human impact</t>
  </si>
  <si>
    <t xml:space="preserve">least privilege, audit logs, vendor controls, incident response</t>
  </si>
  <si>
    <t xml:space="preserve">problem fit, feasibility, data readiness, user value</t>
  </si>
  <si>
    <t xml:space="preserve">baseline metrics, KPI design, ROI evidence, quality measures</t>
  </si>
  <si>
    <t xml:space="preserve">risk-adjusted value, pilot gates, resource allocation, stage gates</t>
  </si>
  <si>
    <t xml:space="preserve">business-case design, scale criteria, trend judgment, operating model</t>
  </si>
  <si>
    <t xml:space="preserve">role boundaries, review routines, human accountability, handoffs</t>
  </si>
  <si>
    <t xml:space="preserve">challenge culture, psychological safety, transparency, manager modeling</t>
  </si>
  <si>
    <t xml:space="preserve">adoption support, communication, coaching loops, champion networks</t>
  </si>
  <si>
    <t xml:space="preserve">learning ownership, feedback loops, continuous improvement, reassessment</t>
  </si>
  <si>
    <t xml:space="preserve">Function tracks (roles)</t>
  </si>
  <si>
    <t xml:space="preserve">Priority competencies</t>
  </si>
  <si>
    <t xml:space="preserve">general</t>
  </si>
  <si>
    <t xml:space="preserve">D1-ai-systems, D2-prompt-design, D2-tool-selection, D2-agentic-workflows, D3-source-verification, D3-data-chart-judgment, D4-data-privacy, D4-security-governance, D5-usecase-fit, D5-roi-metrics, D6-role-clarity</t>
  </si>
  <si>
    <t xml:space="preserve">people</t>
  </si>
  <si>
    <t xml:space="preserve">D2-prompt-design, D2-output-refinement, D3-source-verification, D4-data-privacy, D4-fairness-ethics, D4-regulatory-policy, D5-usecase-fit, D6-role-clarity, D6-trust-culture, D6-change-enablement</t>
  </si>
  <si>
    <t xml:space="preserve">D1-ai-systems, D2-tool-selection, D2-agentic-workflows, D3-data-chart-judgment, D3-fraud-detection, D4-security-governance, D4-regulatory-policy, D5-roi-metrics, D5-portfolio-prioritization, D6-role-clarity</t>
  </si>
  <si>
    <t xml:space="preserve">marketing</t>
  </si>
  <si>
    <t xml:space="preserve">D1-genai-mechanics, D2-prompt-design, D2-output-refinement, D3-source-verification, D3-media-provenance, D4-fairness-ethics, D4-regulatory-policy, D5-usecase-fit, D5-roi-metrics, D6-learning-loops</t>
  </si>
  <si>
    <t xml:space="preserve">sales</t>
  </si>
  <si>
    <t xml:space="preserve">D1-capability-limits, D2-prompt-design, D2-tool-selection, D3-source-verification, D3-fraud-detection, D4-data-privacy, D4-security-governance, D5-usecase-fit, D5-roi-metrics, D6-role-clarity</t>
  </si>
  <si>
    <t xml:space="preserve">customerService</t>
  </si>
  <si>
    <t xml:space="preserve">D1-capability-limits, D2-prompt-design, D2-output-refinement, D2-agentic-workflows, D3-source-verification, D3-fraud-detection, D4-data-privacy, D4-security-governance, D6-role-clarity, D6-trust-culture</t>
  </si>
  <si>
    <t xml:space="preserve">technical</t>
  </si>
  <si>
    <t xml:space="preserve">D1-genai-mechanics, D1-ai-systems, D2-tool-selection, D2-agentic-workflows, D3-source-verification, D3-data-chart-judgment, D4-security-governance, D4-data-privacy, D5-usecase-fit, D6-learning-loops</t>
  </si>
  <si>
    <t xml:space="preserve">operations</t>
  </si>
  <si>
    <t xml:space="preserve">D1-ai-systems, D2-tool-selection, D2-agentic-workflows, D3-data-chart-judgment, D4-security-governance, D5-usecase-fit, D5-roi-metrics, D5-portfolio-prioritization, D6-role-clarity, D6-change-enablement</t>
  </si>
  <si>
    <t xml:space="preserve">Industry tracks</t>
  </si>
  <si>
    <t xml:space="preserve">education</t>
  </si>
  <si>
    <t xml:space="preserve">D4-data-privacy, D4-fairness-ethics, D6-change-enablement, D6-learning-loops</t>
  </si>
  <si>
    <t xml:space="preserve">financial</t>
  </si>
  <si>
    <t xml:space="preserve">D3-fraud-detection, D4-security-governance, D4-regulatory-policy, D5-roi-metrics</t>
  </si>
  <si>
    <t xml:space="preserve">healthcare</t>
  </si>
  <si>
    <t xml:space="preserve">D4-data-privacy, D4-regulatory-policy, D4-fairness-ethics, D6-role-clarity</t>
  </si>
  <si>
    <t xml:space="preserve">retail</t>
  </si>
  <si>
    <t xml:space="preserve">D3-fraud-detection, D3-media-provenance, D5-usecase-fit, D5-roi-metrics</t>
  </si>
  <si>
    <t xml:space="preserve">public</t>
  </si>
  <si>
    <t xml:space="preserve">D4-regulatory-policy, D4-fairness-ethics, D4-security-governance, D6-trust-culture</t>
  </si>
  <si>
    <t xml:space="preserve">Executive roles</t>
  </si>
  <si>
    <t xml:space="preserve">ceo</t>
  </si>
  <si>
    <t xml:space="preserve">D1-ai-systems, D3-source-verification, D4-security-governance, D5-usecase-fit, D5-roi-metrics, D5-portfolio-prioritization, D5-transformation-strategy, D6-trust-culture, D6-change-enablement, D6-learning-loops</t>
  </si>
  <si>
    <t xml:space="preserve">board</t>
  </si>
  <si>
    <t xml:space="preserve">D1-capability-limits, D3-data-chart-judgment, D4-regulatory-policy, D4-fairness-ethics, D4-security-governance, D5-roi-metrics, D5-portfolio-prioritization, D5-transformation-strategy, D6-trust-culture</t>
  </si>
  <si>
    <t xml:space="preserve">D2-output-refinement, D3-source-verification, D4-data-privacy, D4-fairness-ethics, D4-regulatory-policy, D5-usecase-fit, D6-role-clarity, D6-trust-culture, D6-change-enablement, D6-learning-loops</t>
  </si>
  <si>
    <t xml:space="preserve">D1-ai-systems, D3-data-chart-judgment, D3-fraud-detection, D4-regulatory-policy, D4-security-governance, D5-roi-metrics, D5-portfolio-prioritization, D5-transformation-strategy, D6-role-clarity</t>
  </si>
  <si>
    <t xml:space="preserve">technology</t>
  </si>
  <si>
    <t xml:space="preserve">D1-genai-mechanics, D1-ai-systems, D2-tool-selection, D2-agentic-workflows, D3-source-verification, D4-data-privacy, D4-security-governance, D5-portfolio-prioritization, D5-transformation-strategy, D6-learning-loops</t>
  </si>
  <si>
    <t xml:space="preserve">transformation</t>
  </si>
  <si>
    <t xml:space="preserve">D1-ai-systems, D2-agentic-workflows, D2-output-refinement, D3-source-verification, D4-security-governance, D5-usecase-fit, D5-roi-metrics, D5-portfolio-prioritization, D5-transformation-strategy, D6-change-enablement, D6-learning-loops</t>
  </si>
  <si>
    <t xml:space="preserve">Assessment modes</t>
  </si>
  <si>
    <t xml:space="preserve">Questions per sitting</t>
  </si>
  <si>
    <t xml:space="preserve">free</t>
  </si>
  <si>
    <t xml:space="preserve">Adaptive free assessment</t>
  </si>
  <si>
    <t xml:space="preserve">premium</t>
  </si>
  <si>
    <t xml:space="preserve">Premium diagnostic pilot</t>
  </si>
  <si>
    <t xml:space="preserve">executive</t>
  </si>
  <si>
    <t xml:space="preserve">Executive assessment pilot</t>
  </si>
  <si>
    <t xml:space="preserve">Practice activity</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</si>
</sst>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7B5EA7"/>
          <bgColor rgb="FF000000"/>
        </patternFill>
      </fill>
    </dxf>
    <dxf>
      <fill>
        <patternFill patternType="solid">
          <fgColor rgb="FFFFF9E6"/>
          <bgColor rgb="FF000000"/>
        </patternFill>
      </fill>
    </dxf>
    <dxf>
      <fill>
        <patternFill>
          <bgColor rgb="FFF4B6B6"/>
        </patternFill>
      </fill>
    </dxf>
    <dxf>
      <fill>
        <patternFill>
          <bgColor rgb="FFFFE0A3"/>
        </patternFill>
      </fill>
    </dxf>
    <dxf>
      <fill>
        <patternFill>
          <bgColor rgb="FFFFD1A3"/>
        </patternFill>
      </fill>
    </dxf>
    <dxf>
      <fill>
        <patternFill>
          <bgColor rgb="FFC6E5B3"/>
        </patternFill>
      </fill>
    </dxf>
    <dxf>
      <fill>
        <patternFill patternType="solid">
          <fgColor rgb="FFC6E5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E0A3"/>
      <rgbColor rgb="FF99CCFF"/>
      <rgbColor rgb="FFF4B6B6"/>
      <rgbColor rgb="FFCC99FF"/>
      <rgbColor rgb="FFFFD1A3"/>
      <rgbColor rgb="FF2E75B6"/>
      <rgbColor rgb="FF33CCCC"/>
      <rgbColor rgb="FF99CC00"/>
      <rgbColor rgb="FFFFCC00"/>
      <rgbColor rgb="FFFF9900"/>
      <rgbColor rgb="FFFF6600"/>
      <rgbColor rgb="FF7B5EA7"/>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35.0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23.8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1"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1" t="s">
        <v>16</v>
      </c>
    </row>
    <row r="22" customFormat="false" ht="23.8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23.85" hidden="false" customHeight="false" outlineLevel="0" collapsed="false">
      <c r="A25" s="2" t="s">
        <v>20</v>
      </c>
    </row>
    <row r="26" customFormat="false" ht="15" hidden="false" customHeight="false" outlineLevel="0" collapsed="false">
      <c r="A26"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4"/>
    <col collapsed="false" customWidth="true" hidden="false" outlineLevel="0" max="4" min="4" style="0" width="7"/>
    <col collapsed="false" customWidth="true" hidden="false" outlineLevel="0" max="5" min="5" style="0" width="22"/>
    <col collapsed="false" customWidth="true" hidden="false" outlineLevel="0" max="6" min="6" style="0" width="10"/>
    <col collapsed="false" customWidth="true" hidden="false" outlineLevel="0" max="7" min="7" style="0" width="11"/>
    <col collapsed="false" customWidth="true" hidden="false" outlineLevel="0" max="8" min="8" style="0" width="15"/>
    <col collapsed="false" customWidth="true" hidden="false" outlineLevel="0" max="9" min="9" style="0" width="10"/>
    <col collapsed="false" customWidth="true" hidden="false" outlineLevel="0" max="10" min="10" style="0" width="9"/>
    <col collapsed="false" customWidth="true" hidden="false" outlineLevel="0" max="11" min="11" style="0" width="26"/>
    <col collapsed="false" customWidth="true" hidden="false" outlineLevel="0" max="12" min="12" style="0" width="30"/>
    <col collapsed="false" customWidth="true" hidden="false" outlineLevel="0" max="13" min="13" style="0" width="26"/>
    <col collapsed="false" customWidth="true" hidden="false" outlineLevel="0" max="15" min="14" style="0" width="18"/>
    <col collapsed="false" customWidth="true" hidden="false" outlineLevel="0" max="17" min="16" style="0" width="22"/>
    <col collapsed="false" customWidth="true" hidden="false" outlineLevel="0" max="18" min="18" style="0" width="24"/>
    <col collapsed="false" customWidth="true" hidden="false" outlineLevel="0" max="19" min="19" style="0" width="34"/>
    <col collapsed="false" customWidth="true" hidden="false" outlineLevel="0" max="21" min="20" style="0" width="9"/>
    <col collapsed="false" customWidth="true" hidden="false" outlineLevel="0" max="22" min="22" style="0" width="18"/>
    <col collapsed="false" customWidth="true" hidden="false" outlineLevel="0" max="24" min="23" style="0" width="36"/>
    <col collapsed="false" customWidth="true" hidden="false" outlineLevel="0" max="25" min="25" style="0" width="24"/>
    <col collapsed="false" customWidth="true" hidden="false" outlineLevel="0" max="26" min="26" style="0" width="36"/>
    <col collapsed="false" customWidth="true" hidden="false" outlineLevel="0" max="27" min="27" style="0" width="9"/>
    <col collapsed="false" customWidth="true" hidden="false" outlineLevel="0" max="28" min="28" style="0" width="60"/>
    <col collapsed="false" customWidth="true" hidden="false" outlineLevel="0" max="29" min="29" style="0" width="40"/>
    <col collapsed="false" customWidth="true" hidden="false" outlineLevel="0" max="30" min="30" style="0" width="70"/>
    <col collapsed="false" customWidth="true" hidden="false" outlineLevel="0" max="31" min="31" style="0" width="40"/>
    <col collapsed="false" customWidth="true" hidden="false" outlineLevel="0" max="32" min="32" style="0" width="60"/>
    <col collapsed="false" customWidth="true" hidden="false" outlineLevel="0" max="33" min="33" style="0" width="40"/>
    <col collapsed="false" customWidth="true" hidden="false" outlineLevel="0" max="34" min="34" style="0" width="50"/>
    <col collapsed="false" customWidth="true" hidden="false" outlineLevel="0" max="35" min="35" style="0" width="14"/>
    <col collapsed="false" customWidth="true" hidden="false" outlineLevel="0" max="36" min="36" style="0" width="11"/>
    <col collapsed="false" customWidth="true" hidden="false" outlineLevel="0" max="37" min="37" style="0" width="10"/>
    <col collapsed="false" customWidth="true" hidden="false" outlineLevel="0" max="39" min="38" style="0" width="12"/>
    <col collapsed="false" customWidth="true" hidden="false" outlineLevel="0" max="40" min="40" style="0" width="14"/>
    <col collapsed="false" customWidth="true" hidden="false" outlineLevel="0" max="42" min="41" style="0" width="12"/>
    <col collapsed="false" customWidth="true" hidden="false" outlineLevel="0" max="43" min="43" style="0" width="13"/>
    <col collapsed="false" customWidth="true" hidden="false" outlineLevel="0" max="45" min="44" style="0" width="11"/>
    <col collapsed="false" customWidth="true" hidden="false" outlineLevel="0" max="46" min="46" style="0" width="14"/>
    <col collapsed="false" customWidth="true" hidden="false" outlineLevel="0" max="47" min="47" style="0" width="12"/>
    <col collapsed="false" customWidth="true" hidden="false" outlineLevel="0" max="48" min="48" style="0" width="14"/>
    <col collapsed="false" customWidth="true" hidden="false" outlineLevel="0" max="49" min="49" style="0" width="12"/>
    <col collapsed="false" customWidth="true" hidden="false" outlineLevel="0" max="50" min="50" style="0" width="11"/>
    <col collapsed="false" customWidth="true" hidden="false" outlineLevel="0" max="52" min="51" style="0" width="50"/>
  </cols>
  <sheetData>
    <row r="1" customFormat="false" ht="57.45" hidden="false" customHeight="false" outlineLevel="0" collapsed="false">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c r="Q1" s="3" t="s">
        <v>38</v>
      </c>
      <c r="R1" s="3" t="s">
        <v>39</v>
      </c>
      <c r="S1" s="3" t="s">
        <v>40</v>
      </c>
      <c r="T1" s="3" t="s">
        <v>41</v>
      </c>
      <c r="U1" s="3" t="s">
        <v>42</v>
      </c>
      <c r="V1" s="3" t="s">
        <v>43</v>
      </c>
      <c r="W1" s="3" t="s">
        <v>44</v>
      </c>
      <c r="X1" s="3" t="s">
        <v>45</v>
      </c>
      <c r="Y1" s="3" t="s">
        <v>46</v>
      </c>
      <c r="Z1" s="3" t="s">
        <v>47</v>
      </c>
      <c r="AA1" s="3" t="s">
        <v>48</v>
      </c>
      <c r="AB1" s="4" t="s">
        <v>49</v>
      </c>
      <c r="AC1" s="4" t="s">
        <v>50</v>
      </c>
      <c r="AD1" s="4" t="s">
        <v>51</v>
      </c>
      <c r="AE1" s="4" t="s">
        <v>52</v>
      </c>
      <c r="AF1" s="4" t="s">
        <v>53</v>
      </c>
      <c r="AG1" s="4" t="s">
        <v>54</v>
      </c>
      <c r="AH1" s="4" t="s">
        <v>55</v>
      </c>
      <c r="AI1" s="5" t="s">
        <v>56</v>
      </c>
      <c r="AJ1" s="5" t="s">
        <v>57</v>
      </c>
      <c r="AK1" s="5" t="s">
        <v>58</v>
      </c>
      <c r="AL1" s="5" t="s">
        <v>59</v>
      </c>
      <c r="AM1" s="5" t="s">
        <v>60</v>
      </c>
      <c r="AN1" s="5" t="s">
        <v>61</v>
      </c>
      <c r="AO1" s="5" t="s">
        <v>62</v>
      </c>
      <c r="AP1" s="5" t="s">
        <v>63</v>
      </c>
      <c r="AQ1" s="5" t="s">
        <v>64</v>
      </c>
      <c r="AR1" s="5" t="s">
        <v>65</v>
      </c>
      <c r="AS1" s="5" t="s">
        <v>66</v>
      </c>
      <c r="AT1" s="5" t="s">
        <v>67</v>
      </c>
      <c r="AU1" s="5" t="s">
        <v>68</v>
      </c>
      <c r="AV1" s="5" t="s">
        <v>69</v>
      </c>
      <c r="AW1" s="5" t="s">
        <v>70</v>
      </c>
      <c r="AX1" s="5" t="s">
        <v>71</v>
      </c>
      <c r="AY1" s="5" t="s">
        <v>72</v>
      </c>
      <c r="AZ1" s="5" t="s">
        <v>73</v>
      </c>
    </row>
    <row r="2" customFormat="false" ht="150" hidden="false" customHeight="true" outlineLevel="0" collapsed="false">
      <c r="A2" s="6" t="s">
        <v>74</v>
      </c>
      <c r="B2" s="6" t="s">
        <v>75</v>
      </c>
      <c r="C2" s="6" t="s">
        <v>76</v>
      </c>
      <c r="D2" s="6" t="s">
        <v>77</v>
      </c>
      <c r="E2" s="6" t="s">
        <v>78</v>
      </c>
      <c r="F2" s="6"/>
      <c r="G2" s="6" t="s">
        <v>79</v>
      </c>
      <c r="H2" s="6" t="s">
        <v>80</v>
      </c>
      <c r="I2" s="6" t="s">
        <v>81</v>
      </c>
      <c r="J2" s="6"/>
      <c r="K2" s="6"/>
      <c r="L2" s="6"/>
      <c r="M2" s="6"/>
      <c r="N2" s="6"/>
      <c r="O2" s="6"/>
      <c r="P2" s="6"/>
      <c r="Q2" s="6"/>
      <c r="R2" s="6"/>
      <c r="S2" s="6" t="s">
        <v>82</v>
      </c>
      <c r="T2" s="6" t="s">
        <v>83</v>
      </c>
      <c r="U2" s="6"/>
      <c r="V2" s="6" t="s">
        <v>84</v>
      </c>
      <c r="W2" s="6" t="s">
        <v>85</v>
      </c>
      <c r="X2" s="6" t="s">
        <v>86</v>
      </c>
      <c r="Y2" s="6" t="s">
        <v>87</v>
      </c>
      <c r="Z2" s="6" t="s">
        <v>88</v>
      </c>
      <c r="AA2" s="6" t="s">
        <v>89</v>
      </c>
      <c r="AB2" s="6" t="s">
        <v>90</v>
      </c>
      <c r="AC2" s="6" t="s">
        <v>91</v>
      </c>
      <c r="AD2" s="6" t="s">
        <v>92</v>
      </c>
      <c r="AE2" s="6" t="s">
        <v>93</v>
      </c>
      <c r="AF2" s="6" t="s">
        <v>94</v>
      </c>
      <c r="AG2" s="6"/>
      <c r="AH2" s="6"/>
      <c r="AI2" s="7"/>
      <c r="AJ2" s="7"/>
      <c r="AK2" s="7"/>
      <c r="AL2" s="7"/>
      <c r="AM2" s="7"/>
      <c r="AN2" s="7"/>
      <c r="AO2" s="7"/>
      <c r="AP2" s="7"/>
      <c r="AQ2" s="7"/>
      <c r="AR2" s="7"/>
      <c r="AS2" s="7"/>
      <c r="AT2" s="7"/>
      <c r="AU2" s="7"/>
      <c r="AV2" s="7"/>
      <c r="AW2" s="7"/>
      <c r="AX2" s="7"/>
      <c r="AY2" s="7"/>
      <c r="AZ2" s="7"/>
    </row>
    <row r="3" customFormat="false" ht="150" hidden="false" customHeight="true" outlineLevel="0" collapsed="false">
      <c r="A3" s="6" t="s">
        <v>95</v>
      </c>
      <c r="B3" s="6" t="s">
        <v>75</v>
      </c>
      <c r="C3" s="6" t="s">
        <v>76</v>
      </c>
      <c r="D3" s="6" t="s">
        <v>96</v>
      </c>
      <c r="E3" s="6" t="s">
        <v>97</v>
      </c>
      <c r="F3" s="6"/>
      <c r="G3" s="6" t="s">
        <v>98</v>
      </c>
      <c r="H3" s="6" t="s">
        <v>80</v>
      </c>
      <c r="I3" s="6" t="s">
        <v>81</v>
      </c>
      <c r="J3" s="6"/>
      <c r="K3" s="6"/>
      <c r="L3" s="6"/>
      <c r="M3" s="6"/>
      <c r="N3" s="6"/>
      <c r="O3" s="6"/>
      <c r="P3" s="6"/>
      <c r="Q3" s="6"/>
      <c r="R3" s="6"/>
      <c r="S3" s="6" t="s">
        <v>99</v>
      </c>
      <c r="T3" s="6" t="s">
        <v>83</v>
      </c>
      <c r="U3" s="6"/>
      <c r="V3" s="6" t="s">
        <v>100</v>
      </c>
      <c r="W3" s="6" t="s">
        <v>101</v>
      </c>
      <c r="X3" s="6" t="s">
        <v>102</v>
      </c>
      <c r="Y3" s="6" t="s">
        <v>103</v>
      </c>
      <c r="Z3" s="6" t="s">
        <v>104</v>
      </c>
      <c r="AA3" s="6" t="s">
        <v>89</v>
      </c>
      <c r="AB3" s="6" t="s">
        <v>105</v>
      </c>
      <c r="AC3" s="6" t="s">
        <v>106</v>
      </c>
      <c r="AD3" s="6" t="s">
        <v>107</v>
      </c>
      <c r="AE3" s="6" t="s">
        <v>93</v>
      </c>
      <c r="AF3" s="6" t="s">
        <v>108</v>
      </c>
      <c r="AG3" s="6"/>
      <c r="AH3" s="6"/>
      <c r="AI3" s="7"/>
      <c r="AJ3" s="7"/>
      <c r="AK3" s="7"/>
      <c r="AL3" s="7"/>
      <c r="AM3" s="7"/>
      <c r="AN3" s="7"/>
      <c r="AO3" s="7"/>
      <c r="AP3" s="7"/>
      <c r="AQ3" s="7"/>
      <c r="AR3" s="7"/>
      <c r="AS3" s="7"/>
      <c r="AT3" s="7"/>
      <c r="AU3" s="7"/>
      <c r="AV3" s="7"/>
      <c r="AW3" s="7"/>
      <c r="AX3" s="7"/>
      <c r="AY3" s="7"/>
      <c r="AZ3" s="7"/>
    </row>
    <row r="4" customFormat="false" ht="150" hidden="false" customHeight="true" outlineLevel="0" collapsed="false">
      <c r="A4" s="6" t="s">
        <v>109</v>
      </c>
      <c r="B4" s="6" t="s">
        <v>75</v>
      </c>
      <c r="C4" s="6" t="s">
        <v>76</v>
      </c>
      <c r="D4" s="6" t="s">
        <v>110</v>
      </c>
      <c r="E4" s="6" t="s">
        <v>111</v>
      </c>
      <c r="F4" s="6"/>
      <c r="G4" s="6" t="s">
        <v>98</v>
      </c>
      <c r="H4" s="6" t="s">
        <v>80</v>
      </c>
      <c r="I4" s="6" t="s">
        <v>81</v>
      </c>
      <c r="J4" s="6"/>
      <c r="K4" s="6"/>
      <c r="L4" s="6"/>
      <c r="M4" s="6"/>
      <c r="N4" s="6"/>
      <c r="O4" s="6"/>
      <c r="P4" s="6"/>
      <c r="Q4" s="6"/>
      <c r="R4" s="6"/>
      <c r="S4" s="6" t="s">
        <v>112</v>
      </c>
      <c r="T4" s="6" t="s">
        <v>83</v>
      </c>
      <c r="U4" s="6"/>
      <c r="V4" s="6" t="s">
        <v>113</v>
      </c>
      <c r="W4" s="6" t="s">
        <v>114</v>
      </c>
      <c r="X4" s="6" t="s">
        <v>115</v>
      </c>
      <c r="Y4" s="6" t="s">
        <v>116</v>
      </c>
      <c r="Z4" s="6" t="s">
        <v>117</v>
      </c>
      <c r="AA4" s="6" t="s">
        <v>89</v>
      </c>
      <c r="AB4" s="6" t="s">
        <v>118</v>
      </c>
      <c r="AC4" s="6" t="s">
        <v>91</v>
      </c>
      <c r="AD4" s="6" t="s">
        <v>119</v>
      </c>
      <c r="AE4" s="6" t="s">
        <v>120</v>
      </c>
      <c r="AF4" s="6" t="s">
        <v>121</v>
      </c>
      <c r="AG4" s="6"/>
      <c r="AH4" s="6"/>
      <c r="AI4" s="7"/>
      <c r="AJ4" s="7"/>
      <c r="AK4" s="7"/>
      <c r="AL4" s="7"/>
      <c r="AM4" s="7"/>
      <c r="AN4" s="7"/>
      <c r="AO4" s="7"/>
      <c r="AP4" s="7"/>
      <c r="AQ4" s="7"/>
      <c r="AR4" s="7"/>
      <c r="AS4" s="7"/>
      <c r="AT4" s="7"/>
      <c r="AU4" s="7"/>
      <c r="AV4" s="7"/>
      <c r="AW4" s="7"/>
      <c r="AX4" s="7"/>
      <c r="AY4" s="7"/>
      <c r="AZ4" s="7"/>
    </row>
    <row r="5" customFormat="false" ht="150" hidden="false" customHeight="true" outlineLevel="0" collapsed="false">
      <c r="A5" s="6" t="s">
        <v>122</v>
      </c>
      <c r="B5" s="6" t="s">
        <v>75</v>
      </c>
      <c r="C5" s="6" t="s">
        <v>76</v>
      </c>
      <c r="D5" s="6" t="s">
        <v>123</v>
      </c>
      <c r="E5" s="6" t="s">
        <v>124</v>
      </c>
      <c r="F5" s="6"/>
      <c r="G5" s="6" t="s">
        <v>79</v>
      </c>
      <c r="H5" s="6" t="s">
        <v>80</v>
      </c>
      <c r="I5" s="6" t="s">
        <v>81</v>
      </c>
      <c r="J5" s="6"/>
      <c r="K5" s="6"/>
      <c r="L5" s="6"/>
      <c r="M5" s="6"/>
      <c r="N5" s="6"/>
      <c r="O5" s="6"/>
      <c r="P5" s="6"/>
      <c r="Q5" s="6"/>
      <c r="R5" s="6"/>
      <c r="S5" s="6"/>
      <c r="T5" s="6"/>
      <c r="U5" s="6"/>
      <c r="V5" s="6"/>
      <c r="W5" s="6"/>
      <c r="X5" s="6"/>
      <c r="Y5" s="6" t="s">
        <v>125</v>
      </c>
      <c r="Z5" s="6" t="s">
        <v>126</v>
      </c>
      <c r="AA5" s="6" t="s">
        <v>89</v>
      </c>
      <c r="AB5" s="6" t="s">
        <v>127</v>
      </c>
      <c r="AC5" s="6" t="s">
        <v>128</v>
      </c>
      <c r="AD5" s="6" t="s">
        <v>129</v>
      </c>
      <c r="AE5" s="6" t="s">
        <v>93</v>
      </c>
      <c r="AF5" s="6" t="s">
        <v>130</v>
      </c>
      <c r="AG5" s="6"/>
      <c r="AH5" s="6"/>
      <c r="AI5" s="7"/>
      <c r="AJ5" s="7"/>
      <c r="AK5" s="7"/>
      <c r="AL5" s="7"/>
      <c r="AM5" s="7"/>
      <c r="AN5" s="7"/>
      <c r="AO5" s="7"/>
      <c r="AP5" s="7"/>
      <c r="AQ5" s="7"/>
      <c r="AR5" s="7"/>
      <c r="AS5" s="7"/>
      <c r="AT5" s="7"/>
      <c r="AU5" s="7"/>
      <c r="AV5" s="7"/>
      <c r="AW5" s="7"/>
      <c r="AX5" s="7"/>
      <c r="AY5" s="7"/>
      <c r="AZ5" s="7"/>
    </row>
    <row r="6" customFormat="false" ht="150" hidden="false" customHeight="true" outlineLevel="0" collapsed="false">
      <c r="A6" s="6" t="s">
        <v>131</v>
      </c>
      <c r="B6" s="6" t="s">
        <v>75</v>
      </c>
      <c r="C6" s="6" t="s">
        <v>76</v>
      </c>
      <c r="D6" s="6" t="s">
        <v>132</v>
      </c>
      <c r="E6" s="6" t="s">
        <v>133</v>
      </c>
      <c r="F6" s="6"/>
      <c r="G6" s="6" t="s">
        <v>98</v>
      </c>
      <c r="H6" s="6" t="s">
        <v>80</v>
      </c>
      <c r="I6" s="6" t="s">
        <v>81</v>
      </c>
      <c r="J6" s="6"/>
      <c r="K6" s="6"/>
      <c r="L6" s="6"/>
      <c r="M6" s="6"/>
      <c r="N6" s="6"/>
      <c r="O6" s="6"/>
      <c r="P6" s="6"/>
      <c r="Q6" s="6"/>
      <c r="R6" s="6"/>
      <c r="S6" s="6" t="s">
        <v>134</v>
      </c>
      <c r="T6" s="6" t="s">
        <v>83</v>
      </c>
      <c r="U6" s="6"/>
      <c r="V6" s="6" t="s">
        <v>135</v>
      </c>
      <c r="W6" s="6" t="s">
        <v>136</v>
      </c>
      <c r="X6" s="6" t="s">
        <v>137</v>
      </c>
      <c r="Y6" s="6" t="s">
        <v>138</v>
      </c>
      <c r="Z6" s="6" t="s">
        <v>139</v>
      </c>
      <c r="AA6" s="6" t="s">
        <v>89</v>
      </c>
      <c r="AB6" s="6" t="s">
        <v>140</v>
      </c>
      <c r="AC6" s="6" t="s">
        <v>141</v>
      </c>
      <c r="AD6" s="6" t="s">
        <v>142</v>
      </c>
      <c r="AE6" s="6" t="s">
        <v>93</v>
      </c>
      <c r="AF6" s="6" t="s">
        <v>143</v>
      </c>
      <c r="AG6" s="6"/>
      <c r="AH6" s="6"/>
      <c r="AI6" s="7"/>
      <c r="AJ6" s="7"/>
      <c r="AK6" s="7"/>
      <c r="AL6" s="7"/>
      <c r="AM6" s="7"/>
      <c r="AN6" s="7"/>
      <c r="AO6" s="7"/>
      <c r="AP6" s="7"/>
      <c r="AQ6" s="7"/>
      <c r="AR6" s="7"/>
      <c r="AS6" s="7"/>
      <c r="AT6" s="7"/>
      <c r="AU6" s="7"/>
      <c r="AV6" s="7"/>
      <c r="AW6" s="7"/>
      <c r="AX6" s="7"/>
      <c r="AY6" s="7"/>
      <c r="AZ6" s="7"/>
    </row>
    <row r="7" customFormat="false" ht="150" hidden="false" customHeight="true" outlineLevel="0" collapsed="false">
      <c r="A7" s="6" t="s">
        <v>144</v>
      </c>
      <c r="B7" s="6" t="s">
        <v>75</v>
      </c>
      <c r="C7" s="6" t="s">
        <v>76</v>
      </c>
      <c r="D7" s="6" t="s">
        <v>145</v>
      </c>
      <c r="E7" s="6" t="s">
        <v>146</v>
      </c>
      <c r="F7" s="6"/>
      <c r="G7" s="6" t="s">
        <v>79</v>
      </c>
      <c r="H7" s="6" t="s">
        <v>80</v>
      </c>
      <c r="I7" s="6" t="s">
        <v>81</v>
      </c>
      <c r="J7" s="6"/>
      <c r="K7" s="6"/>
      <c r="L7" s="6"/>
      <c r="M7" s="6"/>
      <c r="N7" s="6"/>
      <c r="O7" s="6"/>
      <c r="P7" s="6"/>
      <c r="Q7" s="6"/>
      <c r="R7" s="6"/>
      <c r="S7" s="6"/>
      <c r="T7" s="6"/>
      <c r="U7" s="6"/>
      <c r="V7" s="6"/>
      <c r="W7" s="6"/>
      <c r="X7" s="6"/>
      <c r="Y7" s="6" t="s">
        <v>147</v>
      </c>
      <c r="Z7" s="6" t="s">
        <v>148</v>
      </c>
      <c r="AA7" s="6" t="s">
        <v>89</v>
      </c>
      <c r="AB7" s="6" t="s">
        <v>149</v>
      </c>
      <c r="AC7" s="6" t="s">
        <v>91</v>
      </c>
      <c r="AD7" s="6" t="s">
        <v>150</v>
      </c>
      <c r="AE7" s="6" t="s">
        <v>93</v>
      </c>
      <c r="AF7" s="6" t="s">
        <v>151</v>
      </c>
      <c r="AG7" s="6"/>
      <c r="AH7" s="6"/>
      <c r="AI7" s="7"/>
      <c r="AJ7" s="7"/>
      <c r="AK7" s="7"/>
      <c r="AL7" s="7"/>
      <c r="AM7" s="7"/>
      <c r="AN7" s="7"/>
      <c r="AO7" s="7"/>
      <c r="AP7" s="7"/>
      <c r="AQ7" s="7"/>
      <c r="AR7" s="7"/>
      <c r="AS7" s="7"/>
      <c r="AT7" s="7"/>
      <c r="AU7" s="7"/>
      <c r="AV7" s="7"/>
      <c r="AW7" s="7"/>
      <c r="AX7" s="7"/>
      <c r="AY7" s="7"/>
      <c r="AZ7" s="7"/>
    </row>
    <row r="8" customFormat="false" ht="150" hidden="false" customHeight="true" outlineLevel="0" collapsed="false">
      <c r="A8" s="6" t="s">
        <v>152</v>
      </c>
      <c r="B8" s="6" t="s">
        <v>153</v>
      </c>
      <c r="C8" s="6" t="s">
        <v>76</v>
      </c>
      <c r="D8" s="6" t="s">
        <v>77</v>
      </c>
      <c r="E8" s="6" t="s">
        <v>78</v>
      </c>
      <c r="F8" s="6"/>
      <c r="G8" s="6" t="s">
        <v>98</v>
      </c>
      <c r="H8" s="6" t="s">
        <v>80</v>
      </c>
      <c r="I8" s="6" t="s">
        <v>81</v>
      </c>
      <c r="J8" s="6"/>
      <c r="K8" s="6" t="s">
        <v>154</v>
      </c>
      <c r="L8" s="6" t="s">
        <v>155</v>
      </c>
      <c r="M8" s="6"/>
      <c r="N8" s="6"/>
      <c r="O8" s="6"/>
      <c r="P8" s="6" t="s">
        <v>156</v>
      </c>
      <c r="Q8" s="6"/>
      <c r="R8" s="6" t="s">
        <v>157</v>
      </c>
      <c r="S8" s="6"/>
      <c r="T8" s="6"/>
      <c r="U8" s="6"/>
      <c r="V8" s="6"/>
      <c r="W8" s="6"/>
      <c r="X8" s="6"/>
      <c r="Y8" s="6" t="s">
        <v>158</v>
      </c>
      <c r="Z8" s="6" t="s">
        <v>159</v>
      </c>
      <c r="AA8" s="6" t="s">
        <v>89</v>
      </c>
      <c r="AB8" s="6" t="s">
        <v>160</v>
      </c>
      <c r="AC8" s="6" t="s">
        <v>91</v>
      </c>
      <c r="AD8" s="6" t="s">
        <v>161</v>
      </c>
      <c r="AE8" s="6" t="s">
        <v>162</v>
      </c>
      <c r="AF8" s="6" t="s">
        <v>163</v>
      </c>
      <c r="AG8" s="6"/>
      <c r="AH8" s="6"/>
      <c r="AI8" s="7"/>
      <c r="AJ8" s="7"/>
      <c r="AK8" s="7"/>
      <c r="AL8" s="7"/>
      <c r="AM8" s="7"/>
      <c r="AN8" s="7"/>
      <c r="AO8" s="7"/>
      <c r="AP8" s="7"/>
      <c r="AQ8" s="7"/>
      <c r="AR8" s="7"/>
      <c r="AS8" s="7"/>
      <c r="AT8" s="7"/>
      <c r="AU8" s="7"/>
      <c r="AV8" s="7"/>
      <c r="AW8" s="7"/>
      <c r="AX8" s="7"/>
      <c r="AY8" s="7"/>
      <c r="AZ8" s="7"/>
    </row>
    <row r="9" customFormat="false" ht="150" hidden="false" customHeight="true" outlineLevel="0" collapsed="false">
      <c r="A9" s="6" t="s">
        <v>164</v>
      </c>
      <c r="B9" s="6" t="s">
        <v>153</v>
      </c>
      <c r="C9" s="6" t="s">
        <v>76</v>
      </c>
      <c r="D9" s="6" t="s">
        <v>110</v>
      </c>
      <c r="E9" s="6" t="s">
        <v>111</v>
      </c>
      <c r="F9" s="6"/>
      <c r="G9" s="6" t="s">
        <v>165</v>
      </c>
      <c r="H9" s="6" t="s">
        <v>80</v>
      </c>
      <c r="I9" s="6" t="s">
        <v>81</v>
      </c>
      <c r="J9" s="6"/>
      <c r="K9" s="6" t="s">
        <v>166</v>
      </c>
      <c r="L9" s="6" t="s">
        <v>167</v>
      </c>
      <c r="M9" s="6"/>
      <c r="N9" s="6"/>
      <c r="O9" s="6"/>
      <c r="P9" s="6" t="s">
        <v>168</v>
      </c>
      <c r="Q9" s="6" t="s">
        <v>169</v>
      </c>
      <c r="R9" s="6" t="s">
        <v>170</v>
      </c>
      <c r="S9" s="6"/>
      <c r="T9" s="6"/>
      <c r="U9" s="6"/>
      <c r="V9" s="6"/>
      <c r="W9" s="6"/>
      <c r="X9" s="6"/>
      <c r="Y9" s="6" t="s">
        <v>171</v>
      </c>
      <c r="Z9" s="6" t="s">
        <v>172</v>
      </c>
      <c r="AA9" s="6" t="s">
        <v>89</v>
      </c>
      <c r="AB9" s="6" t="s">
        <v>173</v>
      </c>
      <c r="AC9" s="6" t="s">
        <v>91</v>
      </c>
      <c r="AD9" s="6" t="s">
        <v>174</v>
      </c>
      <c r="AE9" s="6" t="s">
        <v>120</v>
      </c>
      <c r="AF9" s="6" t="s">
        <v>175</v>
      </c>
      <c r="AG9" s="6"/>
      <c r="AH9" s="6"/>
      <c r="AI9" s="7"/>
      <c r="AJ9" s="7"/>
      <c r="AK9" s="7"/>
      <c r="AL9" s="7"/>
      <c r="AM9" s="7"/>
      <c r="AN9" s="7"/>
      <c r="AO9" s="7"/>
      <c r="AP9" s="7"/>
      <c r="AQ9" s="7"/>
      <c r="AR9" s="7"/>
      <c r="AS9" s="7"/>
      <c r="AT9" s="7"/>
      <c r="AU9" s="7"/>
      <c r="AV9" s="7"/>
      <c r="AW9" s="7"/>
      <c r="AX9" s="7"/>
      <c r="AY9" s="7"/>
      <c r="AZ9" s="7"/>
    </row>
    <row r="10" customFormat="false" ht="150" hidden="false" customHeight="true" outlineLevel="0" collapsed="false">
      <c r="A10" s="6" t="s">
        <v>176</v>
      </c>
      <c r="B10" s="6" t="s">
        <v>153</v>
      </c>
      <c r="C10" s="6" t="s">
        <v>76</v>
      </c>
      <c r="D10" s="6" t="s">
        <v>77</v>
      </c>
      <c r="E10" s="6" t="s">
        <v>78</v>
      </c>
      <c r="F10" s="6"/>
      <c r="G10" s="6" t="s">
        <v>79</v>
      </c>
      <c r="H10" s="6" t="s">
        <v>80</v>
      </c>
      <c r="I10" s="6" t="s">
        <v>81</v>
      </c>
      <c r="J10" s="6"/>
      <c r="K10" s="6" t="s">
        <v>177</v>
      </c>
      <c r="L10" s="6" t="s">
        <v>178</v>
      </c>
      <c r="M10" s="6"/>
      <c r="N10" s="6"/>
      <c r="O10" s="6"/>
      <c r="P10" s="6" t="s">
        <v>179</v>
      </c>
      <c r="Q10" s="6"/>
      <c r="R10" s="6" t="s">
        <v>180</v>
      </c>
      <c r="S10" s="6"/>
      <c r="T10" s="6"/>
      <c r="U10" s="6"/>
      <c r="V10" s="6"/>
      <c r="W10" s="6"/>
      <c r="X10" s="6"/>
      <c r="Y10" s="6" t="s">
        <v>181</v>
      </c>
      <c r="Z10" s="6" t="s">
        <v>182</v>
      </c>
      <c r="AA10" s="6" t="s">
        <v>89</v>
      </c>
      <c r="AB10" s="6" t="s">
        <v>183</v>
      </c>
      <c r="AC10" s="6" t="s">
        <v>91</v>
      </c>
      <c r="AD10" s="6" t="s">
        <v>184</v>
      </c>
      <c r="AE10" s="6" t="s">
        <v>162</v>
      </c>
      <c r="AF10" s="6" t="s">
        <v>185</v>
      </c>
      <c r="AG10" s="6"/>
      <c r="AH10" s="6"/>
      <c r="AI10" s="7"/>
      <c r="AJ10" s="7"/>
      <c r="AK10" s="7"/>
      <c r="AL10" s="7"/>
      <c r="AM10" s="7"/>
      <c r="AN10" s="7"/>
      <c r="AO10" s="7"/>
      <c r="AP10" s="7"/>
      <c r="AQ10" s="7"/>
      <c r="AR10" s="7"/>
      <c r="AS10" s="7"/>
      <c r="AT10" s="7"/>
      <c r="AU10" s="7"/>
      <c r="AV10" s="7"/>
      <c r="AW10" s="7"/>
      <c r="AX10" s="7"/>
      <c r="AY10" s="7"/>
      <c r="AZ10" s="7"/>
    </row>
    <row r="11" customFormat="false" ht="150" hidden="false" customHeight="true" outlineLevel="0" collapsed="false">
      <c r="A11" s="6" t="s">
        <v>186</v>
      </c>
      <c r="B11" s="6" t="s">
        <v>153</v>
      </c>
      <c r="C11" s="6" t="s">
        <v>76</v>
      </c>
      <c r="D11" s="6" t="s">
        <v>96</v>
      </c>
      <c r="E11" s="6" t="s">
        <v>97</v>
      </c>
      <c r="F11" s="6"/>
      <c r="G11" s="6" t="s">
        <v>165</v>
      </c>
      <c r="H11" s="6" t="s">
        <v>80</v>
      </c>
      <c r="I11" s="6" t="s">
        <v>81</v>
      </c>
      <c r="J11" s="6"/>
      <c r="K11" s="6" t="s">
        <v>187</v>
      </c>
      <c r="L11" s="6" t="s">
        <v>188</v>
      </c>
      <c r="M11" s="6"/>
      <c r="N11" s="6"/>
      <c r="O11" s="6"/>
      <c r="P11" s="6" t="s">
        <v>189</v>
      </c>
      <c r="Q11" s="6" t="s">
        <v>190</v>
      </c>
      <c r="R11" s="6" t="s">
        <v>191</v>
      </c>
      <c r="S11" s="6"/>
      <c r="T11" s="6"/>
      <c r="U11" s="6"/>
      <c r="V11" s="6"/>
      <c r="W11" s="6"/>
      <c r="X11" s="6"/>
      <c r="Y11" s="6" t="s">
        <v>192</v>
      </c>
      <c r="Z11" s="6" t="s">
        <v>193</v>
      </c>
      <c r="AA11" s="6" t="s">
        <v>89</v>
      </c>
      <c r="AB11" s="6" t="s">
        <v>194</v>
      </c>
      <c r="AC11" s="6" t="s">
        <v>91</v>
      </c>
      <c r="AD11" s="6" t="s">
        <v>195</v>
      </c>
      <c r="AE11" s="6" t="s">
        <v>93</v>
      </c>
      <c r="AF11" s="6" t="s">
        <v>196</v>
      </c>
      <c r="AG11" s="6"/>
      <c r="AH11" s="6"/>
      <c r="AI11" s="7"/>
      <c r="AJ11" s="7"/>
      <c r="AK11" s="7"/>
      <c r="AL11" s="7"/>
      <c r="AM11" s="7"/>
      <c r="AN11" s="7"/>
      <c r="AO11" s="7"/>
      <c r="AP11" s="7"/>
      <c r="AQ11" s="7"/>
      <c r="AR11" s="7"/>
      <c r="AS11" s="7"/>
      <c r="AT11" s="7"/>
      <c r="AU11" s="7"/>
      <c r="AV11" s="7"/>
      <c r="AW11" s="7"/>
      <c r="AX11" s="7"/>
      <c r="AY11" s="7"/>
      <c r="AZ11" s="7"/>
    </row>
    <row r="12" customFormat="false" ht="150" hidden="false" customHeight="true" outlineLevel="0" collapsed="false">
      <c r="A12" s="6" t="s">
        <v>197</v>
      </c>
      <c r="B12" s="6" t="s">
        <v>153</v>
      </c>
      <c r="C12" s="6" t="s">
        <v>76</v>
      </c>
      <c r="D12" s="6" t="s">
        <v>145</v>
      </c>
      <c r="E12" s="6" t="s">
        <v>146</v>
      </c>
      <c r="F12" s="6"/>
      <c r="G12" s="6" t="s">
        <v>79</v>
      </c>
      <c r="H12" s="6" t="s">
        <v>80</v>
      </c>
      <c r="I12" s="6" t="s">
        <v>81</v>
      </c>
      <c r="J12" s="6"/>
      <c r="K12" s="6" t="s">
        <v>198</v>
      </c>
      <c r="L12" s="6" t="s">
        <v>199</v>
      </c>
      <c r="M12" s="6"/>
      <c r="N12" s="6"/>
      <c r="O12" s="6"/>
      <c r="P12" s="6" t="s">
        <v>200</v>
      </c>
      <c r="Q12" s="6" t="s">
        <v>201</v>
      </c>
      <c r="R12" s="6" t="s">
        <v>202</v>
      </c>
      <c r="S12" s="6"/>
      <c r="T12" s="6"/>
      <c r="U12" s="6"/>
      <c r="V12" s="6"/>
      <c r="W12" s="6"/>
      <c r="X12" s="6"/>
      <c r="Y12" s="6" t="s">
        <v>203</v>
      </c>
      <c r="Z12" s="6" t="s">
        <v>204</v>
      </c>
      <c r="AA12" s="6" t="s">
        <v>89</v>
      </c>
      <c r="AB12" s="6" t="s">
        <v>205</v>
      </c>
      <c r="AC12" s="6" t="s">
        <v>91</v>
      </c>
      <c r="AD12" s="6" t="s">
        <v>206</v>
      </c>
      <c r="AE12" s="6" t="s">
        <v>120</v>
      </c>
      <c r="AF12" s="6" t="s">
        <v>207</v>
      </c>
      <c r="AG12" s="6"/>
      <c r="AH12" s="6"/>
      <c r="AI12" s="7"/>
      <c r="AJ12" s="7"/>
      <c r="AK12" s="7"/>
      <c r="AL12" s="7"/>
      <c r="AM12" s="7"/>
      <c r="AN12" s="7"/>
      <c r="AO12" s="7"/>
      <c r="AP12" s="7"/>
      <c r="AQ12" s="7"/>
      <c r="AR12" s="7"/>
      <c r="AS12" s="7"/>
      <c r="AT12" s="7"/>
      <c r="AU12" s="7"/>
      <c r="AV12" s="7"/>
      <c r="AW12" s="7"/>
      <c r="AX12" s="7"/>
      <c r="AY12" s="7"/>
      <c r="AZ12" s="7"/>
    </row>
    <row r="13" customFormat="false" ht="150" hidden="false" customHeight="true" outlineLevel="0" collapsed="false">
      <c r="A13" s="6" t="s">
        <v>208</v>
      </c>
      <c r="B13" s="6" t="s">
        <v>153</v>
      </c>
      <c r="C13" s="6" t="s">
        <v>76</v>
      </c>
      <c r="D13" s="6" t="s">
        <v>110</v>
      </c>
      <c r="E13" s="6" t="s">
        <v>111</v>
      </c>
      <c r="F13" s="6"/>
      <c r="G13" s="6" t="s">
        <v>98</v>
      </c>
      <c r="H13" s="6" t="s">
        <v>80</v>
      </c>
      <c r="I13" s="6" t="s">
        <v>81</v>
      </c>
      <c r="J13" s="6"/>
      <c r="K13" s="6" t="s">
        <v>209</v>
      </c>
      <c r="L13" s="6" t="s">
        <v>210</v>
      </c>
      <c r="M13" s="6"/>
      <c r="N13" s="6"/>
      <c r="O13" s="6"/>
      <c r="P13" s="6" t="s">
        <v>211</v>
      </c>
      <c r="Q13" s="6" t="s">
        <v>212</v>
      </c>
      <c r="R13" s="6" t="s">
        <v>213</v>
      </c>
      <c r="S13" s="6"/>
      <c r="T13" s="6"/>
      <c r="U13" s="6"/>
      <c r="V13" s="6"/>
      <c r="W13" s="6"/>
      <c r="X13" s="6"/>
      <c r="Y13" s="6" t="s">
        <v>214</v>
      </c>
      <c r="Z13" s="6" t="s">
        <v>215</v>
      </c>
      <c r="AA13" s="6" t="s">
        <v>89</v>
      </c>
      <c r="AB13" s="6" t="s">
        <v>216</v>
      </c>
      <c r="AC13" s="6" t="s">
        <v>91</v>
      </c>
      <c r="AD13" s="6" t="s">
        <v>217</v>
      </c>
      <c r="AE13" s="6" t="s">
        <v>120</v>
      </c>
      <c r="AF13" s="6" t="s">
        <v>218</v>
      </c>
      <c r="AG13" s="6"/>
      <c r="AH13" s="6"/>
      <c r="AI13" s="7"/>
      <c r="AJ13" s="7"/>
      <c r="AK13" s="7"/>
      <c r="AL13" s="7"/>
      <c r="AM13" s="7"/>
      <c r="AN13" s="7"/>
      <c r="AO13" s="7"/>
      <c r="AP13" s="7"/>
      <c r="AQ13" s="7"/>
      <c r="AR13" s="7"/>
      <c r="AS13" s="7"/>
      <c r="AT13" s="7"/>
      <c r="AU13" s="7"/>
      <c r="AV13" s="7"/>
      <c r="AW13" s="7"/>
      <c r="AX13" s="7"/>
      <c r="AY13" s="7"/>
      <c r="AZ13" s="7"/>
    </row>
    <row r="14" customFormat="false" ht="150" hidden="false" customHeight="true" outlineLevel="0" collapsed="false">
      <c r="A14" s="6" t="s">
        <v>219</v>
      </c>
      <c r="B14" s="6" t="s">
        <v>153</v>
      </c>
      <c r="C14" s="6" t="s">
        <v>76</v>
      </c>
      <c r="D14" s="6" t="s">
        <v>77</v>
      </c>
      <c r="E14" s="6" t="s">
        <v>78</v>
      </c>
      <c r="F14" s="6"/>
      <c r="G14" s="6" t="s">
        <v>79</v>
      </c>
      <c r="H14" s="6" t="s">
        <v>80</v>
      </c>
      <c r="I14" s="6" t="s">
        <v>81</v>
      </c>
      <c r="J14" s="6"/>
      <c r="K14" s="6" t="s">
        <v>177</v>
      </c>
      <c r="L14" s="6" t="s">
        <v>178</v>
      </c>
      <c r="M14" s="6"/>
      <c r="N14" s="6"/>
      <c r="O14" s="6"/>
      <c r="P14" s="6" t="s">
        <v>179</v>
      </c>
      <c r="Q14" s="6"/>
      <c r="R14" s="6" t="s">
        <v>180</v>
      </c>
      <c r="S14" s="6"/>
      <c r="T14" s="6"/>
      <c r="U14" s="6"/>
      <c r="V14" s="6"/>
      <c r="W14" s="6"/>
      <c r="X14" s="6"/>
      <c r="Y14" s="6" t="s">
        <v>220</v>
      </c>
      <c r="Z14" s="6" t="s">
        <v>221</v>
      </c>
      <c r="AA14" s="6" t="s">
        <v>89</v>
      </c>
      <c r="AB14" s="6" t="s">
        <v>222</v>
      </c>
      <c r="AC14" s="6" t="s">
        <v>91</v>
      </c>
      <c r="AD14" s="6" t="s">
        <v>223</v>
      </c>
      <c r="AE14" s="6" t="s">
        <v>162</v>
      </c>
      <c r="AF14" s="6" t="s">
        <v>224</v>
      </c>
      <c r="AG14" s="6"/>
      <c r="AH14" s="6"/>
      <c r="AI14" s="7"/>
      <c r="AJ14" s="7"/>
      <c r="AK14" s="7"/>
      <c r="AL14" s="7"/>
      <c r="AM14" s="7"/>
      <c r="AN14" s="7"/>
      <c r="AO14" s="7"/>
      <c r="AP14" s="7"/>
      <c r="AQ14" s="7"/>
      <c r="AR14" s="7"/>
      <c r="AS14" s="7"/>
      <c r="AT14" s="7"/>
      <c r="AU14" s="7"/>
      <c r="AV14" s="7"/>
      <c r="AW14" s="7"/>
      <c r="AX14" s="7"/>
      <c r="AY14" s="7"/>
      <c r="AZ14" s="7"/>
    </row>
    <row r="15" customFormat="false" ht="150" hidden="false" customHeight="true" outlineLevel="0" collapsed="false">
      <c r="A15" s="6" t="s">
        <v>225</v>
      </c>
      <c r="B15" s="6" t="s">
        <v>153</v>
      </c>
      <c r="C15" s="6" t="s">
        <v>76</v>
      </c>
      <c r="D15" s="6" t="s">
        <v>77</v>
      </c>
      <c r="E15" s="6" t="s">
        <v>78</v>
      </c>
      <c r="F15" s="6"/>
      <c r="G15" s="6" t="s">
        <v>79</v>
      </c>
      <c r="H15" s="6" t="s">
        <v>80</v>
      </c>
      <c r="I15" s="6" t="s">
        <v>81</v>
      </c>
      <c r="J15" s="6"/>
      <c r="K15" s="6" t="s">
        <v>226</v>
      </c>
      <c r="L15" s="6" t="s">
        <v>227</v>
      </c>
      <c r="M15" s="6"/>
      <c r="N15" s="6"/>
      <c r="O15" s="6"/>
      <c r="P15" s="6" t="s">
        <v>228</v>
      </c>
      <c r="Q15" s="6"/>
      <c r="R15" s="6" t="s">
        <v>229</v>
      </c>
      <c r="S15" s="6"/>
      <c r="T15" s="6"/>
      <c r="U15" s="6"/>
      <c r="V15" s="6"/>
      <c r="W15" s="6"/>
      <c r="X15" s="6"/>
      <c r="Y15" s="6" t="s">
        <v>230</v>
      </c>
      <c r="Z15" s="6" t="s">
        <v>231</v>
      </c>
      <c r="AA15" s="6" t="s">
        <v>89</v>
      </c>
      <c r="AB15" s="6" t="s">
        <v>232</v>
      </c>
      <c r="AC15" s="6" t="s">
        <v>91</v>
      </c>
      <c r="AD15" s="6" t="s">
        <v>223</v>
      </c>
      <c r="AE15" s="6" t="s">
        <v>162</v>
      </c>
      <c r="AF15" s="6" t="s">
        <v>233</v>
      </c>
      <c r="AG15" s="6"/>
      <c r="AH15" s="6"/>
      <c r="AI15" s="7"/>
      <c r="AJ15" s="7"/>
      <c r="AK15" s="7"/>
      <c r="AL15" s="7"/>
      <c r="AM15" s="7"/>
      <c r="AN15" s="7"/>
      <c r="AO15" s="7"/>
      <c r="AP15" s="7"/>
      <c r="AQ15" s="7"/>
      <c r="AR15" s="7"/>
      <c r="AS15" s="7"/>
      <c r="AT15" s="7"/>
      <c r="AU15" s="7"/>
      <c r="AV15" s="7"/>
      <c r="AW15" s="7"/>
      <c r="AX15" s="7"/>
      <c r="AY15" s="7"/>
      <c r="AZ15" s="7"/>
    </row>
    <row r="16" customFormat="false" ht="150" hidden="false" customHeight="true" outlineLevel="0" collapsed="false">
      <c r="A16" s="6" t="s">
        <v>234</v>
      </c>
      <c r="B16" s="6" t="s">
        <v>153</v>
      </c>
      <c r="C16" s="6" t="s">
        <v>76</v>
      </c>
      <c r="D16" s="6" t="s">
        <v>96</v>
      </c>
      <c r="E16" s="6" t="s">
        <v>97</v>
      </c>
      <c r="F16" s="6"/>
      <c r="G16" s="6" t="s">
        <v>165</v>
      </c>
      <c r="H16" s="6" t="s">
        <v>80</v>
      </c>
      <c r="I16" s="6" t="s">
        <v>81</v>
      </c>
      <c r="J16" s="6"/>
      <c r="K16" s="6" t="s">
        <v>235</v>
      </c>
      <c r="L16" s="6" t="s">
        <v>236</v>
      </c>
      <c r="M16" s="6"/>
      <c r="N16" s="6"/>
      <c r="O16" s="6"/>
      <c r="P16" s="6" t="s">
        <v>237</v>
      </c>
      <c r="Q16" s="6"/>
      <c r="R16" s="6" t="s">
        <v>238</v>
      </c>
      <c r="S16" s="6"/>
      <c r="T16" s="6"/>
      <c r="U16" s="6"/>
      <c r="V16" s="6"/>
      <c r="W16" s="6"/>
      <c r="X16" s="6"/>
      <c r="Y16" s="6" t="s">
        <v>239</v>
      </c>
      <c r="Z16" s="6" t="s">
        <v>240</v>
      </c>
      <c r="AA16" s="6" t="s">
        <v>89</v>
      </c>
      <c r="AB16" s="6" t="s">
        <v>241</v>
      </c>
      <c r="AC16" s="6" t="s">
        <v>91</v>
      </c>
      <c r="AD16" s="6" t="s">
        <v>242</v>
      </c>
      <c r="AE16" s="6" t="s">
        <v>120</v>
      </c>
      <c r="AF16" s="6" t="s">
        <v>243</v>
      </c>
      <c r="AG16" s="6"/>
      <c r="AH16" s="6"/>
      <c r="AI16" s="7"/>
      <c r="AJ16" s="7"/>
      <c r="AK16" s="7"/>
      <c r="AL16" s="7"/>
      <c r="AM16" s="7"/>
      <c r="AN16" s="7"/>
      <c r="AO16" s="7"/>
      <c r="AP16" s="7"/>
      <c r="AQ16" s="7"/>
      <c r="AR16" s="7"/>
      <c r="AS16" s="7"/>
      <c r="AT16" s="7"/>
      <c r="AU16" s="7"/>
      <c r="AV16" s="7"/>
      <c r="AW16" s="7"/>
      <c r="AX16" s="7"/>
      <c r="AY16" s="7"/>
      <c r="AZ16" s="7"/>
    </row>
    <row r="17" customFormat="false" ht="150" hidden="false" customHeight="true" outlineLevel="0" collapsed="false">
      <c r="A17" s="6" t="s">
        <v>244</v>
      </c>
      <c r="B17" s="6" t="s">
        <v>153</v>
      </c>
      <c r="C17" s="6" t="s">
        <v>76</v>
      </c>
      <c r="D17" s="6" t="s">
        <v>77</v>
      </c>
      <c r="E17" s="6" t="s">
        <v>78</v>
      </c>
      <c r="F17" s="6"/>
      <c r="G17" s="6" t="s">
        <v>79</v>
      </c>
      <c r="H17" s="6" t="s">
        <v>80</v>
      </c>
      <c r="I17" s="6" t="s">
        <v>81</v>
      </c>
      <c r="J17" s="6"/>
      <c r="K17" s="6" t="s">
        <v>226</v>
      </c>
      <c r="L17" s="6" t="s">
        <v>227</v>
      </c>
      <c r="M17" s="6"/>
      <c r="N17" s="6"/>
      <c r="O17" s="6"/>
      <c r="P17" s="6" t="s">
        <v>228</v>
      </c>
      <c r="Q17" s="6"/>
      <c r="R17" s="6" t="s">
        <v>229</v>
      </c>
      <c r="S17" s="6"/>
      <c r="T17" s="6"/>
      <c r="U17" s="6"/>
      <c r="V17" s="6"/>
      <c r="W17" s="6"/>
      <c r="X17" s="6"/>
      <c r="Y17" s="6" t="s">
        <v>245</v>
      </c>
      <c r="Z17" s="6" t="s">
        <v>246</v>
      </c>
      <c r="AA17" s="6" t="s">
        <v>89</v>
      </c>
      <c r="AB17" s="6" t="s">
        <v>247</v>
      </c>
      <c r="AC17" s="6" t="s">
        <v>91</v>
      </c>
      <c r="AD17" s="6" t="s">
        <v>248</v>
      </c>
      <c r="AE17" s="6" t="s">
        <v>162</v>
      </c>
      <c r="AF17" s="6" t="s">
        <v>249</v>
      </c>
      <c r="AG17" s="6"/>
      <c r="AH17" s="6"/>
      <c r="AI17" s="7"/>
      <c r="AJ17" s="7"/>
      <c r="AK17" s="7"/>
      <c r="AL17" s="7"/>
      <c r="AM17" s="7"/>
      <c r="AN17" s="7"/>
      <c r="AO17" s="7"/>
      <c r="AP17" s="7"/>
      <c r="AQ17" s="7"/>
      <c r="AR17" s="7"/>
      <c r="AS17" s="7"/>
      <c r="AT17" s="7"/>
      <c r="AU17" s="7"/>
      <c r="AV17" s="7"/>
      <c r="AW17" s="7"/>
      <c r="AX17" s="7"/>
      <c r="AY17" s="7"/>
      <c r="AZ17" s="7"/>
    </row>
    <row r="18" customFormat="false" ht="150" hidden="false" customHeight="true" outlineLevel="0" collapsed="false">
      <c r="A18" s="6" t="s">
        <v>250</v>
      </c>
      <c r="B18" s="6" t="s">
        <v>153</v>
      </c>
      <c r="C18" s="6" t="s">
        <v>76</v>
      </c>
      <c r="D18" s="6" t="s">
        <v>96</v>
      </c>
      <c r="E18" s="6" t="s">
        <v>97</v>
      </c>
      <c r="F18" s="6"/>
      <c r="G18" s="6" t="s">
        <v>98</v>
      </c>
      <c r="H18" s="6" t="s">
        <v>80</v>
      </c>
      <c r="I18" s="6" t="s">
        <v>81</v>
      </c>
      <c r="J18" s="6"/>
      <c r="K18" s="6" t="s">
        <v>187</v>
      </c>
      <c r="L18" s="6" t="s">
        <v>188</v>
      </c>
      <c r="M18" s="6"/>
      <c r="N18" s="6"/>
      <c r="O18" s="6"/>
      <c r="P18" s="6" t="s">
        <v>189</v>
      </c>
      <c r="Q18" s="6" t="s">
        <v>190</v>
      </c>
      <c r="R18" s="6" t="s">
        <v>191</v>
      </c>
      <c r="S18" s="6"/>
      <c r="T18" s="6"/>
      <c r="U18" s="6"/>
      <c r="V18" s="6"/>
      <c r="W18" s="6"/>
      <c r="X18" s="6"/>
      <c r="Y18" s="6" t="s">
        <v>251</v>
      </c>
      <c r="Z18" s="6" t="s">
        <v>252</v>
      </c>
      <c r="AA18" s="6" t="s">
        <v>89</v>
      </c>
      <c r="AB18" s="6" t="s">
        <v>253</v>
      </c>
      <c r="AC18" s="6" t="s">
        <v>91</v>
      </c>
      <c r="AD18" s="6" t="s">
        <v>195</v>
      </c>
      <c r="AE18" s="6" t="s">
        <v>93</v>
      </c>
      <c r="AF18" s="6" t="s">
        <v>254</v>
      </c>
      <c r="AG18" s="6"/>
      <c r="AH18" s="6"/>
      <c r="AI18" s="7"/>
      <c r="AJ18" s="7"/>
      <c r="AK18" s="7"/>
      <c r="AL18" s="7"/>
      <c r="AM18" s="7"/>
      <c r="AN18" s="7"/>
      <c r="AO18" s="7"/>
      <c r="AP18" s="7"/>
      <c r="AQ18" s="7"/>
      <c r="AR18" s="7"/>
      <c r="AS18" s="7"/>
      <c r="AT18" s="7"/>
      <c r="AU18" s="7"/>
      <c r="AV18" s="7"/>
      <c r="AW18" s="7"/>
      <c r="AX18" s="7"/>
      <c r="AY18" s="7"/>
      <c r="AZ18" s="7"/>
    </row>
    <row r="19" customFormat="false" ht="150" hidden="false" customHeight="true" outlineLevel="0" collapsed="false">
      <c r="A19" s="6" t="s">
        <v>255</v>
      </c>
      <c r="B19" s="6" t="s">
        <v>153</v>
      </c>
      <c r="C19" s="6" t="s">
        <v>76</v>
      </c>
      <c r="D19" s="6" t="s">
        <v>77</v>
      </c>
      <c r="E19" s="6" t="s">
        <v>78</v>
      </c>
      <c r="F19" s="6"/>
      <c r="G19" s="6" t="s">
        <v>98</v>
      </c>
      <c r="H19" s="6" t="s">
        <v>80</v>
      </c>
      <c r="I19" s="6" t="s">
        <v>81</v>
      </c>
      <c r="J19" s="6"/>
      <c r="K19" s="6" t="s">
        <v>256</v>
      </c>
      <c r="L19" s="6" t="s">
        <v>257</v>
      </c>
      <c r="M19" s="6"/>
      <c r="N19" s="6"/>
      <c r="O19" s="6"/>
      <c r="P19" s="6" t="s">
        <v>258</v>
      </c>
      <c r="Q19" s="6"/>
      <c r="R19" s="6" t="s">
        <v>259</v>
      </c>
      <c r="S19" s="6"/>
      <c r="T19" s="6"/>
      <c r="U19" s="6"/>
      <c r="V19" s="6"/>
      <c r="W19" s="6"/>
      <c r="X19" s="6"/>
      <c r="Y19" s="6" t="s">
        <v>260</v>
      </c>
      <c r="Z19" s="6" t="s">
        <v>261</v>
      </c>
      <c r="AA19" s="6" t="s">
        <v>89</v>
      </c>
      <c r="AB19" s="6" t="s">
        <v>262</v>
      </c>
      <c r="AC19" s="6" t="s">
        <v>91</v>
      </c>
      <c r="AD19" s="6" t="s">
        <v>263</v>
      </c>
      <c r="AE19" s="6" t="s">
        <v>162</v>
      </c>
      <c r="AF19" s="6" t="s">
        <v>264</v>
      </c>
      <c r="AG19" s="6"/>
      <c r="AH19" s="6"/>
      <c r="AI19" s="7"/>
      <c r="AJ19" s="7"/>
      <c r="AK19" s="7"/>
      <c r="AL19" s="7"/>
      <c r="AM19" s="7"/>
      <c r="AN19" s="7"/>
      <c r="AO19" s="7"/>
      <c r="AP19" s="7"/>
      <c r="AQ19" s="7"/>
      <c r="AR19" s="7"/>
      <c r="AS19" s="7"/>
      <c r="AT19" s="7"/>
      <c r="AU19" s="7"/>
      <c r="AV19" s="7"/>
      <c r="AW19" s="7"/>
      <c r="AX19" s="7"/>
      <c r="AY19" s="7"/>
      <c r="AZ19" s="7"/>
    </row>
    <row r="20" customFormat="false" ht="150" hidden="false" customHeight="true" outlineLevel="0" collapsed="false">
      <c r="A20" s="6" t="s">
        <v>265</v>
      </c>
      <c r="B20" s="6" t="s">
        <v>153</v>
      </c>
      <c r="C20" s="6" t="s">
        <v>76</v>
      </c>
      <c r="D20" s="6" t="s">
        <v>132</v>
      </c>
      <c r="E20" s="6" t="s">
        <v>133</v>
      </c>
      <c r="F20" s="6"/>
      <c r="G20" s="6" t="s">
        <v>165</v>
      </c>
      <c r="H20" s="6" t="s">
        <v>80</v>
      </c>
      <c r="I20" s="6" t="s">
        <v>81</v>
      </c>
      <c r="J20" s="6"/>
      <c r="K20" s="6" t="s">
        <v>266</v>
      </c>
      <c r="L20" s="6" t="s">
        <v>267</v>
      </c>
      <c r="M20" s="6"/>
      <c r="N20" s="6"/>
      <c r="O20" s="6"/>
      <c r="P20" s="6" t="s">
        <v>200</v>
      </c>
      <c r="Q20" s="6" t="s">
        <v>268</v>
      </c>
      <c r="R20" s="6" t="s">
        <v>191</v>
      </c>
      <c r="S20" s="6"/>
      <c r="T20" s="6"/>
      <c r="U20" s="6"/>
      <c r="V20" s="6"/>
      <c r="W20" s="6"/>
      <c r="X20" s="6"/>
      <c r="Y20" s="6" t="s">
        <v>269</v>
      </c>
      <c r="Z20" s="6" t="s">
        <v>270</v>
      </c>
      <c r="AA20" s="6" t="s">
        <v>89</v>
      </c>
      <c r="AB20" s="6" t="s">
        <v>271</v>
      </c>
      <c r="AC20" s="6" t="s">
        <v>91</v>
      </c>
      <c r="AD20" s="6" t="s">
        <v>272</v>
      </c>
      <c r="AE20" s="6" t="s">
        <v>120</v>
      </c>
      <c r="AF20" s="6" t="s">
        <v>273</v>
      </c>
      <c r="AG20" s="6"/>
      <c r="AH20" s="6"/>
      <c r="AI20" s="7"/>
      <c r="AJ20" s="7"/>
      <c r="AK20" s="7"/>
      <c r="AL20" s="7"/>
      <c r="AM20" s="7"/>
      <c r="AN20" s="7"/>
      <c r="AO20" s="7"/>
      <c r="AP20" s="7"/>
      <c r="AQ20" s="7"/>
      <c r="AR20" s="7"/>
      <c r="AS20" s="7"/>
      <c r="AT20" s="7"/>
      <c r="AU20" s="7"/>
      <c r="AV20" s="7"/>
      <c r="AW20" s="7"/>
      <c r="AX20" s="7"/>
      <c r="AY20" s="7"/>
      <c r="AZ20" s="7"/>
    </row>
    <row r="21" customFormat="false" ht="150" hidden="false" customHeight="true" outlineLevel="0" collapsed="false">
      <c r="A21" s="6" t="s">
        <v>274</v>
      </c>
      <c r="B21" s="6" t="s">
        <v>153</v>
      </c>
      <c r="C21" s="6" t="s">
        <v>76</v>
      </c>
      <c r="D21" s="6" t="s">
        <v>77</v>
      </c>
      <c r="E21" s="6" t="s">
        <v>78</v>
      </c>
      <c r="F21" s="6"/>
      <c r="G21" s="6" t="s">
        <v>79</v>
      </c>
      <c r="H21" s="6" t="s">
        <v>80</v>
      </c>
      <c r="I21" s="6" t="s">
        <v>81</v>
      </c>
      <c r="J21" s="6"/>
      <c r="K21" s="6" t="s">
        <v>226</v>
      </c>
      <c r="L21" s="6" t="s">
        <v>227</v>
      </c>
      <c r="M21" s="6"/>
      <c r="N21" s="6"/>
      <c r="O21" s="6"/>
      <c r="P21" s="6" t="s">
        <v>228</v>
      </c>
      <c r="Q21" s="6"/>
      <c r="R21" s="6" t="s">
        <v>229</v>
      </c>
      <c r="S21" s="6"/>
      <c r="T21" s="6"/>
      <c r="U21" s="6"/>
      <c r="V21" s="6"/>
      <c r="W21" s="6"/>
      <c r="X21" s="6"/>
      <c r="Y21" s="6" t="s">
        <v>275</v>
      </c>
      <c r="Z21" s="6" t="s">
        <v>276</v>
      </c>
      <c r="AA21" s="6" t="s">
        <v>89</v>
      </c>
      <c r="AB21" s="6" t="s">
        <v>277</v>
      </c>
      <c r="AC21" s="6" t="s">
        <v>91</v>
      </c>
      <c r="AD21" s="6" t="s">
        <v>278</v>
      </c>
      <c r="AE21" s="6" t="s">
        <v>93</v>
      </c>
      <c r="AF21" s="6" t="s">
        <v>279</v>
      </c>
      <c r="AG21" s="6"/>
      <c r="AH21" s="6"/>
      <c r="AI21" s="7"/>
      <c r="AJ21" s="7"/>
      <c r="AK21" s="7"/>
      <c r="AL21" s="7"/>
      <c r="AM21" s="7"/>
      <c r="AN21" s="7"/>
      <c r="AO21" s="7"/>
      <c r="AP21" s="7"/>
      <c r="AQ21" s="7"/>
      <c r="AR21" s="7"/>
      <c r="AS21" s="7"/>
      <c r="AT21" s="7"/>
      <c r="AU21" s="7"/>
      <c r="AV21" s="7"/>
      <c r="AW21" s="7"/>
      <c r="AX21" s="7"/>
      <c r="AY21" s="7"/>
      <c r="AZ21" s="7"/>
    </row>
    <row r="22" customFormat="false" ht="150" hidden="false" customHeight="true" outlineLevel="0" collapsed="false">
      <c r="A22" s="6" t="s">
        <v>280</v>
      </c>
      <c r="B22" s="6" t="s">
        <v>153</v>
      </c>
      <c r="C22" s="6" t="s">
        <v>76</v>
      </c>
      <c r="D22" s="6" t="s">
        <v>110</v>
      </c>
      <c r="E22" s="6" t="s">
        <v>111</v>
      </c>
      <c r="F22" s="6"/>
      <c r="G22" s="6" t="s">
        <v>165</v>
      </c>
      <c r="H22" s="6" t="s">
        <v>80</v>
      </c>
      <c r="I22" s="6" t="s">
        <v>81</v>
      </c>
      <c r="J22" s="6"/>
      <c r="K22" s="6" t="s">
        <v>281</v>
      </c>
      <c r="L22" s="6" t="s">
        <v>282</v>
      </c>
      <c r="M22" s="6"/>
      <c r="N22" s="6"/>
      <c r="O22" s="6"/>
      <c r="P22" s="6" t="s">
        <v>156</v>
      </c>
      <c r="Q22" s="6" t="s">
        <v>283</v>
      </c>
      <c r="R22" s="6" t="s">
        <v>191</v>
      </c>
      <c r="S22" s="6"/>
      <c r="T22" s="6"/>
      <c r="U22" s="6"/>
      <c r="V22" s="6"/>
      <c r="W22" s="6"/>
      <c r="X22" s="6"/>
      <c r="Y22" s="6" t="s">
        <v>284</v>
      </c>
      <c r="Z22" s="6" t="s">
        <v>285</v>
      </c>
      <c r="AA22" s="6" t="s">
        <v>89</v>
      </c>
      <c r="AB22" s="6" t="s">
        <v>286</v>
      </c>
      <c r="AC22" s="6" t="s">
        <v>91</v>
      </c>
      <c r="AD22" s="6" t="s">
        <v>287</v>
      </c>
      <c r="AE22" s="6" t="s">
        <v>93</v>
      </c>
      <c r="AF22" s="6" t="s">
        <v>288</v>
      </c>
      <c r="AG22" s="6"/>
      <c r="AH22" s="6"/>
      <c r="AI22" s="7"/>
      <c r="AJ22" s="7"/>
      <c r="AK22" s="7"/>
      <c r="AL22" s="7"/>
      <c r="AM22" s="7"/>
      <c r="AN22" s="7"/>
      <c r="AO22" s="7"/>
      <c r="AP22" s="7"/>
      <c r="AQ22" s="7"/>
      <c r="AR22" s="7"/>
      <c r="AS22" s="7"/>
      <c r="AT22" s="7"/>
      <c r="AU22" s="7"/>
      <c r="AV22" s="7"/>
      <c r="AW22" s="7"/>
      <c r="AX22" s="7"/>
      <c r="AY22" s="7"/>
      <c r="AZ22" s="7"/>
    </row>
    <row r="23" customFormat="false" ht="150" hidden="false" customHeight="true" outlineLevel="0" collapsed="false">
      <c r="A23" s="6" t="s">
        <v>289</v>
      </c>
      <c r="B23" s="6" t="s">
        <v>153</v>
      </c>
      <c r="C23" s="6" t="s">
        <v>76</v>
      </c>
      <c r="D23" s="6" t="s">
        <v>77</v>
      </c>
      <c r="E23" s="6" t="s">
        <v>78</v>
      </c>
      <c r="F23" s="6"/>
      <c r="G23" s="6" t="s">
        <v>79</v>
      </c>
      <c r="H23" s="6" t="s">
        <v>80</v>
      </c>
      <c r="I23" s="6" t="s">
        <v>81</v>
      </c>
      <c r="J23" s="6"/>
      <c r="K23" s="6" t="s">
        <v>177</v>
      </c>
      <c r="L23" s="6" t="s">
        <v>178</v>
      </c>
      <c r="M23" s="6"/>
      <c r="N23" s="6"/>
      <c r="O23" s="6"/>
      <c r="P23" s="6" t="s">
        <v>179</v>
      </c>
      <c r="Q23" s="6"/>
      <c r="R23" s="6" t="s">
        <v>180</v>
      </c>
      <c r="S23" s="6"/>
      <c r="T23" s="6"/>
      <c r="U23" s="6"/>
      <c r="V23" s="6"/>
      <c r="W23" s="6"/>
      <c r="X23" s="6"/>
      <c r="Y23" s="6" t="s">
        <v>290</v>
      </c>
      <c r="Z23" s="6" t="s">
        <v>291</v>
      </c>
      <c r="AA23" s="6" t="s">
        <v>89</v>
      </c>
      <c r="AB23" s="6" t="s">
        <v>292</v>
      </c>
      <c r="AC23" s="6" t="s">
        <v>91</v>
      </c>
      <c r="AD23" s="6" t="s">
        <v>293</v>
      </c>
      <c r="AE23" s="6" t="s">
        <v>162</v>
      </c>
      <c r="AF23" s="6" t="s">
        <v>294</v>
      </c>
      <c r="AG23" s="6"/>
      <c r="AH23" s="6"/>
      <c r="AI23" s="7"/>
      <c r="AJ23" s="7"/>
      <c r="AK23" s="7"/>
      <c r="AL23" s="7"/>
      <c r="AM23" s="7"/>
      <c r="AN23" s="7"/>
      <c r="AO23" s="7"/>
      <c r="AP23" s="7"/>
      <c r="AQ23" s="7"/>
      <c r="AR23" s="7"/>
      <c r="AS23" s="7"/>
      <c r="AT23" s="7"/>
      <c r="AU23" s="7"/>
      <c r="AV23" s="7"/>
      <c r="AW23" s="7"/>
      <c r="AX23" s="7"/>
      <c r="AY23" s="7"/>
      <c r="AZ23" s="7"/>
    </row>
    <row r="24" customFormat="false" ht="150" hidden="false" customHeight="true" outlineLevel="0" collapsed="false">
      <c r="A24" s="6" t="s">
        <v>295</v>
      </c>
      <c r="B24" s="6" t="s">
        <v>153</v>
      </c>
      <c r="C24" s="6" t="s">
        <v>76</v>
      </c>
      <c r="D24" s="6" t="s">
        <v>145</v>
      </c>
      <c r="E24" s="6" t="s">
        <v>146</v>
      </c>
      <c r="F24" s="6"/>
      <c r="G24" s="6" t="s">
        <v>98</v>
      </c>
      <c r="H24" s="6" t="s">
        <v>80</v>
      </c>
      <c r="I24" s="6" t="s">
        <v>81</v>
      </c>
      <c r="J24" s="6"/>
      <c r="K24" s="6" t="s">
        <v>296</v>
      </c>
      <c r="L24" s="6" t="s">
        <v>297</v>
      </c>
      <c r="M24" s="6"/>
      <c r="N24" s="6"/>
      <c r="O24" s="6"/>
      <c r="P24" s="6" t="s">
        <v>168</v>
      </c>
      <c r="Q24" s="6" t="s">
        <v>169</v>
      </c>
      <c r="R24" s="6" t="s">
        <v>170</v>
      </c>
      <c r="S24" s="6"/>
      <c r="T24" s="6"/>
      <c r="U24" s="6"/>
      <c r="V24" s="6"/>
      <c r="W24" s="6"/>
      <c r="X24" s="6"/>
      <c r="Y24" s="6" t="s">
        <v>298</v>
      </c>
      <c r="Z24" s="6" t="s">
        <v>299</v>
      </c>
      <c r="AA24" s="6" t="s">
        <v>89</v>
      </c>
      <c r="AB24" s="6" t="s">
        <v>300</v>
      </c>
      <c r="AC24" s="6" t="s">
        <v>91</v>
      </c>
      <c r="AD24" s="6" t="s">
        <v>301</v>
      </c>
      <c r="AE24" s="6" t="s">
        <v>93</v>
      </c>
      <c r="AF24" s="6" t="s">
        <v>302</v>
      </c>
      <c r="AG24" s="6"/>
      <c r="AH24" s="6"/>
      <c r="AI24" s="7"/>
      <c r="AJ24" s="7"/>
      <c r="AK24" s="7"/>
      <c r="AL24" s="7"/>
      <c r="AM24" s="7"/>
      <c r="AN24" s="7"/>
      <c r="AO24" s="7"/>
      <c r="AP24" s="7"/>
      <c r="AQ24" s="7"/>
      <c r="AR24" s="7"/>
      <c r="AS24" s="7"/>
      <c r="AT24" s="7"/>
      <c r="AU24" s="7"/>
      <c r="AV24" s="7"/>
      <c r="AW24" s="7"/>
      <c r="AX24" s="7"/>
      <c r="AY24" s="7"/>
      <c r="AZ24" s="7"/>
    </row>
    <row r="25" customFormat="false" ht="150" hidden="false" customHeight="true" outlineLevel="0" collapsed="false">
      <c r="A25" s="6" t="s">
        <v>303</v>
      </c>
      <c r="B25" s="6" t="s">
        <v>153</v>
      </c>
      <c r="C25" s="6" t="s">
        <v>76</v>
      </c>
      <c r="D25" s="6" t="s">
        <v>145</v>
      </c>
      <c r="E25" s="6" t="s">
        <v>146</v>
      </c>
      <c r="F25" s="6"/>
      <c r="G25" s="6" t="s">
        <v>98</v>
      </c>
      <c r="H25" s="6" t="s">
        <v>80</v>
      </c>
      <c r="I25" s="6" t="s">
        <v>81</v>
      </c>
      <c r="J25" s="6"/>
      <c r="K25" s="6" t="s">
        <v>304</v>
      </c>
      <c r="L25" s="6" t="s">
        <v>305</v>
      </c>
      <c r="M25" s="6"/>
      <c r="N25" s="6"/>
      <c r="O25" s="6"/>
      <c r="P25" s="6" t="s">
        <v>200</v>
      </c>
      <c r="Q25" s="6" t="s">
        <v>268</v>
      </c>
      <c r="R25" s="6" t="s">
        <v>306</v>
      </c>
      <c r="S25" s="6"/>
      <c r="T25" s="6"/>
      <c r="U25" s="6"/>
      <c r="V25" s="6"/>
      <c r="W25" s="6"/>
      <c r="X25" s="6"/>
      <c r="Y25" s="6" t="s">
        <v>307</v>
      </c>
      <c r="Z25" s="6" t="s">
        <v>308</v>
      </c>
      <c r="AA25" s="6" t="s">
        <v>89</v>
      </c>
      <c r="AB25" s="6" t="s">
        <v>309</v>
      </c>
      <c r="AC25" s="6" t="s">
        <v>91</v>
      </c>
      <c r="AD25" s="6" t="s">
        <v>217</v>
      </c>
      <c r="AE25" s="6" t="s">
        <v>120</v>
      </c>
      <c r="AF25" s="6" t="s">
        <v>310</v>
      </c>
      <c r="AG25" s="6"/>
      <c r="AH25" s="6"/>
      <c r="AI25" s="7"/>
      <c r="AJ25" s="7"/>
      <c r="AK25" s="7"/>
      <c r="AL25" s="7"/>
      <c r="AM25" s="7"/>
      <c r="AN25" s="7"/>
      <c r="AO25" s="7"/>
      <c r="AP25" s="7"/>
      <c r="AQ25" s="7"/>
      <c r="AR25" s="7"/>
      <c r="AS25" s="7"/>
      <c r="AT25" s="7"/>
      <c r="AU25" s="7"/>
      <c r="AV25" s="7"/>
      <c r="AW25" s="7"/>
      <c r="AX25" s="7"/>
      <c r="AY25" s="7"/>
      <c r="AZ25" s="7"/>
    </row>
    <row r="26" customFormat="false" ht="150" hidden="false" customHeight="true" outlineLevel="0" collapsed="false">
      <c r="A26" s="6" t="s">
        <v>311</v>
      </c>
      <c r="B26" s="6" t="s">
        <v>153</v>
      </c>
      <c r="C26" s="6" t="s">
        <v>76</v>
      </c>
      <c r="D26" s="6" t="s">
        <v>110</v>
      </c>
      <c r="E26" s="6" t="s">
        <v>111</v>
      </c>
      <c r="F26" s="6"/>
      <c r="G26" s="6" t="s">
        <v>165</v>
      </c>
      <c r="H26" s="6" t="s">
        <v>80</v>
      </c>
      <c r="I26" s="6" t="s">
        <v>81</v>
      </c>
      <c r="J26" s="6"/>
      <c r="K26" s="6" t="s">
        <v>312</v>
      </c>
      <c r="L26" s="6" t="s">
        <v>313</v>
      </c>
      <c r="M26" s="6"/>
      <c r="N26" s="6"/>
      <c r="O26" s="6"/>
      <c r="P26" s="6" t="s">
        <v>189</v>
      </c>
      <c r="Q26" s="6" t="s">
        <v>283</v>
      </c>
      <c r="R26" s="6" t="s">
        <v>314</v>
      </c>
      <c r="S26" s="6"/>
      <c r="T26" s="6"/>
      <c r="U26" s="6"/>
      <c r="V26" s="6"/>
      <c r="W26" s="6"/>
      <c r="X26" s="6"/>
      <c r="Y26" s="6" t="s">
        <v>315</v>
      </c>
      <c r="Z26" s="6" t="s">
        <v>316</v>
      </c>
      <c r="AA26" s="6" t="s">
        <v>89</v>
      </c>
      <c r="AB26" s="6" t="s">
        <v>317</v>
      </c>
      <c r="AC26" s="6" t="s">
        <v>91</v>
      </c>
      <c r="AD26" s="6" t="s">
        <v>195</v>
      </c>
      <c r="AE26" s="6" t="s">
        <v>93</v>
      </c>
      <c r="AF26" s="6" t="s">
        <v>318</v>
      </c>
      <c r="AG26" s="6"/>
      <c r="AH26" s="6"/>
      <c r="AI26" s="7"/>
      <c r="AJ26" s="7"/>
      <c r="AK26" s="7"/>
      <c r="AL26" s="7"/>
      <c r="AM26" s="7"/>
      <c r="AN26" s="7"/>
      <c r="AO26" s="7"/>
      <c r="AP26" s="7"/>
      <c r="AQ26" s="7"/>
      <c r="AR26" s="7"/>
      <c r="AS26" s="7"/>
      <c r="AT26" s="7"/>
      <c r="AU26" s="7"/>
      <c r="AV26" s="7"/>
      <c r="AW26" s="7"/>
      <c r="AX26" s="7"/>
      <c r="AY26" s="7"/>
      <c r="AZ26" s="7"/>
    </row>
    <row r="27" customFormat="false" ht="150" hidden="false" customHeight="true" outlineLevel="0" collapsed="false">
      <c r="A27" s="6" t="s">
        <v>319</v>
      </c>
      <c r="B27" s="6" t="s">
        <v>153</v>
      </c>
      <c r="C27" s="6" t="s">
        <v>76</v>
      </c>
      <c r="D27" s="6" t="s">
        <v>145</v>
      </c>
      <c r="E27" s="6" t="s">
        <v>146</v>
      </c>
      <c r="F27" s="6"/>
      <c r="G27" s="6" t="s">
        <v>165</v>
      </c>
      <c r="H27" s="6" t="s">
        <v>80</v>
      </c>
      <c r="I27" s="6" t="s">
        <v>81</v>
      </c>
      <c r="J27" s="6"/>
      <c r="K27" s="6" t="s">
        <v>320</v>
      </c>
      <c r="L27" s="6" t="s">
        <v>321</v>
      </c>
      <c r="M27" s="6"/>
      <c r="N27" s="6"/>
      <c r="O27" s="6"/>
      <c r="P27" s="6" t="s">
        <v>322</v>
      </c>
      <c r="Q27" s="6" t="s">
        <v>190</v>
      </c>
      <c r="R27" s="6" t="s">
        <v>191</v>
      </c>
      <c r="S27" s="6"/>
      <c r="T27" s="6"/>
      <c r="U27" s="6"/>
      <c r="V27" s="6"/>
      <c r="W27" s="6"/>
      <c r="X27" s="6"/>
      <c r="Y27" s="6" t="s">
        <v>323</v>
      </c>
      <c r="Z27" s="6" t="s">
        <v>324</v>
      </c>
      <c r="AA27" s="6" t="s">
        <v>89</v>
      </c>
      <c r="AB27" s="6" t="s">
        <v>325</v>
      </c>
      <c r="AC27" s="6" t="s">
        <v>91</v>
      </c>
      <c r="AD27" s="6" t="s">
        <v>326</v>
      </c>
      <c r="AE27" s="6" t="s">
        <v>93</v>
      </c>
      <c r="AF27" s="6" t="s">
        <v>327</v>
      </c>
      <c r="AG27" s="6"/>
      <c r="AH27" s="6"/>
      <c r="AI27" s="7"/>
      <c r="AJ27" s="7"/>
      <c r="AK27" s="7"/>
      <c r="AL27" s="7"/>
      <c r="AM27" s="7"/>
      <c r="AN27" s="7"/>
      <c r="AO27" s="7"/>
      <c r="AP27" s="7"/>
      <c r="AQ27" s="7"/>
      <c r="AR27" s="7"/>
      <c r="AS27" s="7"/>
      <c r="AT27" s="7"/>
      <c r="AU27" s="7"/>
      <c r="AV27" s="7"/>
      <c r="AW27" s="7"/>
      <c r="AX27" s="7"/>
      <c r="AY27" s="7"/>
      <c r="AZ27" s="7"/>
    </row>
    <row r="28" customFormat="false" ht="150" hidden="false" customHeight="true" outlineLevel="0" collapsed="false">
      <c r="A28" s="6" t="s">
        <v>328</v>
      </c>
      <c r="B28" s="6" t="s">
        <v>153</v>
      </c>
      <c r="C28" s="6" t="s">
        <v>76</v>
      </c>
      <c r="D28" s="6" t="s">
        <v>77</v>
      </c>
      <c r="E28" s="6" t="s">
        <v>78</v>
      </c>
      <c r="F28" s="6"/>
      <c r="G28" s="6" t="s">
        <v>79</v>
      </c>
      <c r="H28" s="6" t="s">
        <v>80</v>
      </c>
      <c r="I28" s="6" t="s">
        <v>81</v>
      </c>
      <c r="J28" s="6"/>
      <c r="K28" s="6" t="s">
        <v>177</v>
      </c>
      <c r="L28" s="6" t="s">
        <v>178</v>
      </c>
      <c r="M28" s="6"/>
      <c r="N28" s="6"/>
      <c r="O28" s="6"/>
      <c r="P28" s="6" t="s">
        <v>179</v>
      </c>
      <c r="Q28" s="6"/>
      <c r="R28" s="6" t="s">
        <v>180</v>
      </c>
      <c r="S28" s="6"/>
      <c r="T28" s="6"/>
      <c r="U28" s="6"/>
      <c r="V28" s="6"/>
      <c r="W28" s="6"/>
      <c r="X28" s="6"/>
      <c r="Y28" s="6" t="s">
        <v>329</v>
      </c>
      <c r="Z28" s="6" t="s">
        <v>330</v>
      </c>
      <c r="AA28" s="6" t="s">
        <v>89</v>
      </c>
      <c r="AB28" s="6" t="s">
        <v>331</v>
      </c>
      <c r="AC28" s="6" t="s">
        <v>91</v>
      </c>
      <c r="AD28" s="6" t="s">
        <v>332</v>
      </c>
      <c r="AE28" s="6" t="s">
        <v>162</v>
      </c>
      <c r="AF28" s="6" t="s">
        <v>333</v>
      </c>
      <c r="AG28" s="6"/>
      <c r="AH28" s="6"/>
      <c r="AI28" s="7"/>
      <c r="AJ28" s="7"/>
      <c r="AK28" s="7"/>
      <c r="AL28" s="7"/>
      <c r="AM28" s="7"/>
      <c r="AN28" s="7"/>
      <c r="AO28" s="7"/>
      <c r="AP28" s="7"/>
      <c r="AQ28" s="7"/>
      <c r="AR28" s="7"/>
      <c r="AS28" s="7"/>
      <c r="AT28" s="7"/>
      <c r="AU28" s="7"/>
      <c r="AV28" s="7"/>
      <c r="AW28" s="7"/>
      <c r="AX28" s="7"/>
      <c r="AY28" s="7"/>
      <c r="AZ28" s="7"/>
    </row>
    <row r="29" customFormat="false" ht="150" hidden="false" customHeight="true" outlineLevel="0" collapsed="false">
      <c r="A29" s="6" t="s">
        <v>334</v>
      </c>
      <c r="B29" s="6" t="s">
        <v>153</v>
      </c>
      <c r="C29" s="6" t="s">
        <v>76</v>
      </c>
      <c r="D29" s="6" t="s">
        <v>96</v>
      </c>
      <c r="E29" s="6" t="s">
        <v>97</v>
      </c>
      <c r="F29" s="6"/>
      <c r="G29" s="6" t="s">
        <v>165</v>
      </c>
      <c r="H29" s="6" t="s">
        <v>80</v>
      </c>
      <c r="I29" s="6" t="s">
        <v>81</v>
      </c>
      <c r="J29" s="6"/>
      <c r="K29" s="6" t="s">
        <v>335</v>
      </c>
      <c r="L29" s="6" t="s">
        <v>336</v>
      </c>
      <c r="M29" s="6"/>
      <c r="N29" s="6"/>
      <c r="O29" s="6"/>
      <c r="P29" s="6" t="s">
        <v>337</v>
      </c>
      <c r="Q29" s="6" t="s">
        <v>338</v>
      </c>
      <c r="R29" s="6" t="s">
        <v>339</v>
      </c>
      <c r="S29" s="6"/>
      <c r="T29" s="6"/>
      <c r="U29" s="6"/>
      <c r="V29" s="6"/>
      <c r="W29" s="6"/>
      <c r="X29" s="6"/>
      <c r="Y29" s="6" t="s">
        <v>340</v>
      </c>
      <c r="Z29" s="6" t="s">
        <v>341</v>
      </c>
      <c r="AA29" s="6" t="s">
        <v>89</v>
      </c>
      <c r="AB29" s="6" t="s">
        <v>342</v>
      </c>
      <c r="AC29" s="6" t="s">
        <v>91</v>
      </c>
      <c r="AD29" s="6" t="s">
        <v>217</v>
      </c>
      <c r="AE29" s="6" t="s">
        <v>120</v>
      </c>
      <c r="AF29" s="6" t="s">
        <v>343</v>
      </c>
      <c r="AG29" s="6"/>
      <c r="AH29" s="6"/>
      <c r="AI29" s="7"/>
      <c r="AJ29" s="7"/>
      <c r="AK29" s="7"/>
      <c r="AL29" s="7"/>
      <c r="AM29" s="7"/>
      <c r="AN29" s="7"/>
      <c r="AO29" s="7"/>
      <c r="AP29" s="7"/>
      <c r="AQ29" s="7"/>
      <c r="AR29" s="7"/>
      <c r="AS29" s="7"/>
      <c r="AT29" s="7"/>
      <c r="AU29" s="7"/>
      <c r="AV29" s="7"/>
      <c r="AW29" s="7"/>
      <c r="AX29" s="7"/>
      <c r="AY29" s="7"/>
      <c r="AZ29" s="7"/>
    </row>
    <row r="30" customFormat="false" ht="150" hidden="false" customHeight="true" outlineLevel="0" collapsed="false">
      <c r="A30" s="6" t="s">
        <v>344</v>
      </c>
      <c r="B30" s="6" t="s">
        <v>153</v>
      </c>
      <c r="C30" s="6" t="s">
        <v>76</v>
      </c>
      <c r="D30" s="6" t="s">
        <v>77</v>
      </c>
      <c r="E30" s="6" t="s">
        <v>78</v>
      </c>
      <c r="F30" s="6"/>
      <c r="G30" s="6" t="s">
        <v>79</v>
      </c>
      <c r="H30" s="6" t="s">
        <v>80</v>
      </c>
      <c r="I30" s="6" t="s">
        <v>81</v>
      </c>
      <c r="J30" s="6"/>
      <c r="K30" s="6" t="s">
        <v>345</v>
      </c>
      <c r="L30" s="6" t="s">
        <v>346</v>
      </c>
      <c r="M30" s="6"/>
      <c r="N30" s="6"/>
      <c r="O30" s="6"/>
      <c r="P30" s="6" t="s">
        <v>156</v>
      </c>
      <c r="Q30" s="6"/>
      <c r="R30" s="6" t="s">
        <v>157</v>
      </c>
      <c r="S30" s="6"/>
      <c r="T30" s="6"/>
      <c r="U30" s="6"/>
      <c r="V30" s="6"/>
      <c r="W30" s="6"/>
      <c r="X30" s="6"/>
      <c r="Y30" s="6" t="s">
        <v>347</v>
      </c>
      <c r="Z30" s="6" t="s">
        <v>348</v>
      </c>
      <c r="AA30" s="6" t="s">
        <v>89</v>
      </c>
      <c r="AB30" s="6" t="s">
        <v>349</v>
      </c>
      <c r="AC30" s="6" t="s">
        <v>91</v>
      </c>
      <c r="AD30" s="6" t="s">
        <v>184</v>
      </c>
      <c r="AE30" s="6" t="s">
        <v>162</v>
      </c>
      <c r="AF30" s="6" t="s">
        <v>350</v>
      </c>
      <c r="AG30" s="6"/>
      <c r="AH30" s="6"/>
      <c r="AI30" s="7"/>
      <c r="AJ30" s="7"/>
      <c r="AK30" s="7"/>
      <c r="AL30" s="7"/>
      <c r="AM30" s="7"/>
      <c r="AN30" s="7"/>
      <c r="AO30" s="7"/>
      <c r="AP30" s="7"/>
      <c r="AQ30" s="7"/>
      <c r="AR30" s="7"/>
      <c r="AS30" s="7"/>
      <c r="AT30" s="7"/>
      <c r="AU30" s="7"/>
      <c r="AV30" s="7"/>
      <c r="AW30" s="7"/>
      <c r="AX30" s="7"/>
      <c r="AY30" s="7"/>
      <c r="AZ30" s="7"/>
    </row>
    <row r="31" customFormat="false" ht="150" hidden="false" customHeight="true" outlineLevel="0" collapsed="false">
      <c r="A31" s="6" t="s">
        <v>351</v>
      </c>
      <c r="B31" s="6" t="s">
        <v>153</v>
      </c>
      <c r="C31" s="6" t="s">
        <v>76</v>
      </c>
      <c r="D31" s="6" t="s">
        <v>110</v>
      </c>
      <c r="E31" s="6" t="s">
        <v>111</v>
      </c>
      <c r="F31" s="6"/>
      <c r="G31" s="6" t="s">
        <v>165</v>
      </c>
      <c r="H31" s="6" t="s">
        <v>80</v>
      </c>
      <c r="I31" s="6" t="s">
        <v>81</v>
      </c>
      <c r="J31" s="6"/>
      <c r="K31" s="6" t="s">
        <v>352</v>
      </c>
      <c r="L31" s="6" t="s">
        <v>353</v>
      </c>
      <c r="M31" s="6"/>
      <c r="N31" s="6"/>
      <c r="O31" s="6"/>
      <c r="P31" s="6" t="s">
        <v>168</v>
      </c>
      <c r="Q31" s="6" t="s">
        <v>190</v>
      </c>
      <c r="R31" s="6" t="s">
        <v>170</v>
      </c>
      <c r="S31" s="6"/>
      <c r="T31" s="6"/>
      <c r="U31" s="6"/>
      <c r="V31" s="6"/>
      <c r="W31" s="6"/>
      <c r="X31" s="6"/>
      <c r="Y31" s="6" t="s">
        <v>354</v>
      </c>
      <c r="Z31" s="6" t="s">
        <v>355</v>
      </c>
      <c r="AA31" s="6" t="s">
        <v>89</v>
      </c>
      <c r="AB31" s="6" t="s">
        <v>356</v>
      </c>
      <c r="AC31" s="6" t="s">
        <v>91</v>
      </c>
      <c r="AD31" s="6" t="s">
        <v>357</v>
      </c>
      <c r="AE31" s="6" t="s">
        <v>120</v>
      </c>
      <c r="AF31" s="6" t="s">
        <v>358</v>
      </c>
      <c r="AG31" s="6"/>
      <c r="AH31" s="6"/>
      <c r="AI31" s="7"/>
      <c r="AJ31" s="7"/>
      <c r="AK31" s="7"/>
      <c r="AL31" s="7"/>
      <c r="AM31" s="7"/>
      <c r="AN31" s="7"/>
      <c r="AO31" s="7"/>
      <c r="AP31" s="7"/>
      <c r="AQ31" s="7"/>
      <c r="AR31" s="7"/>
      <c r="AS31" s="7"/>
      <c r="AT31" s="7"/>
      <c r="AU31" s="7"/>
      <c r="AV31" s="7"/>
      <c r="AW31" s="7"/>
      <c r="AX31" s="7"/>
      <c r="AY31" s="7"/>
      <c r="AZ31" s="7"/>
    </row>
    <row r="32" customFormat="false" ht="150" hidden="false" customHeight="true" outlineLevel="0" collapsed="false">
      <c r="A32" s="6" t="s">
        <v>359</v>
      </c>
      <c r="B32" s="6" t="s">
        <v>153</v>
      </c>
      <c r="C32" s="6" t="s">
        <v>76</v>
      </c>
      <c r="D32" s="6" t="s">
        <v>77</v>
      </c>
      <c r="E32" s="6" t="s">
        <v>78</v>
      </c>
      <c r="F32" s="6"/>
      <c r="G32" s="6" t="s">
        <v>98</v>
      </c>
      <c r="H32" s="6" t="s">
        <v>80</v>
      </c>
      <c r="I32" s="6" t="s">
        <v>81</v>
      </c>
      <c r="J32" s="6"/>
      <c r="K32" s="6" t="s">
        <v>226</v>
      </c>
      <c r="L32" s="6" t="s">
        <v>227</v>
      </c>
      <c r="M32" s="6"/>
      <c r="N32" s="6"/>
      <c r="O32" s="6"/>
      <c r="P32" s="6" t="s">
        <v>228</v>
      </c>
      <c r="Q32" s="6"/>
      <c r="R32" s="6" t="s">
        <v>229</v>
      </c>
      <c r="S32" s="6"/>
      <c r="T32" s="6"/>
      <c r="U32" s="6"/>
      <c r="V32" s="6"/>
      <c r="W32" s="6"/>
      <c r="X32" s="6"/>
      <c r="Y32" s="6" t="s">
        <v>360</v>
      </c>
      <c r="Z32" s="6" t="s">
        <v>361</v>
      </c>
      <c r="AA32" s="6" t="s">
        <v>89</v>
      </c>
      <c r="AB32" s="6" t="s">
        <v>362</v>
      </c>
      <c r="AC32" s="6" t="s">
        <v>91</v>
      </c>
      <c r="AD32" s="6" t="s">
        <v>363</v>
      </c>
      <c r="AE32" s="6" t="s">
        <v>93</v>
      </c>
      <c r="AF32" s="6" t="s">
        <v>364</v>
      </c>
      <c r="AG32" s="6"/>
      <c r="AH32" s="6"/>
      <c r="AI32" s="7"/>
      <c r="AJ32" s="7"/>
      <c r="AK32" s="7"/>
      <c r="AL32" s="7"/>
      <c r="AM32" s="7"/>
      <c r="AN32" s="7"/>
      <c r="AO32" s="7"/>
      <c r="AP32" s="7"/>
      <c r="AQ32" s="7"/>
      <c r="AR32" s="7"/>
      <c r="AS32" s="7"/>
      <c r="AT32" s="7"/>
      <c r="AU32" s="7"/>
      <c r="AV32" s="7"/>
      <c r="AW32" s="7"/>
      <c r="AX32" s="7"/>
      <c r="AY32" s="7"/>
      <c r="AZ32" s="7"/>
    </row>
    <row r="33" customFormat="false" ht="150" hidden="false" customHeight="true" outlineLevel="0" collapsed="false">
      <c r="A33" s="6" t="s">
        <v>365</v>
      </c>
      <c r="B33" s="6" t="s">
        <v>153</v>
      </c>
      <c r="C33" s="6" t="s">
        <v>76</v>
      </c>
      <c r="D33" s="6" t="s">
        <v>96</v>
      </c>
      <c r="E33" s="6" t="s">
        <v>97</v>
      </c>
      <c r="F33" s="6"/>
      <c r="G33" s="6" t="s">
        <v>98</v>
      </c>
      <c r="H33" s="6" t="s">
        <v>80</v>
      </c>
      <c r="I33" s="6" t="s">
        <v>81</v>
      </c>
      <c r="J33" s="6"/>
      <c r="K33" s="6" t="s">
        <v>235</v>
      </c>
      <c r="L33" s="6" t="s">
        <v>236</v>
      </c>
      <c r="M33" s="6"/>
      <c r="N33" s="6"/>
      <c r="O33" s="6"/>
      <c r="P33" s="6" t="s">
        <v>237</v>
      </c>
      <c r="Q33" s="6"/>
      <c r="R33" s="6" t="s">
        <v>238</v>
      </c>
      <c r="S33" s="6"/>
      <c r="T33" s="6"/>
      <c r="U33" s="6"/>
      <c r="V33" s="6"/>
      <c r="W33" s="6"/>
      <c r="X33" s="6"/>
      <c r="Y33" s="6" t="s">
        <v>366</v>
      </c>
      <c r="Z33" s="6" t="s">
        <v>367</v>
      </c>
      <c r="AA33" s="6" t="s">
        <v>89</v>
      </c>
      <c r="AB33" s="6" t="s">
        <v>368</v>
      </c>
      <c r="AC33" s="6" t="s">
        <v>91</v>
      </c>
      <c r="AD33" s="6" t="s">
        <v>217</v>
      </c>
      <c r="AE33" s="6" t="s">
        <v>120</v>
      </c>
      <c r="AF33" s="6" t="s">
        <v>369</v>
      </c>
      <c r="AG33" s="6"/>
      <c r="AH33" s="6"/>
      <c r="AI33" s="7"/>
      <c r="AJ33" s="7"/>
      <c r="AK33" s="7"/>
      <c r="AL33" s="7"/>
      <c r="AM33" s="7"/>
      <c r="AN33" s="7"/>
      <c r="AO33" s="7"/>
      <c r="AP33" s="7"/>
      <c r="AQ33" s="7"/>
      <c r="AR33" s="7"/>
      <c r="AS33" s="7"/>
      <c r="AT33" s="7"/>
      <c r="AU33" s="7"/>
      <c r="AV33" s="7"/>
      <c r="AW33" s="7"/>
      <c r="AX33" s="7"/>
      <c r="AY33" s="7"/>
      <c r="AZ33" s="7"/>
    </row>
    <row r="34" customFormat="false" ht="150" hidden="false" customHeight="true" outlineLevel="0" collapsed="false">
      <c r="A34" s="6" t="s">
        <v>370</v>
      </c>
      <c r="B34" s="6" t="s">
        <v>371</v>
      </c>
      <c r="C34" s="6" t="s">
        <v>76</v>
      </c>
      <c r="D34" s="6" t="s">
        <v>110</v>
      </c>
      <c r="E34" s="6" t="s">
        <v>111</v>
      </c>
      <c r="F34" s="6"/>
      <c r="G34" s="6" t="s">
        <v>165</v>
      </c>
      <c r="H34" s="6" t="s">
        <v>372</v>
      </c>
      <c r="I34" s="6" t="s">
        <v>373</v>
      </c>
      <c r="J34" s="6"/>
      <c r="K34" s="6"/>
      <c r="L34" s="6"/>
      <c r="M34" s="6"/>
      <c r="N34" s="6" t="s">
        <v>374</v>
      </c>
      <c r="O34" s="6"/>
      <c r="P34" s="6"/>
      <c r="Q34" s="6"/>
      <c r="R34" s="6"/>
      <c r="S34" s="6" t="s">
        <v>375</v>
      </c>
      <c r="T34" s="6" t="s">
        <v>83</v>
      </c>
      <c r="U34" s="6"/>
      <c r="V34" s="6" t="s">
        <v>376</v>
      </c>
      <c r="W34" s="6" t="s">
        <v>377</v>
      </c>
      <c r="X34" s="6" t="s">
        <v>378</v>
      </c>
      <c r="Y34" s="6"/>
      <c r="Z34" s="6"/>
      <c r="AA34" s="6" t="s">
        <v>89</v>
      </c>
      <c r="AB34" s="6" t="s">
        <v>379</v>
      </c>
      <c r="AC34" s="6" t="s">
        <v>380</v>
      </c>
      <c r="AD34" s="6" t="s">
        <v>381</v>
      </c>
      <c r="AE34" s="6" t="s">
        <v>382</v>
      </c>
      <c r="AF34" s="6" t="s">
        <v>383</v>
      </c>
      <c r="AG34" s="6"/>
      <c r="AH34" s="6"/>
      <c r="AI34" s="7"/>
      <c r="AJ34" s="7"/>
      <c r="AK34" s="7"/>
      <c r="AL34" s="7"/>
      <c r="AM34" s="7"/>
      <c r="AN34" s="7"/>
      <c r="AO34" s="7"/>
      <c r="AP34" s="7"/>
      <c r="AQ34" s="7"/>
      <c r="AR34" s="7"/>
      <c r="AS34" s="7"/>
      <c r="AT34" s="7"/>
      <c r="AU34" s="7"/>
      <c r="AV34" s="7"/>
      <c r="AW34" s="7"/>
      <c r="AX34" s="7"/>
      <c r="AY34" s="7"/>
      <c r="AZ34" s="7"/>
    </row>
    <row r="35" customFormat="false" ht="150" hidden="false" customHeight="true" outlineLevel="0" collapsed="false">
      <c r="A35" s="6" t="s">
        <v>384</v>
      </c>
      <c r="B35" s="6" t="s">
        <v>371</v>
      </c>
      <c r="C35" s="6" t="s">
        <v>76</v>
      </c>
      <c r="D35" s="6" t="s">
        <v>96</v>
      </c>
      <c r="E35" s="6" t="s">
        <v>97</v>
      </c>
      <c r="F35" s="6"/>
      <c r="G35" s="6" t="s">
        <v>165</v>
      </c>
      <c r="H35" s="6" t="s">
        <v>372</v>
      </c>
      <c r="I35" s="6" t="s">
        <v>81</v>
      </c>
      <c r="J35" s="6"/>
      <c r="K35" s="6"/>
      <c r="L35" s="6"/>
      <c r="M35" s="6"/>
      <c r="N35" s="6" t="s">
        <v>385</v>
      </c>
      <c r="O35" s="6"/>
      <c r="P35" s="6"/>
      <c r="Q35" s="6"/>
      <c r="R35" s="6"/>
      <c r="S35" s="6" t="s">
        <v>386</v>
      </c>
      <c r="T35" s="6" t="s">
        <v>83</v>
      </c>
      <c r="U35" s="6"/>
      <c r="V35" s="6" t="s">
        <v>387</v>
      </c>
      <c r="W35" s="6" t="s">
        <v>388</v>
      </c>
      <c r="X35" s="6" t="s">
        <v>389</v>
      </c>
      <c r="Y35" s="6"/>
      <c r="Z35" s="6"/>
      <c r="AA35" s="6" t="s">
        <v>89</v>
      </c>
      <c r="AB35" s="6" t="s">
        <v>390</v>
      </c>
      <c r="AC35" s="6" t="s">
        <v>391</v>
      </c>
      <c r="AD35" s="6" t="s">
        <v>392</v>
      </c>
      <c r="AE35" s="6" t="s">
        <v>393</v>
      </c>
      <c r="AF35" s="6" t="s">
        <v>394</v>
      </c>
      <c r="AG35" s="6"/>
      <c r="AH35" s="6"/>
      <c r="AI35" s="7"/>
      <c r="AJ35" s="7"/>
      <c r="AK35" s="7"/>
      <c r="AL35" s="7"/>
      <c r="AM35" s="7"/>
      <c r="AN35" s="7"/>
      <c r="AO35" s="7"/>
      <c r="AP35" s="7"/>
      <c r="AQ35" s="7"/>
      <c r="AR35" s="7"/>
      <c r="AS35" s="7"/>
      <c r="AT35" s="7"/>
      <c r="AU35" s="7"/>
      <c r="AV35" s="7"/>
      <c r="AW35" s="7"/>
      <c r="AX35" s="7"/>
      <c r="AY35" s="7"/>
      <c r="AZ35" s="7"/>
    </row>
    <row r="36" customFormat="false" ht="150" hidden="false" customHeight="true" outlineLevel="0" collapsed="false">
      <c r="A36" s="6" t="s">
        <v>395</v>
      </c>
      <c r="B36" s="6" t="s">
        <v>371</v>
      </c>
      <c r="C36" s="6" t="s">
        <v>76</v>
      </c>
      <c r="D36" s="6" t="s">
        <v>96</v>
      </c>
      <c r="E36" s="6" t="s">
        <v>97</v>
      </c>
      <c r="F36" s="6"/>
      <c r="G36" s="6" t="s">
        <v>98</v>
      </c>
      <c r="H36" s="6" t="s">
        <v>396</v>
      </c>
      <c r="I36" s="6" t="s">
        <v>81</v>
      </c>
      <c r="J36" s="6"/>
      <c r="K36" s="6"/>
      <c r="L36" s="6"/>
      <c r="M36" s="6"/>
      <c r="N36" s="6" t="s">
        <v>397</v>
      </c>
      <c r="O36" s="6"/>
      <c r="P36" s="6"/>
      <c r="Q36" s="6"/>
      <c r="R36" s="6"/>
      <c r="S36" s="6" t="s">
        <v>398</v>
      </c>
      <c r="T36" s="6" t="s">
        <v>83</v>
      </c>
      <c r="U36" s="6"/>
      <c r="V36" s="6" t="s">
        <v>399</v>
      </c>
      <c r="W36" s="6" t="s">
        <v>400</v>
      </c>
      <c r="X36" s="6" t="s">
        <v>401</v>
      </c>
      <c r="Y36" s="6"/>
      <c r="Z36" s="6"/>
      <c r="AA36" s="6" t="s">
        <v>89</v>
      </c>
      <c r="AB36" s="6" t="s">
        <v>402</v>
      </c>
      <c r="AC36" s="6" t="s">
        <v>403</v>
      </c>
      <c r="AD36" s="6" t="s">
        <v>404</v>
      </c>
      <c r="AE36" s="6" t="s">
        <v>405</v>
      </c>
      <c r="AF36" s="6" t="s">
        <v>406</v>
      </c>
      <c r="AG36" s="6"/>
      <c r="AH36" s="6"/>
      <c r="AI36" s="7"/>
      <c r="AJ36" s="7"/>
      <c r="AK36" s="7"/>
      <c r="AL36" s="7"/>
      <c r="AM36" s="7"/>
      <c r="AN36" s="7"/>
      <c r="AO36" s="7"/>
      <c r="AP36" s="7"/>
      <c r="AQ36" s="7"/>
      <c r="AR36" s="7"/>
      <c r="AS36" s="7"/>
      <c r="AT36" s="7"/>
      <c r="AU36" s="7"/>
      <c r="AV36" s="7"/>
      <c r="AW36" s="7"/>
      <c r="AX36" s="7"/>
      <c r="AY36" s="7"/>
      <c r="AZ36" s="7"/>
    </row>
    <row r="37" customFormat="false" ht="150" hidden="false" customHeight="true" outlineLevel="0" collapsed="false">
      <c r="A37" s="6" t="s">
        <v>407</v>
      </c>
      <c r="B37" s="6" t="s">
        <v>371</v>
      </c>
      <c r="C37" s="6" t="s">
        <v>76</v>
      </c>
      <c r="D37" s="6" t="s">
        <v>145</v>
      </c>
      <c r="E37" s="6" t="s">
        <v>146</v>
      </c>
      <c r="F37" s="6"/>
      <c r="G37" s="6" t="s">
        <v>98</v>
      </c>
      <c r="H37" s="6" t="s">
        <v>408</v>
      </c>
      <c r="I37" s="6" t="s">
        <v>409</v>
      </c>
      <c r="J37" s="6"/>
      <c r="K37" s="6"/>
      <c r="L37" s="6"/>
      <c r="M37" s="6"/>
      <c r="N37" s="6" t="s">
        <v>410</v>
      </c>
      <c r="O37" s="6"/>
      <c r="P37" s="6"/>
      <c r="Q37" s="6"/>
      <c r="R37" s="6"/>
      <c r="S37" s="6" t="s">
        <v>411</v>
      </c>
      <c r="T37" s="6" t="s">
        <v>83</v>
      </c>
      <c r="U37" s="6"/>
      <c r="V37" s="6" t="s">
        <v>412</v>
      </c>
      <c r="W37" s="6" t="s">
        <v>413</v>
      </c>
      <c r="X37" s="6" t="s">
        <v>414</v>
      </c>
      <c r="Y37" s="6"/>
      <c r="Z37" s="6"/>
      <c r="AA37" s="6" t="s">
        <v>89</v>
      </c>
      <c r="AB37" s="6" t="s">
        <v>415</v>
      </c>
      <c r="AC37" s="6" t="s">
        <v>416</v>
      </c>
      <c r="AD37" s="6"/>
      <c r="AE37" s="6"/>
      <c r="AF37" s="6"/>
      <c r="AG37" s="6" t="s">
        <v>417</v>
      </c>
      <c r="AH37" s="6" t="s">
        <v>418</v>
      </c>
      <c r="AI37" s="7"/>
      <c r="AJ37" s="7"/>
      <c r="AK37" s="7"/>
      <c r="AL37" s="7"/>
      <c r="AM37" s="7"/>
      <c r="AN37" s="7"/>
      <c r="AO37" s="7"/>
      <c r="AP37" s="7"/>
      <c r="AQ37" s="7"/>
      <c r="AR37" s="7"/>
      <c r="AS37" s="7"/>
      <c r="AT37" s="7"/>
      <c r="AU37" s="7"/>
      <c r="AV37" s="7"/>
      <c r="AW37" s="7"/>
      <c r="AX37" s="7"/>
      <c r="AY37" s="7"/>
      <c r="AZ37" s="7"/>
    </row>
    <row r="38" customFormat="false" ht="150" hidden="false" customHeight="true" outlineLevel="0" collapsed="false">
      <c r="A38" s="6" t="s">
        <v>419</v>
      </c>
      <c r="B38" s="6" t="s">
        <v>371</v>
      </c>
      <c r="C38" s="6" t="s">
        <v>76</v>
      </c>
      <c r="D38" s="6" t="s">
        <v>110</v>
      </c>
      <c r="E38" s="6" t="s">
        <v>111</v>
      </c>
      <c r="F38" s="6"/>
      <c r="G38" s="6" t="s">
        <v>165</v>
      </c>
      <c r="H38" s="6" t="s">
        <v>372</v>
      </c>
      <c r="I38" s="6" t="s">
        <v>373</v>
      </c>
      <c r="J38" s="6"/>
      <c r="K38" s="6"/>
      <c r="L38" s="6"/>
      <c r="M38" s="6"/>
      <c r="N38" s="6" t="s">
        <v>420</v>
      </c>
      <c r="O38" s="6"/>
      <c r="P38" s="6"/>
      <c r="Q38" s="6"/>
      <c r="R38" s="6"/>
      <c r="S38" s="6" t="s">
        <v>421</v>
      </c>
      <c r="T38" s="6" t="s">
        <v>83</v>
      </c>
      <c r="U38" s="6"/>
      <c r="V38" s="6" t="s">
        <v>422</v>
      </c>
      <c r="W38" s="6" t="s">
        <v>423</v>
      </c>
      <c r="X38" s="6" t="s">
        <v>424</v>
      </c>
      <c r="Y38" s="6"/>
      <c r="Z38" s="6"/>
      <c r="AA38" s="6" t="s">
        <v>89</v>
      </c>
      <c r="AB38" s="6" t="s">
        <v>425</v>
      </c>
      <c r="AC38" s="6" t="s">
        <v>426</v>
      </c>
      <c r="AD38" s="6" t="s">
        <v>427</v>
      </c>
      <c r="AE38" s="6" t="s">
        <v>428</v>
      </c>
      <c r="AF38" s="6" t="s">
        <v>429</v>
      </c>
      <c r="AG38" s="6"/>
      <c r="AH38" s="6"/>
      <c r="AI38" s="7"/>
      <c r="AJ38" s="7"/>
      <c r="AK38" s="7"/>
      <c r="AL38" s="7"/>
      <c r="AM38" s="7"/>
      <c r="AN38" s="7"/>
      <c r="AO38" s="7"/>
      <c r="AP38" s="7"/>
      <c r="AQ38" s="7"/>
      <c r="AR38" s="7"/>
      <c r="AS38" s="7"/>
      <c r="AT38" s="7"/>
      <c r="AU38" s="7"/>
      <c r="AV38" s="7"/>
      <c r="AW38" s="7"/>
      <c r="AX38" s="7"/>
      <c r="AY38" s="7"/>
      <c r="AZ38" s="7"/>
    </row>
    <row r="39" customFormat="false" ht="150" hidden="false" customHeight="true" outlineLevel="0" collapsed="false">
      <c r="A39" s="6" t="s">
        <v>430</v>
      </c>
      <c r="B39" s="6" t="s">
        <v>371</v>
      </c>
      <c r="C39" s="6" t="s">
        <v>76</v>
      </c>
      <c r="D39" s="6" t="s">
        <v>132</v>
      </c>
      <c r="E39" s="6" t="s">
        <v>133</v>
      </c>
      <c r="F39" s="6"/>
      <c r="G39" s="6" t="s">
        <v>165</v>
      </c>
      <c r="H39" s="6" t="s">
        <v>431</v>
      </c>
      <c r="I39" s="6" t="s">
        <v>432</v>
      </c>
      <c r="J39" s="6"/>
      <c r="K39" s="6"/>
      <c r="L39" s="6"/>
      <c r="M39" s="6"/>
      <c r="N39" s="6" t="s">
        <v>156</v>
      </c>
      <c r="O39" s="6"/>
      <c r="P39" s="6"/>
      <c r="Q39" s="6"/>
      <c r="R39" s="6"/>
      <c r="S39" s="6" t="s">
        <v>134</v>
      </c>
      <c r="T39" s="6" t="s">
        <v>83</v>
      </c>
      <c r="U39" s="6"/>
      <c r="V39" s="6" t="s">
        <v>433</v>
      </c>
      <c r="W39" s="6" t="s">
        <v>434</v>
      </c>
      <c r="X39" s="6" t="s">
        <v>435</v>
      </c>
      <c r="Y39" s="6"/>
      <c r="Z39" s="6"/>
      <c r="AA39" s="6" t="s">
        <v>89</v>
      </c>
      <c r="AB39" s="6" t="s">
        <v>436</v>
      </c>
      <c r="AC39" s="6" t="s">
        <v>437</v>
      </c>
      <c r="AD39" s="6" t="s">
        <v>438</v>
      </c>
      <c r="AE39" s="6" t="s">
        <v>439</v>
      </c>
      <c r="AF39" s="6" t="s">
        <v>440</v>
      </c>
      <c r="AG39" s="6"/>
      <c r="AH39" s="6"/>
      <c r="AI39" s="7"/>
      <c r="AJ39" s="7"/>
      <c r="AK39" s="7"/>
      <c r="AL39" s="7"/>
      <c r="AM39" s="7"/>
      <c r="AN39" s="7"/>
      <c r="AO39" s="7"/>
      <c r="AP39" s="7"/>
      <c r="AQ39" s="7"/>
      <c r="AR39" s="7"/>
      <c r="AS39" s="7"/>
      <c r="AT39" s="7"/>
      <c r="AU39" s="7"/>
      <c r="AV39" s="7"/>
      <c r="AW39" s="7"/>
      <c r="AX39" s="7"/>
      <c r="AY39" s="7"/>
      <c r="AZ39" s="7"/>
    </row>
    <row r="40" customFormat="false" ht="150" hidden="false" customHeight="true" outlineLevel="0" collapsed="false">
      <c r="A40" s="6" t="s">
        <v>441</v>
      </c>
      <c r="B40" s="6" t="s">
        <v>371</v>
      </c>
      <c r="C40" s="6" t="s">
        <v>76</v>
      </c>
      <c r="D40" s="6" t="s">
        <v>96</v>
      </c>
      <c r="E40" s="6" t="s">
        <v>97</v>
      </c>
      <c r="F40" s="6"/>
      <c r="G40" s="6" t="s">
        <v>165</v>
      </c>
      <c r="H40" s="6" t="s">
        <v>372</v>
      </c>
      <c r="I40" s="6" t="s">
        <v>81</v>
      </c>
      <c r="J40" s="6"/>
      <c r="K40" s="6"/>
      <c r="L40" s="6"/>
      <c r="M40" s="6"/>
      <c r="N40" s="6" t="s">
        <v>374</v>
      </c>
      <c r="O40" s="6"/>
      <c r="P40" s="6"/>
      <c r="Q40" s="6"/>
      <c r="R40" s="6"/>
      <c r="S40" s="6" t="s">
        <v>442</v>
      </c>
      <c r="T40" s="6" t="s">
        <v>83</v>
      </c>
      <c r="U40" s="6"/>
      <c r="V40" s="6" t="s">
        <v>443</v>
      </c>
      <c r="W40" s="6" t="s">
        <v>444</v>
      </c>
      <c r="X40" s="6" t="s">
        <v>445</v>
      </c>
      <c r="Y40" s="6"/>
      <c r="Z40" s="6"/>
      <c r="AA40" s="6" t="s">
        <v>89</v>
      </c>
      <c r="AB40" s="6" t="s">
        <v>446</v>
      </c>
      <c r="AC40" s="6" t="s">
        <v>447</v>
      </c>
      <c r="AD40" s="6" t="s">
        <v>448</v>
      </c>
      <c r="AE40" s="6" t="s">
        <v>449</v>
      </c>
      <c r="AF40" s="6" t="s">
        <v>450</v>
      </c>
      <c r="AG40" s="6"/>
      <c r="AH40" s="6"/>
      <c r="AI40" s="7"/>
      <c r="AJ40" s="7"/>
      <c r="AK40" s="7"/>
      <c r="AL40" s="7"/>
      <c r="AM40" s="7"/>
      <c r="AN40" s="7"/>
      <c r="AO40" s="7"/>
      <c r="AP40" s="7"/>
      <c r="AQ40" s="7"/>
      <c r="AR40" s="7"/>
      <c r="AS40" s="7"/>
      <c r="AT40" s="7"/>
      <c r="AU40" s="7"/>
      <c r="AV40" s="7"/>
      <c r="AW40" s="7"/>
      <c r="AX40" s="7"/>
      <c r="AY40" s="7"/>
      <c r="AZ40" s="7"/>
    </row>
    <row r="41" customFormat="false" ht="150" hidden="false" customHeight="true" outlineLevel="0" collapsed="false">
      <c r="A41" s="6" t="s">
        <v>451</v>
      </c>
      <c r="B41" s="6" t="s">
        <v>371</v>
      </c>
      <c r="C41" s="6" t="s">
        <v>76</v>
      </c>
      <c r="D41" s="6" t="s">
        <v>110</v>
      </c>
      <c r="E41" s="6" t="s">
        <v>111</v>
      </c>
      <c r="F41" s="6"/>
      <c r="G41" s="6" t="s">
        <v>165</v>
      </c>
      <c r="H41" s="6" t="s">
        <v>452</v>
      </c>
      <c r="I41" s="6" t="s">
        <v>373</v>
      </c>
      <c r="J41" s="6"/>
      <c r="K41" s="6"/>
      <c r="L41" s="6"/>
      <c r="M41" s="6"/>
      <c r="N41" s="6" t="s">
        <v>374</v>
      </c>
      <c r="O41" s="6"/>
      <c r="P41" s="6"/>
      <c r="Q41" s="6"/>
      <c r="R41" s="6"/>
      <c r="S41" s="6" t="s">
        <v>442</v>
      </c>
      <c r="T41" s="6" t="s">
        <v>83</v>
      </c>
      <c r="U41" s="6"/>
      <c r="V41" s="6" t="s">
        <v>453</v>
      </c>
      <c r="W41" s="6" t="s">
        <v>454</v>
      </c>
      <c r="X41" s="6" t="s">
        <v>455</v>
      </c>
      <c r="Y41" s="6"/>
      <c r="Z41" s="6"/>
      <c r="AA41" s="6" t="s">
        <v>89</v>
      </c>
      <c r="AB41" s="6" t="s">
        <v>456</v>
      </c>
      <c r="AC41" s="6" t="s">
        <v>457</v>
      </c>
      <c r="AD41" s="6" t="s">
        <v>458</v>
      </c>
      <c r="AE41" s="6" t="s">
        <v>382</v>
      </c>
      <c r="AF41" s="6" t="s">
        <v>459</v>
      </c>
      <c r="AG41" s="6"/>
      <c r="AH41" s="6"/>
      <c r="AI41" s="7"/>
      <c r="AJ41" s="7"/>
      <c r="AK41" s="7"/>
      <c r="AL41" s="7"/>
      <c r="AM41" s="7"/>
      <c r="AN41" s="7"/>
      <c r="AO41" s="7"/>
      <c r="AP41" s="7"/>
      <c r="AQ41" s="7"/>
      <c r="AR41" s="7"/>
      <c r="AS41" s="7"/>
      <c r="AT41" s="7"/>
      <c r="AU41" s="7"/>
      <c r="AV41" s="7"/>
      <c r="AW41" s="7"/>
      <c r="AX41" s="7"/>
      <c r="AY41" s="7"/>
      <c r="AZ41" s="7"/>
    </row>
    <row r="42" customFormat="false" ht="150" hidden="false" customHeight="true" outlineLevel="0" collapsed="false">
      <c r="A42" s="6" t="s">
        <v>460</v>
      </c>
      <c r="B42" s="6" t="s">
        <v>371</v>
      </c>
      <c r="C42" s="6" t="s">
        <v>76</v>
      </c>
      <c r="D42" s="6" t="s">
        <v>96</v>
      </c>
      <c r="E42" s="6" t="s">
        <v>97</v>
      </c>
      <c r="F42" s="6"/>
      <c r="G42" s="6" t="s">
        <v>165</v>
      </c>
      <c r="H42" s="6" t="s">
        <v>372</v>
      </c>
      <c r="I42" s="6" t="s">
        <v>81</v>
      </c>
      <c r="J42" s="6"/>
      <c r="K42" s="6"/>
      <c r="L42" s="6"/>
      <c r="M42" s="6"/>
      <c r="N42" s="6" t="s">
        <v>385</v>
      </c>
      <c r="O42" s="6"/>
      <c r="P42" s="6"/>
      <c r="Q42" s="6"/>
      <c r="R42" s="6"/>
      <c r="S42" s="6" t="s">
        <v>461</v>
      </c>
      <c r="T42" s="6" t="s">
        <v>83</v>
      </c>
      <c r="U42" s="6"/>
      <c r="V42" s="6" t="s">
        <v>462</v>
      </c>
      <c r="W42" s="6" t="s">
        <v>463</v>
      </c>
      <c r="X42" s="6" t="s">
        <v>464</v>
      </c>
      <c r="Y42" s="6"/>
      <c r="Z42" s="6"/>
      <c r="AA42" s="6" t="s">
        <v>89</v>
      </c>
      <c r="AB42" s="6" t="s">
        <v>465</v>
      </c>
      <c r="AC42" s="6" t="s">
        <v>466</v>
      </c>
      <c r="AD42" s="6" t="s">
        <v>467</v>
      </c>
      <c r="AE42" s="6" t="s">
        <v>468</v>
      </c>
      <c r="AF42" s="6" t="s">
        <v>469</v>
      </c>
      <c r="AG42" s="6"/>
      <c r="AH42" s="6"/>
      <c r="AI42" s="7"/>
      <c r="AJ42" s="7"/>
      <c r="AK42" s="7"/>
      <c r="AL42" s="7"/>
      <c r="AM42" s="7"/>
      <c r="AN42" s="7"/>
      <c r="AO42" s="7"/>
      <c r="AP42" s="7"/>
      <c r="AQ42" s="7"/>
      <c r="AR42" s="7"/>
      <c r="AS42" s="7"/>
      <c r="AT42" s="7"/>
      <c r="AU42" s="7"/>
      <c r="AV42" s="7"/>
      <c r="AW42" s="7"/>
      <c r="AX42" s="7"/>
      <c r="AY42" s="7"/>
      <c r="AZ42" s="7"/>
    </row>
    <row r="43" customFormat="false" ht="150" hidden="false" customHeight="true" outlineLevel="0" collapsed="false">
      <c r="A43" s="6" t="s">
        <v>470</v>
      </c>
      <c r="B43" s="6" t="s">
        <v>371</v>
      </c>
      <c r="C43" s="6" t="s">
        <v>76</v>
      </c>
      <c r="D43" s="6" t="s">
        <v>132</v>
      </c>
      <c r="E43" s="6" t="s">
        <v>133</v>
      </c>
      <c r="F43" s="6"/>
      <c r="G43" s="6" t="s">
        <v>98</v>
      </c>
      <c r="H43" s="6" t="s">
        <v>431</v>
      </c>
      <c r="I43" s="6" t="s">
        <v>432</v>
      </c>
      <c r="J43" s="6"/>
      <c r="K43" s="6"/>
      <c r="L43" s="6"/>
      <c r="M43" s="6"/>
      <c r="N43" s="6" t="s">
        <v>471</v>
      </c>
      <c r="O43" s="6"/>
      <c r="P43" s="6"/>
      <c r="Q43" s="6"/>
      <c r="R43" s="6"/>
      <c r="S43" s="6" t="s">
        <v>461</v>
      </c>
      <c r="T43" s="6" t="s">
        <v>83</v>
      </c>
      <c r="U43" s="6"/>
      <c r="V43" s="6" t="s">
        <v>472</v>
      </c>
      <c r="W43" s="6" t="s">
        <v>473</v>
      </c>
      <c r="X43" s="6" t="s">
        <v>474</v>
      </c>
      <c r="Y43" s="6"/>
      <c r="Z43" s="6"/>
      <c r="AA43" s="6" t="s">
        <v>89</v>
      </c>
      <c r="AB43" s="6" t="s">
        <v>475</v>
      </c>
      <c r="AC43" s="6" t="s">
        <v>476</v>
      </c>
      <c r="AD43" s="6" t="s">
        <v>477</v>
      </c>
      <c r="AE43" s="6" t="s">
        <v>478</v>
      </c>
      <c r="AF43" s="6" t="s">
        <v>479</v>
      </c>
      <c r="AG43" s="6"/>
      <c r="AH43" s="6"/>
      <c r="AI43" s="7"/>
      <c r="AJ43" s="7"/>
      <c r="AK43" s="7"/>
      <c r="AL43" s="7"/>
      <c r="AM43" s="7"/>
      <c r="AN43" s="7"/>
      <c r="AO43" s="7"/>
      <c r="AP43" s="7"/>
      <c r="AQ43" s="7"/>
      <c r="AR43" s="7"/>
      <c r="AS43" s="7"/>
      <c r="AT43" s="7"/>
      <c r="AU43" s="7"/>
      <c r="AV43" s="7"/>
      <c r="AW43" s="7"/>
      <c r="AX43" s="7"/>
      <c r="AY43" s="7"/>
      <c r="AZ43" s="7"/>
    </row>
    <row r="44" customFormat="false" ht="150" hidden="false" customHeight="true" outlineLevel="0" collapsed="false">
      <c r="A44" s="6" t="s">
        <v>480</v>
      </c>
      <c r="B44" s="6" t="s">
        <v>371</v>
      </c>
      <c r="C44" s="6" t="s">
        <v>76</v>
      </c>
      <c r="D44" s="6" t="s">
        <v>96</v>
      </c>
      <c r="E44" s="6" t="s">
        <v>97</v>
      </c>
      <c r="F44" s="6"/>
      <c r="G44" s="6" t="s">
        <v>98</v>
      </c>
      <c r="H44" s="6" t="s">
        <v>372</v>
      </c>
      <c r="I44" s="6" t="s">
        <v>81</v>
      </c>
      <c r="J44" s="6"/>
      <c r="K44" s="6"/>
      <c r="L44" s="6"/>
      <c r="M44" s="6"/>
      <c r="N44" s="6" t="s">
        <v>397</v>
      </c>
      <c r="O44" s="6"/>
      <c r="P44" s="6"/>
      <c r="Q44" s="6"/>
      <c r="R44" s="6"/>
      <c r="S44" s="6" t="s">
        <v>481</v>
      </c>
      <c r="T44" s="6" t="s">
        <v>83</v>
      </c>
      <c r="U44" s="6"/>
      <c r="V44" s="6" t="s">
        <v>482</v>
      </c>
      <c r="W44" s="6" t="s">
        <v>483</v>
      </c>
      <c r="X44" s="6" t="s">
        <v>484</v>
      </c>
      <c r="Y44" s="6"/>
      <c r="Z44" s="6"/>
      <c r="AA44" s="6" t="s">
        <v>89</v>
      </c>
      <c r="AB44" s="6" t="s">
        <v>485</v>
      </c>
      <c r="AC44" s="6" t="s">
        <v>486</v>
      </c>
      <c r="AD44" s="6" t="s">
        <v>487</v>
      </c>
      <c r="AE44" s="6" t="s">
        <v>488</v>
      </c>
      <c r="AF44" s="6" t="s">
        <v>489</v>
      </c>
      <c r="AG44" s="6"/>
      <c r="AH44" s="6"/>
      <c r="AI44" s="7"/>
      <c r="AJ44" s="7"/>
      <c r="AK44" s="7"/>
      <c r="AL44" s="7"/>
      <c r="AM44" s="7"/>
      <c r="AN44" s="7"/>
      <c r="AO44" s="7"/>
      <c r="AP44" s="7"/>
      <c r="AQ44" s="7"/>
      <c r="AR44" s="7"/>
      <c r="AS44" s="7"/>
      <c r="AT44" s="7"/>
      <c r="AU44" s="7"/>
      <c r="AV44" s="7"/>
      <c r="AW44" s="7"/>
      <c r="AX44" s="7"/>
      <c r="AY44" s="7"/>
      <c r="AZ44" s="7"/>
    </row>
    <row r="45" customFormat="false" ht="150" hidden="false" customHeight="true" outlineLevel="0" collapsed="false">
      <c r="A45" s="6" t="s">
        <v>490</v>
      </c>
      <c r="B45" s="6" t="s">
        <v>371</v>
      </c>
      <c r="C45" s="6" t="s">
        <v>76</v>
      </c>
      <c r="D45" s="6" t="s">
        <v>110</v>
      </c>
      <c r="E45" s="6" t="s">
        <v>111</v>
      </c>
      <c r="F45" s="6"/>
      <c r="G45" s="6" t="s">
        <v>165</v>
      </c>
      <c r="H45" s="6" t="s">
        <v>491</v>
      </c>
      <c r="I45" s="6" t="s">
        <v>492</v>
      </c>
      <c r="J45" s="6"/>
      <c r="K45" s="6"/>
      <c r="L45" s="6"/>
      <c r="M45" s="6"/>
      <c r="N45" s="6" t="s">
        <v>493</v>
      </c>
      <c r="O45" s="6"/>
      <c r="P45" s="6"/>
      <c r="Q45" s="6"/>
      <c r="R45" s="6"/>
      <c r="S45" s="6" t="s">
        <v>494</v>
      </c>
      <c r="T45" s="6" t="s">
        <v>83</v>
      </c>
      <c r="U45" s="6"/>
      <c r="V45" s="6" t="s">
        <v>495</v>
      </c>
      <c r="W45" s="6" t="s">
        <v>496</v>
      </c>
      <c r="X45" s="6" t="s">
        <v>497</v>
      </c>
      <c r="Y45" s="6"/>
      <c r="Z45" s="6"/>
      <c r="AA45" s="6" t="s">
        <v>89</v>
      </c>
      <c r="AB45" s="6" t="s">
        <v>498</v>
      </c>
      <c r="AC45" s="6" t="s">
        <v>499</v>
      </c>
      <c r="AD45" s="6" t="s">
        <v>500</v>
      </c>
      <c r="AE45" s="6" t="s">
        <v>501</v>
      </c>
      <c r="AF45" s="6" t="s">
        <v>502</v>
      </c>
      <c r="AG45" s="6"/>
      <c r="AH45" s="6"/>
      <c r="AI45" s="7"/>
      <c r="AJ45" s="7"/>
      <c r="AK45" s="7"/>
      <c r="AL45" s="7"/>
      <c r="AM45" s="7"/>
      <c r="AN45" s="7"/>
      <c r="AO45" s="7"/>
      <c r="AP45" s="7"/>
      <c r="AQ45" s="7"/>
      <c r="AR45" s="7"/>
      <c r="AS45" s="7"/>
      <c r="AT45" s="7"/>
      <c r="AU45" s="7"/>
      <c r="AV45" s="7"/>
      <c r="AW45" s="7"/>
      <c r="AX45" s="7"/>
      <c r="AY45" s="7"/>
      <c r="AZ45" s="7"/>
    </row>
    <row r="46" customFormat="false" ht="150" hidden="false" customHeight="true" outlineLevel="0" collapsed="false">
      <c r="A46" s="6" t="s">
        <v>503</v>
      </c>
      <c r="B46" s="6" t="s">
        <v>371</v>
      </c>
      <c r="C46" s="6" t="s">
        <v>76</v>
      </c>
      <c r="D46" s="6" t="s">
        <v>145</v>
      </c>
      <c r="E46" s="6" t="s">
        <v>146</v>
      </c>
      <c r="F46" s="6"/>
      <c r="G46" s="6" t="s">
        <v>98</v>
      </c>
      <c r="H46" s="6" t="s">
        <v>408</v>
      </c>
      <c r="I46" s="6" t="s">
        <v>409</v>
      </c>
      <c r="J46" s="6"/>
      <c r="K46" s="6"/>
      <c r="L46" s="6"/>
      <c r="M46" s="6"/>
      <c r="N46" s="6" t="s">
        <v>410</v>
      </c>
      <c r="O46" s="6"/>
      <c r="P46" s="6"/>
      <c r="Q46" s="6"/>
      <c r="R46" s="6"/>
      <c r="S46" s="6" t="s">
        <v>494</v>
      </c>
      <c r="T46" s="6" t="s">
        <v>83</v>
      </c>
      <c r="U46" s="6"/>
      <c r="V46" s="6" t="s">
        <v>504</v>
      </c>
      <c r="W46" s="6" t="s">
        <v>505</v>
      </c>
      <c r="X46" s="6" t="s">
        <v>506</v>
      </c>
      <c r="Y46" s="6"/>
      <c r="Z46" s="6"/>
      <c r="AA46" s="6" t="s">
        <v>89</v>
      </c>
      <c r="AB46" s="6" t="s">
        <v>507</v>
      </c>
      <c r="AC46" s="6" t="s">
        <v>416</v>
      </c>
      <c r="AD46" s="6"/>
      <c r="AE46" s="6"/>
      <c r="AF46" s="6"/>
      <c r="AG46" s="6" t="s">
        <v>508</v>
      </c>
      <c r="AH46" s="6" t="s">
        <v>509</v>
      </c>
      <c r="AI46" s="7"/>
      <c r="AJ46" s="7"/>
      <c r="AK46" s="7"/>
      <c r="AL46" s="7"/>
      <c r="AM46" s="7"/>
      <c r="AN46" s="7"/>
      <c r="AO46" s="7"/>
      <c r="AP46" s="7"/>
      <c r="AQ46" s="7"/>
      <c r="AR46" s="7"/>
      <c r="AS46" s="7"/>
      <c r="AT46" s="7"/>
      <c r="AU46" s="7"/>
      <c r="AV46" s="7"/>
      <c r="AW46" s="7"/>
      <c r="AX46" s="7"/>
      <c r="AY46" s="7"/>
      <c r="AZ46" s="7"/>
    </row>
    <row r="47" customFormat="false" ht="150" hidden="false" customHeight="true" outlineLevel="0" collapsed="false">
      <c r="A47" s="6" t="s">
        <v>510</v>
      </c>
      <c r="B47" s="6" t="s">
        <v>371</v>
      </c>
      <c r="C47" s="6" t="s">
        <v>76</v>
      </c>
      <c r="D47" s="6" t="s">
        <v>96</v>
      </c>
      <c r="E47" s="6" t="s">
        <v>97</v>
      </c>
      <c r="F47" s="6" t="s">
        <v>145</v>
      </c>
      <c r="G47" s="6" t="s">
        <v>98</v>
      </c>
      <c r="H47" s="6" t="s">
        <v>372</v>
      </c>
      <c r="I47" s="6" t="s">
        <v>81</v>
      </c>
      <c r="J47" s="6"/>
      <c r="K47" s="6"/>
      <c r="L47" s="6"/>
      <c r="M47" s="6"/>
      <c r="N47" s="6" t="s">
        <v>511</v>
      </c>
      <c r="O47" s="6"/>
      <c r="P47" s="6"/>
      <c r="Q47" s="6"/>
      <c r="R47" s="6"/>
      <c r="S47" s="6" t="s">
        <v>512</v>
      </c>
      <c r="T47" s="6" t="s">
        <v>83</v>
      </c>
      <c r="U47" s="6"/>
      <c r="V47" s="6" t="s">
        <v>513</v>
      </c>
      <c r="W47" s="6" t="s">
        <v>514</v>
      </c>
      <c r="X47" s="6" t="s">
        <v>515</v>
      </c>
      <c r="Y47" s="6"/>
      <c r="Z47" s="6"/>
      <c r="AA47" s="6" t="s">
        <v>89</v>
      </c>
      <c r="AB47" s="6" t="s">
        <v>516</v>
      </c>
      <c r="AC47" s="6" t="s">
        <v>517</v>
      </c>
      <c r="AD47" s="6" t="s">
        <v>518</v>
      </c>
      <c r="AE47" s="6" t="s">
        <v>519</v>
      </c>
      <c r="AF47" s="6" t="s">
        <v>520</v>
      </c>
      <c r="AG47" s="6"/>
      <c r="AH47" s="6"/>
      <c r="AI47" s="7"/>
      <c r="AJ47" s="7"/>
      <c r="AK47" s="7"/>
      <c r="AL47" s="7"/>
      <c r="AM47" s="7"/>
      <c r="AN47" s="7"/>
      <c r="AO47" s="7"/>
      <c r="AP47" s="7"/>
      <c r="AQ47" s="7"/>
      <c r="AR47" s="7"/>
      <c r="AS47" s="7"/>
      <c r="AT47" s="7"/>
      <c r="AU47" s="7"/>
      <c r="AV47" s="7"/>
      <c r="AW47" s="7"/>
      <c r="AX47" s="7"/>
      <c r="AY47" s="7"/>
      <c r="AZ47" s="7"/>
    </row>
    <row r="48" customFormat="false" ht="150" hidden="false" customHeight="true" outlineLevel="0" collapsed="false">
      <c r="A48" s="6" t="s">
        <v>521</v>
      </c>
      <c r="B48" s="6" t="s">
        <v>371</v>
      </c>
      <c r="C48" s="6" t="s">
        <v>76</v>
      </c>
      <c r="D48" s="6" t="s">
        <v>145</v>
      </c>
      <c r="E48" s="6" t="s">
        <v>146</v>
      </c>
      <c r="F48" s="6" t="s">
        <v>110</v>
      </c>
      <c r="G48" s="6" t="s">
        <v>165</v>
      </c>
      <c r="H48" s="6" t="s">
        <v>408</v>
      </c>
      <c r="I48" s="6" t="s">
        <v>409</v>
      </c>
      <c r="J48" s="6"/>
      <c r="K48" s="6"/>
      <c r="L48" s="6"/>
      <c r="M48" s="6"/>
      <c r="N48" s="6" t="s">
        <v>511</v>
      </c>
      <c r="O48" s="6"/>
      <c r="P48" s="6"/>
      <c r="Q48" s="6"/>
      <c r="R48" s="6"/>
      <c r="S48" s="6" t="s">
        <v>512</v>
      </c>
      <c r="T48" s="6" t="s">
        <v>83</v>
      </c>
      <c r="U48" s="6"/>
      <c r="V48" s="6" t="s">
        <v>522</v>
      </c>
      <c r="W48" s="6" t="s">
        <v>523</v>
      </c>
      <c r="X48" s="6" t="s">
        <v>524</v>
      </c>
      <c r="Y48" s="6"/>
      <c r="Z48" s="6"/>
      <c r="AA48" s="6" t="s">
        <v>89</v>
      </c>
      <c r="AB48" s="6" t="s">
        <v>525</v>
      </c>
      <c r="AC48" s="6" t="s">
        <v>526</v>
      </c>
      <c r="AD48" s="6"/>
      <c r="AE48" s="6"/>
      <c r="AF48" s="6"/>
      <c r="AG48" s="6" t="s">
        <v>527</v>
      </c>
      <c r="AH48" s="6" t="s">
        <v>528</v>
      </c>
      <c r="AI48" s="7"/>
      <c r="AJ48" s="7"/>
      <c r="AK48" s="7"/>
      <c r="AL48" s="7"/>
      <c r="AM48" s="7"/>
      <c r="AN48" s="7"/>
      <c r="AO48" s="7"/>
      <c r="AP48" s="7"/>
      <c r="AQ48" s="7"/>
      <c r="AR48" s="7"/>
      <c r="AS48" s="7"/>
      <c r="AT48" s="7"/>
      <c r="AU48" s="7"/>
      <c r="AV48" s="7"/>
      <c r="AW48" s="7"/>
      <c r="AX48" s="7"/>
      <c r="AY48" s="7"/>
      <c r="AZ48" s="7"/>
    </row>
    <row r="49" customFormat="false" ht="150" hidden="false" customHeight="true" outlineLevel="0" collapsed="false">
      <c r="A49" s="6" t="s">
        <v>529</v>
      </c>
      <c r="B49" s="6" t="s">
        <v>371</v>
      </c>
      <c r="C49" s="6" t="s">
        <v>76</v>
      </c>
      <c r="D49" s="6" t="s">
        <v>132</v>
      </c>
      <c r="E49" s="6" t="s">
        <v>133</v>
      </c>
      <c r="F49" s="6" t="s">
        <v>530</v>
      </c>
      <c r="G49" s="6" t="s">
        <v>98</v>
      </c>
      <c r="H49" s="6" t="s">
        <v>452</v>
      </c>
      <c r="I49" s="6" t="s">
        <v>373</v>
      </c>
      <c r="J49" s="6"/>
      <c r="K49" s="6"/>
      <c r="L49" s="6"/>
      <c r="M49" s="6"/>
      <c r="N49" s="6" t="s">
        <v>511</v>
      </c>
      <c r="O49" s="6"/>
      <c r="P49" s="6"/>
      <c r="Q49" s="6"/>
      <c r="R49" s="6"/>
      <c r="S49" s="6" t="s">
        <v>512</v>
      </c>
      <c r="T49" s="6" t="s">
        <v>83</v>
      </c>
      <c r="U49" s="6"/>
      <c r="V49" s="6" t="s">
        <v>531</v>
      </c>
      <c r="W49" s="6" t="s">
        <v>532</v>
      </c>
      <c r="X49" s="6" t="s">
        <v>533</v>
      </c>
      <c r="Y49" s="6"/>
      <c r="Z49" s="6"/>
      <c r="AA49" s="6" t="s">
        <v>89</v>
      </c>
      <c r="AB49" s="6" t="s">
        <v>534</v>
      </c>
      <c r="AC49" s="6" t="s">
        <v>535</v>
      </c>
      <c r="AD49" s="6" t="s">
        <v>536</v>
      </c>
      <c r="AE49" s="6" t="s">
        <v>428</v>
      </c>
      <c r="AF49" s="6" t="s">
        <v>537</v>
      </c>
      <c r="AG49" s="6"/>
      <c r="AH49" s="6"/>
      <c r="AI49" s="7"/>
      <c r="AJ49" s="7"/>
      <c r="AK49" s="7"/>
      <c r="AL49" s="7"/>
      <c r="AM49" s="7"/>
      <c r="AN49" s="7"/>
      <c r="AO49" s="7"/>
      <c r="AP49" s="7"/>
      <c r="AQ49" s="7"/>
      <c r="AR49" s="7"/>
      <c r="AS49" s="7"/>
      <c r="AT49" s="7"/>
      <c r="AU49" s="7"/>
      <c r="AV49" s="7"/>
      <c r="AW49" s="7"/>
      <c r="AX49" s="7"/>
      <c r="AY49" s="7"/>
      <c r="AZ49" s="7"/>
    </row>
    <row r="50" customFormat="false" ht="150" hidden="false" customHeight="true" outlineLevel="0" collapsed="false">
      <c r="A50" s="6" t="s">
        <v>538</v>
      </c>
      <c r="B50" s="6" t="s">
        <v>371</v>
      </c>
      <c r="C50" s="6" t="s">
        <v>76</v>
      </c>
      <c r="D50" s="6" t="s">
        <v>96</v>
      </c>
      <c r="E50" s="6" t="s">
        <v>97</v>
      </c>
      <c r="F50" s="6" t="s">
        <v>132</v>
      </c>
      <c r="G50" s="6" t="s">
        <v>98</v>
      </c>
      <c r="H50" s="6" t="s">
        <v>372</v>
      </c>
      <c r="I50" s="6" t="s">
        <v>81</v>
      </c>
      <c r="J50" s="6"/>
      <c r="K50" s="6"/>
      <c r="L50" s="6"/>
      <c r="M50" s="6"/>
      <c r="N50" s="6" t="s">
        <v>539</v>
      </c>
      <c r="O50" s="6"/>
      <c r="P50" s="6"/>
      <c r="Q50" s="6"/>
      <c r="R50" s="6"/>
      <c r="S50" s="6" t="s">
        <v>540</v>
      </c>
      <c r="T50" s="6" t="s">
        <v>83</v>
      </c>
      <c r="U50" s="6"/>
      <c r="V50" s="6" t="s">
        <v>541</v>
      </c>
      <c r="W50" s="6" t="s">
        <v>542</v>
      </c>
      <c r="X50" s="6" t="s">
        <v>543</v>
      </c>
      <c r="Y50" s="6"/>
      <c r="Z50" s="6"/>
      <c r="AA50" s="6" t="s">
        <v>89</v>
      </c>
      <c r="AB50" s="6" t="s">
        <v>544</v>
      </c>
      <c r="AC50" s="6" t="s">
        <v>545</v>
      </c>
      <c r="AD50" s="6" t="s">
        <v>546</v>
      </c>
      <c r="AE50" s="6" t="s">
        <v>547</v>
      </c>
      <c r="AF50" s="6" t="s">
        <v>548</v>
      </c>
      <c r="AG50" s="6"/>
      <c r="AH50" s="6"/>
      <c r="AI50" s="7"/>
      <c r="AJ50" s="7"/>
      <c r="AK50" s="7"/>
      <c r="AL50" s="7"/>
      <c r="AM50" s="7"/>
      <c r="AN50" s="7"/>
      <c r="AO50" s="7"/>
      <c r="AP50" s="7"/>
      <c r="AQ50" s="7"/>
      <c r="AR50" s="7"/>
      <c r="AS50" s="7"/>
      <c r="AT50" s="7"/>
      <c r="AU50" s="7"/>
      <c r="AV50" s="7"/>
      <c r="AW50" s="7"/>
      <c r="AX50" s="7"/>
      <c r="AY50" s="7"/>
      <c r="AZ50" s="7"/>
    </row>
    <row r="51" customFormat="false" ht="150" hidden="false" customHeight="true" outlineLevel="0" collapsed="false">
      <c r="A51" s="6" t="s">
        <v>549</v>
      </c>
      <c r="B51" s="6" t="s">
        <v>371</v>
      </c>
      <c r="C51" s="6" t="s">
        <v>76</v>
      </c>
      <c r="D51" s="6" t="s">
        <v>77</v>
      </c>
      <c r="E51" s="6" t="s">
        <v>78</v>
      </c>
      <c r="F51" s="6" t="s">
        <v>145</v>
      </c>
      <c r="G51" s="6" t="s">
        <v>98</v>
      </c>
      <c r="H51" s="6" t="s">
        <v>431</v>
      </c>
      <c r="I51" s="6" t="s">
        <v>432</v>
      </c>
      <c r="J51" s="6"/>
      <c r="K51" s="6"/>
      <c r="L51" s="6"/>
      <c r="M51" s="6"/>
      <c r="N51" s="6" t="s">
        <v>539</v>
      </c>
      <c r="O51" s="6"/>
      <c r="P51" s="6"/>
      <c r="Q51" s="6"/>
      <c r="R51" s="6"/>
      <c r="S51" s="6" t="s">
        <v>540</v>
      </c>
      <c r="T51" s="6" t="s">
        <v>83</v>
      </c>
      <c r="U51" s="6"/>
      <c r="V51" s="6" t="s">
        <v>550</v>
      </c>
      <c r="W51" s="6" t="s">
        <v>551</v>
      </c>
      <c r="X51" s="6" t="s">
        <v>552</v>
      </c>
      <c r="Y51" s="6"/>
      <c r="Z51" s="6"/>
      <c r="AA51" s="6" t="s">
        <v>89</v>
      </c>
      <c r="AB51" s="6" t="s">
        <v>553</v>
      </c>
      <c r="AC51" s="6" t="s">
        <v>554</v>
      </c>
      <c r="AD51" s="6" t="s">
        <v>555</v>
      </c>
      <c r="AE51" s="6" t="s">
        <v>556</v>
      </c>
      <c r="AF51" s="6" t="s">
        <v>557</v>
      </c>
      <c r="AG51" s="6"/>
      <c r="AH51" s="6"/>
      <c r="AI51" s="7"/>
      <c r="AJ51" s="7"/>
      <c r="AK51" s="7"/>
      <c r="AL51" s="7"/>
      <c r="AM51" s="7"/>
      <c r="AN51" s="7"/>
      <c r="AO51" s="7"/>
      <c r="AP51" s="7"/>
      <c r="AQ51" s="7"/>
      <c r="AR51" s="7"/>
      <c r="AS51" s="7"/>
      <c r="AT51" s="7"/>
      <c r="AU51" s="7"/>
      <c r="AV51" s="7"/>
      <c r="AW51" s="7"/>
      <c r="AX51" s="7"/>
      <c r="AY51" s="7"/>
      <c r="AZ51" s="7"/>
    </row>
    <row r="52" customFormat="false" ht="150" hidden="false" customHeight="true" outlineLevel="0" collapsed="false">
      <c r="A52" s="6" t="s">
        <v>558</v>
      </c>
      <c r="B52" s="6" t="s">
        <v>371</v>
      </c>
      <c r="C52" s="6" t="s">
        <v>76</v>
      </c>
      <c r="D52" s="6" t="s">
        <v>132</v>
      </c>
      <c r="E52" s="6" t="s">
        <v>133</v>
      </c>
      <c r="F52" s="6" t="s">
        <v>96</v>
      </c>
      <c r="G52" s="6" t="s">
        <v>165</v>
      </c>
      <c r="H52" s="6" t="s">
        <v>452</v>
      </c>
      <c r="I52" s="6" t="s">
        <v>373</v>
      </c>
      <c r="J52" s="6"/>
      <c r="K52" s="6"/>
      <c r="L52" s="6"/>
      <c r="M52" s="6"/>
      <c r="N52" s="6" t="s">
        <v>539</v>
      </c>
      <c r="O52" s="6"/>
      <c r="P52" s="6"/>
      <c r="Q52" s="6"/>
      <c r="R52" s="6"/>
      <c r="S52" s="6" t="s">
        <v>540</v>
      </c>
      <c r="T52" s="6" t="s">
        <v>83</v>
      </c>
      <c r="U52" s="6"/>
      <c r="V52" s="6" t="s">
        <v>559</v>
      </c>
      <c r="W52" s="6" t="s">
        <v>560</v>
      </c>
      <c r="X52" s="6" t="s">
        <v>561</v>
      </c>
      <c r="Y52" s="6"/>
      <c r="Z52" s="6"/>
      <c r="AA52" s="6" t="s">
        <v>89</v>
      </c>
      <c r="AB52" s="6" t="s">
        <v>562</v>
      </c>
      <c r="AC52" s="6" t="s">
        <v>563</v>
      </c>
      <c r="AD52" s="6" t="s">
        <v>564</v>
      </c>
      <c r="AE52" s="6" t="s">
        <v>428</v>
      </c>
      <c r="AF52" s="6" t="s">
        <v>565</v>
      </c>
      <c r="AG52" s="6"/>
      <c r="AH52" s="6"/>
      <c r="AI52" s="7"/>
      <c r="AJ52" s="7"/>
      <c r="AK52" s="7"/>
      <c r="AL52" s="7"/>
      <c r="AM52" s="7"/>
      <c r="AN52" s="7"/>
      <c r="AO52" s="7"/>
      <c r="AP52" s="7"/>
      <c r="AQ52" s="7"/>
      <c r="AR52" s="7"/>
      <c r="AS52" s="7"/>
      <c r="AT52" s="7"/>
      <c r="AU52" s="7"/>
      <c r="AV52" s="7"/>
      <c r="AW52" s="7"/>
      <c r="AX52" s="7"/>
      <c r="AY52" s="7"/>
      <c r="AZ52" s="7"/>
    </row>
    <row r="53" customFormat="false" ht="150" hidden="false" customHeight="true" outlineLevel="0" collapsed="false">
      <c r="A53" s="6" t="s">
        <v>566</v>
      </c>
      <c r="B53" s="6" t="s">
        <v>371</v>
      </c>
      <c r="C53" s="6" t="s">
        <v>76</v>
      </c>
      <c r="D53" s="6" t="s">
        <v>132</v>
      </c>
      <c r="E53" s="6" t="s">
        <v>133</v>
      </c>
      <c r="F53" s="6" t="s">
        <v>96</v>
      </c>
      <c r="G53" s="6" t="s">
        <v>165</v>
      </c>
      <c r="H53" s="6" t="s">
        <v>372</v>
      </c>
      <c r="I53" s="6" t="s">
        <v>409</v>
      </c>
      <c r="J53" s="6"/>
      <c r="K53" s="6"/>
      <c r="L53" s="6"/>
      <c r="M53" s="6"/>
      <c r="N53" s="6" t="s">
        <v>397</v>
      </c>
      <c r="O53" s="6"/>
      <c r="P53" s="6"/>
      <c r="Q53" s="6"/>
      <c r="R53" s="6"/>
      <c r="S53" s="6" t="s">
        <v>481</v>
      </c>
      <c r="T53" s="6" t="s">
        <v>83</v>
      </c>
      <c r="U53" s="6"/>
      <c r="V53" s="6" t="s">
        <v>567</v>
      </c>
      <c r="W53" s="6" t="s">
        <v>568</v>
      </c>
      <c r="X53" s="6" t="s">
        <v>569</v>
      </c>
      <c r="Y53" s="6"/>
      <c r="Z53" s="6"/>
      <c r="AA53" s="6" t="s">
        <v>89</v>
      </c>
      <c r="AB53" s="6" t="s">
        <v>570</v>
      </c>
      <c r="AC53" s="6" t="s">
        <v>571</v>
      </c>
      <c r="AD53" s="6"/>
      <c r="AE53" s="6"/>
      <c r="AF53" s="6"/>
      <c r="AG53" s="6" t="s">
        <v>572</v>
      </c>
      <c r="AH53" s="6" t="s">
        <v>573</v>
      </c>
      <c r="AI53" s="7"/>
      <c r="AJ53" s="7"/>
      <c r="AK53" s="7"/>
      <c r="AL53" s="7"/>
      <c r="AM53" s="7"/>
      <c r="AN53" s="7"/>
      <c r="AO53" s="7"/>
      <c r="AP53" s="7"/>
      <c r="AQ53" s="7"/>
      <c r="AR53" s="7"/>
      <c r="AS53" s="7"/>
      <c r="AT53" s="7"/>
      <c r="AU53" s="7"/>
      <c r="AV53" s="7"/>
      <c r="AW53" s="7"/>
      <c r="AX53" s="7"/>
      <c r="AY53" s="7"/>
      <c r="AZ53" s="7"/>
    </row>
    <row r="54" customFormat="false" ht="150" hidden="false" customHeight="true" outlineLevel="0" collapsed="false">
      <c r="A54" s="6" t="s">
        <v>574</v>
      </c>
      <c r="B54" s="6" t="s">
        <v>371</v>
      </c>
      <c r="C54" s="6" t="s">
        <v>76</v>
      </c>
      <c r="D54" s="6" t="s">
        <v>145</v>
      </c>
      <c r="E54" s="6" t="s">
        <v>146</v>
      </c>
      <c r="F54" s="6" t="s">
        <v>575</v>
      </c>
      <c r="G54" s="6" t="s">
        <v>98</v>
      </c>
      <c r="H54" s="6" t="s">
        <v>491</v>
      </c>
      <c r="I54" s="6" t="s">
        <v>492</v>
      </c>
      <c r="J54" s="6"/>
      <c r="K54" s="6"/>
      <c r="L54" s="6"/>
      <c r="M54" s="6"/>
      <c r="N54" s="6" t="s">
        <v>576</v>
      </c>
      <c r="O54" s="6"/>
      <c r="P54" s="6"/>
      <c r="Q54" s="6"/>
      <c r="R54" s="6"/>
      <c r="S54" s="6" t="s">
        <v>481</v>
      </c>
      <c r="T54" s="6" t="s">
        <v>83</v>
      </c>
      <c r="U54" s="6"/>
      <c r="V54" s="6" t="s">
        <v>577</v>
      </c>
      <c r="W54" s="6" t="s">
        <v>578</v>
      </c>
      <c r="X54" s="6" t="s">
        <v>579</v>
      </c>
      <c r="Y54" s="6"/>
      <c r="Z54" s="6"/>
      <c r="AA54" s="6" t="s">
        <v>89</v>
      </c>
      <c r="AB54" s="6" t="s">
        <v>580</v>
      </c>
      <c r="AC54" s="6" t="s">
        <v>581</v>
      </c>
      <c r="AD54" s="6" t="s">
        <v>582</v>
      </c>
      <c r="AE54" s="6" t="s">
        <v>583</v>
      </c>
      <c r="AF54" s="6" t="s">
        <v>584</v>
      </c>
      <c r="AG54" s="6"/>
      <c r="AH54" s="6"/>
      <c r="AI54" s="7"/>
      <c r="AJ54" s="7"/>
      <c r="AK54" s="7"/>
      <c r="AL54" s="7"/>
      <c r="AM54" s="7"/>
      <c r="AN54" s="7"/>
      <c r="AO54" s="7"/>
      <c r="AP54" s="7"/>
      <c r="AQ54" s="7"/>
      <c r="AR54" s="7"/>
      <c r="AS54" s="7"/>
      <c r="AT54" s="7"/>
      <c r="AU54" s="7"/>
      <c r="AV54" s="7"/>
      <c r="AW54" s="7"/>
      <c r="AX54" s="7"/>
      <c r="AY54" s="7"/>
      <c r="AZ54" s="7"/>
    </row>
    <row r="55" customFormat="false" ht="150" hidden="false" customHeight="true" outlineLevel="0" collapsed="false">
      <c r="A55" s="6" t="s">
        <v>585</v>
      </c>
      <c r="B55" s="6" t="s">
        <v>371</v>
      </c>
      <c r="C55" s="6" t="s">
        <v>76</v>
      </c>
      <c r="D55" s="6" t="s">
        <v>132</v>
      </c>
      <c r="E55" s="6" t="s">
        <v>133</v>
      </c>
      <c r="F55" s="6"/>
      <c r="G55" s="6" t="s">
        <v>165</v>
      </c>
      <c r="H55" s="6" t="s">
        <v>452</v>
      </c>
      <c r="I55" s="6" t="s">
        <v>373</v>
      </c>
      <c r="J55" s="6"/>
      <c r="K55" s="6"/>
      <c r="L55" s="6"/>
      <c r="M55" s="6"/>
      <c r="N55" s="6" t="s">
        <v>156</v>
      </c>
      <c r="O55" s="6"/>
      <c r="P55" s="6"/>
      <c r="Q55" s="6"/>
      <c r="R55" s="6"/>
      <c r="S55" s="6" t="s">
        <v>494</v>
      </c>
      <c r="T55" s="6" t="s">
        <v>83</v>
      </c>
      <c r="U55" s="6"/>
      <c r="V55" s="6" t="s">
        <v>586</v>
      </c>
      <c r="W55" s="6" t="s">
        <v>587</v>
      </c>
      <c r="X55" s="6" t="s">
        <v>588</v>
      </c>
      <c r="Y55" s="6"/>
      <c r="Z55" s="6"/>
      <c r="AA55" s="6" t="s">
        <v>89</v>
      </c>
      <c r="AB55" s="6" t="s">
        <v>589</v>
      </c>
      <c r="AC55" s="6" t="s">
        <v>590</v>
      </c>
      <c r="AD55" s="6" t="s">
        <v>591</v>
      </c>
      <c r="AE55" s="6" t="s">
        <v>428</v>
      </c>
      <c r="AF55" s="6" t="s">
        <v>592</v>
      </c>
      <c r="AG55" s="6"/>
      <c r="AH55" s="6"/>
      <c r="AI55" s="7"/>
      <c r="AJ55" s="7"/>
      <c r="AK55" s="7"/>
      <c r="AL55" s="7"/>
      <c r="AM55" s="7"/>
      <c r="AN55" s="7"/>
      <c r="AO55" s="7"/>
      <c r="AP55" s="7"/>
      <c r="AQ55" s="7"/>
      <c r="AR55" s="7"/>
      <c r="AS55" s="7"/>
      <c r="AT55" s="7"/>
      <c r="AU55" s="7"/>
      <c r="AV55" s="7"/>
      <c r="AW55" s="7"/>
      <c r="AX55" s="7"/>
      <c r="AY55" s="7"/>
      <c r="AZ55" s="7"/>
    </row>
    <row r="56" customFormat="false" ht="150" hidden="false" customHeight="true" outlineLevel="0" collapsed="false">
      <c r="A56" s="6" t="s">
        <v>593</v>
      </c>
      <c r="B56" s="6" t="s">
        <v>594</v>
      </c>
      <c r="C56" s="6" t="s">
        <v>76</v>
      </c>
      <c r="D56" s="6" t="s">
        <v>123</v>
      </c>
      <c r="E56" s="6" t="s">
        <v>124</v>
      </c>
      <c r="F56" s="6"/>
      <c r="G56" s="6" t="s">
        <v>79</v>
      </c>
      <c r="H56" s="6" t="s">
        <v>372</v>
      </c>
      <c r="I56" s="6" t="s">
        <v>81</v>
      </c>
      <c r="J56" s="6" t="s">
        <v>595</v>
      </c>
      <c r="K56" s="6" t="s">
        <v>596</v>
      </c>
      <c r="L56" s="6" t="s">
        <v>597</v>
      </c>
      <c r="M56" s="6" t="s">
        <v>598</v>
      </c>
      <c r="N56" s="6"/>
      <c r="O56" s="6"/>
      <c r="P56" s="6" t="s">
        <v>599</v>
      </c>
      <c r="Q56" s="6"/>
      <c r="R56" s="6" t="s">
        <v>600</v>
      </c>
      <c r="S56" s="6" t="s">
        <v>601</v>
      </c>
      <c r="T56" s="6" t="s">
        <v>83</v>
      </c>
      <c r="U56" s="6"/>
      <c r="V56" s="6" t="s">
        <v>602</v>
      </c>
      <c r="W56" s="6" t="s">
        <v>603</v>
      </c>
      <c r="X56" s="6" t="s">
        <v>604</v>
      </c>
      <c r="Y56" s="6"/>
      <c r="Z56" s="6"/>
      <c r="AA56" s="6" t="s">
        <v>89</v>
      </c>
      <c r="AB56" s="6" t="s">
        <v>605</v>
      </c>
      <c r="AC56" s="6" t="s">
        <v>606</v>
      </c>
      <c r="AD56" s="6" t="s">
        <v>607</v>
      </c>
      <c r="AE56" s="6" t="s">
        <v>608</v>
      </c>
      <c r="AF56" s="6" t="s">
        <v>609</v>
      </c>
      <c r="AG56" s="6"/>
      <c r="AH56" s="6"/>
      <c r="AI56" s="7"/>
      <c r="AJ56" s="7"/>
      <c r="AK56" s="7"/>
      <c r="AL56" s="7"/>
      <c r="AM56" s="7"/>
      <c r="AN56" s="7"/>
      <c r="AO56" s="7"/>
      <c r="AP56" s="7"/>
      <c r="AQ56" s="7"/>
      <c r="AR56" s="7"/>
      <c r="AS56" s="7"/>
      <c r="AT56" s="7"/>
      <c r="AU56" s="7"/>
      <c r="AV56" s="7"/>
      <c r="AW56" s="7"/>
      <c r="AX56" s="7"/>
      <c r="AY56" s="7"/>
      <c r="AZ56" s="7"/>
    </row>
    <row r="57" customFormat="false" ht="150" hidden="false" customHeight="true" outlineLevel="0" collapsed="false">
      <c r="A57" s="6" t="s">
        <v>610</v>
      </c>
      <c r="B57" s="6" t="s">
        <v>594</v>
      </c>
      <c r="C57" s="6" t="s">
        <v>76</v>
      </c>
      <c r="D57" s="6" t="s">
        <v>123</v>
      </c>
      <c r="E57" s="6" t="s">
        <v>124</v>
      </c>
      <c r="F57" s="6"/>
      <c r="G57" s="6" t="s">
        <v>98</v>
      </c>
      <c r="H57" s="6" t="s">
        <v>491</v>
      </c>
      <c r="I57" s="6" t="s">
        <v>492</v>
      </c>
      <c r="J57" s="6" t="s">
        <v>595</v>
      </c>
      <c r="K57" s="6" t="s">
        <v>596</v>
      </c>
      <c r="L57" s="6" t="s">
        <v>597</v>
      </c>
      <c r="M57" s="6" t="s">
        <v>611</v>
      </c>
      <c r="N57" s="6"/>
      <c r="O57" s="6"/>
      <c r="P57" s="6" t="s">
        <v>599</v>
      </c>
      <c r="Q57" s="6"/>
      <c r="R57" s="6" t="s">
        <v>600</v>
      </c>
      <c r="S57" s="6" t="s">
        <v>612</v>
      </c>
      <c r="T57" s="6" t="s">
        <v>83</v>
      </c>
      <c r="U57" s="6"/>
      <c r="V57" s="6" t="s">
        <v>613</v>
      </c>
      <c r="W57" s="6" t="s">
        <v>614</v>
      </c>
      <c r="X57" s="6" t="s">
        <v>615</v>
      </c>
      <c r="Y57" s="6"/>
      <c r="Z57" s="6"/>
      <c r="AA57" s="6" t="s">
        <v>89</v>
      </c>
      <c r="AB57" s="6" t="s">
        <v>616</v>
      </c>
      <c r="AC57" s="6" t="s">
        <v>617</v>
      </c>
      <c r="AD57" s="6" t="s">
        <v>618</v>
      </c>
      <c r="AE57" s="6" t="s">
        <v>619</v>
      </c>
      <c r="AF57" s="6"/>
      <c r="AG57" s="6"/>
      <c r="AH57" s="6"/>
      <c r="AI57" s="7"/>
      <c r="AJ57" s="7"/>
      <c r="AK57" s="7"/>
      <c r="AL57" s="7"/>
      <c r="AM57" s="7"/>
      <c r="AN57" s="7"/>
      <c r="AO57" s="7"/>
      <c r="AP57" s="7"/>
      <c r="AQ57" s="7"/>
      <c r="AR57" s="7"/>
      <c r="AS57" s="7"/>
      <c r="AT57" s="7"/>
      <c r="AU57" s="7"/>
      <c r="AV57" s="7"/>
      <c r="AW57" s="7"/>
      <c r="AX57" s="7"/>
      <c r="AY57" s="7"/>
      <c r="AZ57" s="7"/>
    </row>
    <row r="58" customFormat="false" ht="150" hidden="false" customHeight="true" outlineLevel="0" collapsed="false">
      <c r="A58" s="6" t="s">
        <v>620</v>
      </c>
      <c r="B58" s="6" t="s">
        <v>594</v>
      </c>
      <c r="C58" s="6" t="s">
        <v>76</v>
      </c>
      <c r="D58" s="6" t="s">
        <v>123</v>
      </c>
      <c r="E58" s="6" t="s">
        <v>124</v>
      </c>
      <c r="F58" s="6"/>
      <c r="G58" s="6" t="s">
        <v>165</v>
      </c>
      <c r="H58" s="6" t="s">
        <v>408</v>
      </c>
      <c r="I58" s="6" t="s">
        <v>409</v>
      </c>
      <c r="J58" s="6" t="s">
        <v>621</v>
      </c>
      <c r="K58" s="6" t="s">
        <v>596</v>
      </c>
      <c r="L58" s="6" t="s">
        <v>597</v>
      </c>
      <c r="M58" s="6" t="s">
        <v>622</v>
      </c>
      <c r="N58" s="6"/>
      <c r="O58" s="6"/>
      <c r="P58" s="6" t="s">
        <v>599</v>
      </c>
      <c r="Q58" s="6"/>
      <c r="R58" s="6" t="s">
        <v>600</v>
      </c>
      <c r="S58" s="6" t="s">
        <v>623</v>
      </c>
      <c r="T58" s="6" t="s">
        <v>83</v>
      </c>
      <c r="U58" s="6"/>
      <c r="V58" s="6" t="s">
        <v>624</v>
      </c>
      <c r="W58" s="6" t="s">
        <v>625</v>
      </c>
      <c r="X58" s="6" t="s">
        <v>626</v>
      </c>
      <c r="Y58" s="6"/>
      <c r="Z58" s="6"/>
      <c r="AA58" s="6" t="s">
        <v>89</v>
      </c>
      <c r="AB58" s="6" t="s">
        <v>627</v>
      </c>
      <c r="AC58" s="6" t="s">
        <v>628</v>
      </c>
      <c r="AD58" s="6"/>
      <c r="AE58" s="6"/>
      <c r="AF58" s="6"/>
      <c r="AG58" s="6" t="s">
        <v>629</v>
      </c>
      <c r="AH58" s="6" t="s">
        <v>630</v>
      </c>
      <c r="AI58" s="7"/>
      <c r="AJ58" s="7"/>
      <c r="AK58" s="7"/>
      <c r="AL58" s="7"/>
      <c r="AM58" s="7"/>
      <c r="AN58" s="7"/>
      <c r="AO58" s="7"/>
      <c r="AP58" s="7"/>
      <c r="AQ58" s="7"/>
      <c r="AR58" s="7"/>
      <c r="AS58" s="7"/>
      <c r="AT58" s="7"/>
      <c r="AU58" s="7"/>
      <c r="AV58" s="7"/>
      <c r="AW58" s="7"/>
      <c r="AX58" s="7"/>
      <c r="AY58" s="7"/>
      <c r="AZ58" s="7"/>
    </row>
    <row r="59" customFormat="false" ht="150" hidden="false" customHeight="true" outlineLevel="0" collapsed="false">
      <c r="A59" s="6" t="s">
        <v>631</v>
      </c>
      <c r="B59" s="6" t="s">
        <v>594</v>
      </c>
      <c r="C59" s="6" t="s">
        <v>76</v>
      </c>
      <c r="D59" s="6" t="s">
        <v>123</v>
      </c>
      <c r="E59" s="6" t="s">
        <v>124</v>
      </c>
      <c r="F59" s="6"/>
      <c r="G59" s="6" t="s">
        <v>79</v>
      </c>
      <c r="H59" s="6" t="s">
        <v>372</v>
      </c>
      <c r="I59" s="6" t="s">
        <v>81</v>
      </c>
      <c r="J59" s="6" t="s">
        <v>595</v>
      </c>
      <c r="K59" s="6" t="s">
        <v>632</v>
      </c>
      <c r="L59" s="6" t="s">
        <v>633</v>
      </c>
      <c r="M59" s="6" t="s">
        <v>634</v>
      </c>
      <c r="N59" s="6"/>
      <c r="O59" s="6"/>
      <c r="P59" s="6" t="s">
        <v>635</v>
      </c>
      <c r="Q59" s="6"/>
      <c r="R59" s="6" t="s">
        <v>636</v>
      </c>
      <c r="S59" s="6" t="s">
        <v>637</v>
      </c>
      <c r="T59" s="6" t="s">
        <v>83</v>
      </c>
      <c r="U59" s="6"/>
      <c r="V59" s="6" t="s">
        <v>638</v>
      </c>
      <c r="W59" s="6" t="s">
        <v>639</v>
      </c>
      <c r="X59" s="6" t="s">
        <v>640</v>
      </c>
      <c r="Y59" s="6"/>
      <c r="Z59" s="6"/>
      <c r="AA59" s="6" t="s">
        <v>89</v>
      </c>
      <c r="AB59" s="6" t="s">
        <v>641</v>
      </c>
      <c r="AC59" s="6" t="s">
        <v>642</v>
      </c>
      <c r="AD59" s="6" t="s">
        <v>643</v>
      </c>
      <c r="AE59" s="6" t="s">
        <v>644</v>
      </c>
      <c r="AF59" s="6" t="s">
        <v>645</v>
      </c>
      <c r="AG59" s="6"/>
      <c r="AH59" s="6"/>
      <c r="AI59" s="7"/>
      <c r="AJ59" s="7"/>
      <c r="AK59" s="7"/>
      <c r="AL59" s="7"/>
      <c r="AM59" s="7"/>
      <c r="AN59" s="7"/>
      <c r="AO59" s="7"/>
      <c r="AP59" s="7"/>
      <c r="AQ59" s="7"/>
      <c r="AR59" s="7"/>
      <c r="AS59" s="7"/>
      <c r="AT59" s="7"/>
      <c r="AU59" s="7"/>
      <c r="AV59" s="7"/>
      <c r="AW59" s="7"/>
      <c r="AX59" s="7"/>
      <c r="AY59" s="7"/>
      <c r="AZ59" s="7"/>
    </row>
    <row r="60" customFormat="false" ht="150" hidden="false" customHeight="true" outlineLevel="0" collapsed="false">
      <c r="A60" s="6" t="s">
        <v>646</v>
      </c>
      <c r="B60" s="6" t="s">
        <v>594</v>
      </c>
      <c r="C60" s="6" t="s">
        <v>76</v>
      </c>
      <c r="D60" s="6" t="s">
        <v>123</v>
      </c>
      <c r="E60" s="6" t="s">
        <v>124</v>
      </c>
      <c r="F60" s="6" t="s">
        <v>110</v>
      </c>
      <c r="G60" s="6" t="s">
        <v>98</v>
      </c>
      <c r="H60" s="6" t="s">
        <v>372</v>
      </c>
      <c r="I60" s="6" t="s">
        <v>373</v>
      </c>
      <c r="J60" s="6" t="s">
        <v>621</v>
      </c>
      <c r="K60" s="6" t="s">
        <v>647</v>
      </c>
      <c r="L60" s="6" t="s">
        <v>648</v>
      </c>
      <c r="M60" s="6" t="s">
        <v>649</v>
      </c>
      <c r="N60" s="6" t="s">
        <v>493</v>
      </c>
      <c r="O60" s="6"/>
      <c r="P60" s="6" t="s">
        <v>156</v>
      </c>
      <c r="Q60" s="6" t="s">
        <v>283</v>
      </c>
      <c r="R60" s="6" t="s">
        <v>191</v>
      </c>
      <c r="S60" s="6" t="s">
        <v>650</v>
      </c>
      <c r="T60" s="6" t="s">
        <v>83</v>
      </c>
      <c r="U60" s="6"/>
      <c r="V60" s="6" t="s">
        <v>651</v>
      </c>
      <c r="W60" s="6" t="s">
        <v>652</v>
      </c>
      <c r="X60" s="6" t="s">
        <v>653</v>
      </c>
      <c r="Y60" s="6"/>
      <c r="Z60" s="6"/>
      <c r="AA60" s="6" t="s">
        <v>89</v>
      </c>
      <c r="AB60" s="6" t="s">
        <v>654</v>
      </c>
      <c r="AC60" s="6" t="s">
        <v>655</v>
      </c>
      <c r="AD60" s="6" t="s">
        <v>656</v>
      </c>
      <c r="AE60" s="6" t="s">
        <v>657</v>
      </c>
      <c r="AF60" s="6" t="s">
        <v>658</v>
      </c>
      <c r="AG60" s="6"/>
      <c r="AH60" s="6"/>
      <c r="AI60" s="7"/>
      <c r="AJ60" s="7"/>
      <c r="AK60" s="7"/>
      <c r="AL60" s="7"/>
      <c r="AM60" s="7"/>
      <c r="AN60" s="7"/>
      <c r="AO60" s="7"/>
      <c r="AP60" s="7"/>
      <c r="AQ60" s="7"/>
      <c r="AR60" s="7"/>
      <c r="AS60" s="7"/>
      <c r="AT60" s="7"/>
      <c r="AU60" s="7"/>
      <c r="AV60" s="7"/>
      <c r="AW60" s="7"/>
      <c r="AX60" s="7"/>
      <c r="AY60" s="7"/>
      <c r="AZ60" s="7"/>
    </row>
    <row r="61" customFormat="false" ht="150" hidden="false" customHeight="true" outlineLevel="0" collapsed="false">
      <c r="A61" s="6" t="s">
        <v>659</v>
      </c>
      <c r="B61" s="6" t="s">
        <v>594</v>
      </c>
      <c r="C61" s="6" t="s">
        <v>76</v>
      </c>
      <c r="D61" s="6" t="s">
        <v>123</v>
      </c>
      <c r="E61" s="6" t="s">
        <v>124</v>
      </c>
      <c r="F61" s="6"/>
      <c r="G61" s="6" t="s">
        <v>165</v>
      </c>
      <c r="H61" s="6" t="s">
        <v>431</v>
      </c>
      <c r="I61" s="6" t="s">
        <v>432</v>
      </c>
      <c r="J61" s="6" t="s">
        <v>660</v>
      </c>
      <c r="K61" s="6" t="s">
        <v>632</v>
      </c>
      <c r="L61" s="6" t="s">
        <v>633</v>
      </c>
      <c r="M61" s="6" t="s">
        <v>661</v>
      </c>
      <c r="N61" s="6" t="s">
        <v>420</v>
      </c>
      <c r="O61" s="6"/>
      <c r="P61" s="6" t="s">
        <v>635</v>
      </c>
      <c r="Q61" s="6"/>
      <c r="R61" s="6" t="s">
        <v>636</v>
      </c>
      <c r="S61" s="6" t="s">
        <v>421</v>
      </c>
      <c r="T61" s="6" t="s">
        <v>83</v>
      </c>
      <c r="U61" s="6"/>
      <c r="V61" s="6" t="s">
        <v>662</v>
      </c>
      <c r="W61" s="6" t="s">
        <v>663</v>
      </c>
      <c r="X61" s="6" t="s">
        <v>664</v>
      </c>
      <c r="Y61" s="6"/>
      <c r="Z61" s="6"/>
      <c r="AA61" s="6" t="s">
        <v>89</v>
      </c>
      <c r="AB61" s="6" t="s">
        <v>665</v>
      </c>
      <c r="AC61" s="6" t="s">
        <v>666</v>
      </c>
      <c r="AD61" s="6" t="s">
        <v>667</v>
      </c>
      <c r="AE61" s="6" t="s">
        <v>668</v>
      </c>
      <c r="AF61" s="6"/>
      <c r="AG61" s="6"/>
      <c r="AH61" s="6"/>
      <c r="AI61" s="7"/>
      <c r="AJ61" s="7"/>
      <c r="AK61" s="7"/>
      <c r="AL61" s="7"/>
      <c r="AM61" s="7"/>
      <c r="AN61" s="7"/>
      <c r="AO61" s="7"/>
      <c r="AP61" s="7"/>
      <c r="AQ61" s="7"/>
      <c r="AR61" s="7"/>
      <c r="AS61" s="7"/>
      <c r="AT61" s="7"/>
      <c r="AU61" s="7"/>
      <c r="AV61" s="7"/>
      <c r="AW61" s="7"/>
      <c r="AX61" s="7"/>
      <c r="AY61" s="7"/>
      <c r="AZ61" s="7"/>
    </row>
    <row r="62" customFormat="false" ht="150" hidden="false" customHeight="true" outlineLevel="0" collapsed="false">
      <c r="A62" s="6" t="s">
        <v>669</v>
      </c>
      <c r="B62" s="6" t="s">
        <v>594</v>
      </c>
      <c r="C62" s="6" t="s">
        <v>76</v>
      </c>
      <c r="D62" s="6" t="s">
        <v>77</v>
      </c>
      <c r="E62" s="6" t="s">
        <v>78</v>
      </c>
      <c r="F62" s="6"/>
      <c r="G62" s="6" t="s">
        <v>79</v>
      </c>
      <c r="H62" s="6" t="s">
        <v>372</v>
      </c>
      <c r="I62" s="6" t="s">
        <v>81</v>
      </c>
      <c r="J62" s="6" t="s">
        <v>595</v>
      </c>
      <c r="K62" s="6" t="s">
        <v>670</v>
      </c>
      <c r="L62" s="6" t="s">
        <v>671</v>
      </c>
      <c r="M62" s="6" t="s">
        <v>672</v>
      </c>
      <c r="N62" s="6"/>
      <c r="O62" s="6"/>
      <c r="P62" s="6" t="s">
        <v>156</v>
      </c>
      <c r="Q62" s="6"/>
      <c r="R62" s="6" t="s">
        <v>157</v>
      </c>
      <c r="S62" s="6" t="s">
        <v>82</v>
      </c>
      <c r="T62" s="6" t="s">
        <v>83</v>
      </c>
      <c r="U62" s="6"/>
      <c r="V62" s="6" t="s">
        <v>673</v>
      </c>
      <c r="W62" s="6" t="s">
        <v>674</v>
      </c>
      <c r="X62" s="6" t="s">
        <v>675</v>
      </c>
      <c r="Y62" s="6"/>
      <c r="Z62" s="6"/>
      <c r="AA62" s="6" t="s">
        <v>89</v>
      </c>
      <c r="AB62" s="6" t="s">
        <v>676</v>
      </c>
      <c r="AC62" s="6" t="s">
        <v>677</v>
      </c>
      <c r="AD62" s="6" t="s">
        <v>678</v>
      </c>
      <c r="AE62" s="6" t="s">
        <v>679</v>
      </c>
      <c r="AF62" s="6" t="s">
        <v>680</v>
      </c>
      <c r="AG62" s="6"/>
      <c r="AH62" s="6"/>
      <c r="AI62" s="7"/>
      <c r="AJ62" s="7"/>
      <c r="AK62" s="7"/>
      <c r="AL62" s="7"/>
      <c r="AM62" s="7"/>
      <c r="AN62" s="7"/>
      <c r="AO62" s="7"/>
      <c r="AP62" s="7"/>
      <c r="AQ62" s="7"/>
      <c r="AR62" s="7"/>
      <c r="AS62" s="7"/>
      <c r="AT62" s="7"/>
      <c r="AU62" s="7"/>
      <c r="AV62" s="7"/>
      <c r="AW62" s="7"/>
      <c r="AX62" s="7"/>
      <c r="AY62" s="7"/>
      <c r="AZ62" s="7"/>
    </row>
    <row r="63" customFormat="false" ht="150" hidden="false" customHeight="true" outlineLevel="0" collapsed="false">
      <c r="A63" s="6" t="s">
        <v>681</v>
      </c>
      <c r="B63" s="6" t="s">
        <v>594</v>
      </c>
      <c r="C63" s="6" t="s">
        <v>76</v>
      </c>
      <c r="D63" s="6" t="s">
        <v>77</v>
      </c>
      <c r="E63" s="6" t="s">
        <v>78</v>
      </c>
      <c r="F63" s="6"/>
      <c r="G63" s="6" t="s">
        <v>98</v>
      </c>
      <c r="H63" s="6" t="s">
        <v>491</v>
      </c>
      <c r="I63" s="6" t="s">
        <v>492</v>
      </c>
      <c r="J63" s="6" t="s">
        <v>621</v>
      </c>
      <c r="K63" s="6" t="s">
        <v>670</v>
      </c>
      <c r="L63" s="6" t="s">
        <v>671</v>
      </c>
      <c r="M63" s="6" t="s">
        <v>682</v>
      </c>
      <c r="N63" s="6"/>
      <c r="O63" s="6"/>
      <c r="P63" s="6" t="s">
        <v>156</v>
      </c>
      <c r="Q63" s="6"/>
      <c r="R63" s="6" t="s">
        <v>157</v>
      </c>
      <c r="S63" s="6" t="s">
        <v>683</v>
      </c>
      <c r="T63" s="6" t="s">
        <v>83</v>
      </c>
      <c r="U63" s="6"/>
      <c r="V63" s="6" t="s">
        <v>684</v>
      </c>
      <c r="W63" s="6" t="s">
        <v>685</v>
      </c>
      <c r="X63" s="6" t="s">
        <v>686</v>
      </c>
      <c r="Y63" s="6"/>
      <c r="Z63" s="6"/>
      <c r="AA63" s="6" t="s">
        <v>89</v>
      </c>
      <c r="AB63" s="6" t="s">
        <v>687</v>
      </c>
      <c r="AC63" s="6" t="s">
        <v>688</v>
      </c>
      <c r="AD63" s="6" t="s">
        <v>689</v>
      </c>
      <c r="AE63" s="6" t="s">
        <v>690</v>
      </c>
      <c r="AF63" s="6"/>
      <c r="AG63" s="6"/>
      <c r="AH63" s="6"/>
      <c r="AI63" s="7"/>
      <c r="AJ63" s="7"/>
      <c r="AK63" s="7"/>
      <c r="AL63" s="7"/>
      <c r="AM63" s="7"/>
      <c r="AN63" s="7"/>
      <c r="AO63" s="7"/>
      <c r="AP63" s="7"/>
      <c r="AQ63" s="7"/>
      <c r="AR63" s="7"/>
      <c r="AS63" s="7"/>
      <c r="AT63" s="7"/>
      <c r="AU63" s="7"/>
      <c r="AV63" s="7"/>
      <c r="AW63" s="7"/>
      <c r="AX63" s="7"/>
      <c r="AY63" s="7"/>
      <c r="AZ63" s="7"/>
    </row>
    <row r="64" customFormat="false" ht="150" hidden="false" customHeight="true" outlineLevel="0" collapsed="false">
      <c r="A64" s="6" t="s">
        <v>691</v>
      </c>
      <c r="B64" s="6" t="s">
        <v>594</v>
      </c>
      <c r="C64" s="6" t="s">
        <v>76</v>
      </c>
      <c r="D64" s="6" t="s">
        <v>77</v>
      </c>
      <c r="E64" s="6" t="s">
        <v>78</v>
      </c>
      <c r="F64" s="6"/>
      <c r="G64" s="6" t="s">
        <v>165</v>
      </c>
      <c r="H64" s="6" t="s">
        <v>408</v>
      </c>
      <c r="I64" s="6" t="s">
        <v>409</v>
      </c>
      <c r="J64" s="6" t="s">
        <v>660</v>
      </c>
      <c r="K64" s="6" t="s">
        <v>670</v>
      </c>
      <c r="L64" s="6" t="s">
        <v>671</v>
      </c>
      <c r="M64" s="6" t="s">
        <v>692</v>
      </c>
      <c r="N64" s="6"/>
      <c r="O64" s="6"/>
      <c r="P64" s="6" t="s">
        <v>156</v>
      </c>
      <c r="Q64" s="6"/>
      <c r="R64" s="6" t="s">
        <v>157</v>
      </c>
      <c r="S64" s="6" t="s">
        <v>693</v>
      </c>
      <c r="T64" s="6" t="s">
        <v>83</v>
      </c>
      <c r="U64" s="6"/>
      <c r="V64" s="6" t="s">
        <v>694</v>
      </c>
      <c r="W64" s="6" t="s">
        <v>695</v>
      </c>
      <c r="X64" s="6" t="s">
        <v>696</v>
      </c>
      <c r="Y64" s="6"/>
      <c r="Z64" s="6"/>
      <c r="AA64" s="6" t="s">
        <v>89</v>
      </c>
      <c r="AB64" s="6" t="s">
        <v>697</v>
      </c>
      <c r="AC64" s="6" t="s">
        <v>698</v>
      </c>
      <c r="AD64" s="6"/>
      <c r="AE64" s="6"/>
      <c r="AF64" s="6"/>
      <c r="AG64" s="6" t="s">
        <v>699</v>
      </c>
      <c r="AH64" s="6" t="s">
        <v>700</v>
      </c>
      <c r="AI64" s="7"/>
      <c r="AJ64" s="7"/>
      <c r="AK64" s="7"/>
      <c r="AL64" s="7"/>
      <c r="AM64" s="7"/>
      <c r="AN64" s="7"/>
      <c r="AO64" s="7"/>
      <c r="AP64" s="7"/>
      <c r="AQ64" s="7"/>
      <c r="AR64" s="7"/>
      <c r="AS64" s="7"/>
      <c r="AT64" s="7"/>
      <c r="AU64" s="7"/>
      <c r="AV64" s="7"/>
      <c r="AW64" s="7"/>
      <c r="AX64" s="7"/>
      <c r="AY64" s="7"/>
      <c r="AZ64" s="7"/>
    </row>
    <row r="65" customFormat="false" ht="150" hidden="false" customHeight="true" outlineLevel="0" collapsed="false">
      <c r="A65" s="6" t="s">
        <v>701</v>
      </c>
      <c r="B65" s="6" t="s">
        <v>594</v>
      </c>
      <c r="C65" s="6" t="s">
        <v>76</v>
      </c>
      <c r="D65" s="6" t="s">
        <v>77</v>
      </c>
      <c r="E65" s="6" t="s">
        <v>78</v>
      </c>
      <c r="F65" s="6"/>
      <c r="G65" s="6" t="s">
        <v>79</v>
      </c>
      <c r="H65" s="6" t="s">
        <v>372</v>
      </c>
      <c r="I65" s="6" t="s">
        <v>81</v>
      </c>
      <c r="J65" s="6" t="s">
        <v>595</v>
      </c>
      <c r="K65" s="6" t="s">
        <v>702</v>
      </c>
      <c r="L65" s="6" t="s">
        <v>703</v>
      </c>
      <c r="M65" s="6" t="s">
        <v>704</v>
      </c>
      <c r="N65" s="6"/>
      <c r="O65" s="6"/>
      <c r="P65" s="6" t="s">
        <v>156</v>
      </c>
      <c r="Q65" s="6"/>
      <c r="R65" s="6" t="s">
        <v>157</v>
      </c>
      <c r="S65" s="6" t="s">
        <v>134</v>
      </c>
      <c r="T65" s="6" t="s">
        <v>83</v>
      </c>
      <c r="U65" s="6"/>
      <c r="V65" s="6" t="s">
        <v>705</v>
      </c>
      <c r="W65" s="6" t="s">
        <v>706</v>
      </c>
      <c r="X65" s="6" t="s">
        <v>707</v>
      </c>
      <c r="Y65" s="6"/>
      <c r="Z65" s="6"/>
      <c r="AA65" s="6" t="s">
        <v>89</v>
      </c>
      <c r="AB65" s="6" t="s">
        <v>708</v>
      </c>
      <c r="AC65" s="6" t="s">
        <v>709</v>
      </c>
      <c r="AD65" s="6" t="s">
        <v>710</v>
      </c>
      <c r="AE65" s="6" t="s">
        <v>711</v>
      </c>
      <c r="AF65" s="6" t="s">
        <v>712</v>
      </c>
      <c r="AG65" s="6"/>
      <c r="AH65" s="6"/>
      <c r="AI65" s="7"/>
      <c r="AJ65" s="7"/>
      <c r="AK65" s="7"/>
      <c r="AL65" s="7"/>
      <c r="AM65" s="7"/>
      <c r="AN65" s="7"/>
      <c r="AO65" s="7"/>
      <c r="AP65" s="7"/>
      <c r="AQ65" s="7"/>
      <c r="AR65" s="7"/>
      <c r="AS65" s="7"/>
      <c r="AT65" s="7"/>
      <c r="AU65" s="7"/>
      <c r="AV65" s="7"/>
      <c r="AW65" s="7"/>
      <c r="AX65" s="7"/>
      <c r="AY65" s="7"/>
      <c r="AZ65" s="7"/>
    </row>
    <row r="66" customFormat="false" ht="150" hidden="false" customHeight="true" outlineLevel="0" collapsed="false">
      <c r="A66" s="6" t="s">
        <v>713</v>
      </c>
      <c r="B66" s="6" t="s">
        <v>594</v>
      </c>
      <c r="C66" s="6" t="s">
        <v>76</v>
      </c>
      <c r="D66" s="6" t="s">
        <v>77</v>
      </c>
      <c r="E66" s="6" t="s">
        <v>78</v>
      </c>
      <c r="F66" s="6"/>
      <c r="G66" s="6" t="s">
        <v>98</v>
      </c>
      <c r="H66" s="6" t="s">
        <v>372</v>
      </c>
      <c r="I66" s="6" t="s">
        <v>373</v>
      </c>
      <c r="J66" s="6" t="s">
        <v>660</v>
      </c>
      <c r="K66" s="6" t="s">
        <v>702</v>
      </c>
      <c r="L66" s="6" t="s">
        <v>703</v>
      </c>
      <c r="M66" s="6" t="s">
        <v>714</v>
      </c>
      <c r="N66" s="6" t="s">
        <v>715</v>
      </c>
      <c r="O66" s="6"/>
      <c r="P66" s="6" t="s">
        <v>156</v>
      </c>
      <c r="Q66" s="6"/>
      <c r="R66" s="6" t="s">
        <v>157</v>
      </c>
      <c r="S66" s="6" t="s">
        <v>716</v>
      </c>
      <c r="T66" s="6" t="s">
        <v>83</v>
      </c>
      <c r="U66" s="6"/>
      <c r="V66" s="6" t="s">
        <v>717</v>
      </c>
      <c r="W66" s="6" t="s">
        <v>718</v>
      </c>
      <c r="X66" s="6" t="s">
        <v>719</v>
      </c>
      <c r="Y66" s="6"/>
      <c r="Z66" s="6"/>
      <c r="AA66" s="6" t="s">
        <v>89</v>
      </c>
      <c r="AB66" s="6" t="s">
        <v>720</v>
      </c>
      <c r="AC66" s="6" t="s">
        <v>721</v>
      </c>
      <c r="AD66" s="6" t="s">
        <v>722</v>
      </c>
      <c r="AE66" s="6" t="s">
        <v>723</v>
      </c>
      <c r="AF66" s="6" t="s">
        <v>724</v>
      </c>
      <c r="AG66" s="6"/>
      <c r="AH66" s="6"/>
      <c r="AI66" s="7"/>
      <c r="AJ66" s="7"/>
      <c r="AK66" s="7"/>
      <c r="AL66" s="7"/>
      <c r="AM66" s="7"/>
      <c r="AN66" s="7"/>
      <c r="AO66" s="7"/>
      <c r="AP66" s="7"/>
      <c r="AQ66" s="7"/>
      <c r="AR66" s="7"/>
      <c r="AS66" s="7"/>
      <c r="AT66" s="7"/>
      <c r="AU66" s="7"/>
      <c r="AV66" s="7"/>
      <c r="AW66" s="7"/>
      <c r="AX66" s="7"/>
      <c r="AY66" s="7"/>
      <c r="AZ66" s="7"/>
    </row>
    <row r="67" customFormat="false" ht="150" hidden="false" customHeight="true" outlineLevel="0" collapsed="false">
      <c r="A67" s="6" t="s">
        <v>725</v>
      </c>
      <c r="B67" s="6" t="s">
        <v>594</v>
      </c>
      <c r="C67" s="6" t="s">
        <v>76</v>
      </c>
      <c r="D67" s="6" t="s">
        <v>77</v>
      </c>
      <c r="E67" s="6" t="s">
        <v>78</v>
      </c>
      <c r="F67" s="6"/>
      <c r="G67" s="6" t="s">
        <v>165</v>
      </c>
      <c r="H67" s="6" t="s">
        <v>491</v>
      </c>
      <c r="I67" s="6" t="s">
        <v>492</v>
      </c>
      <c r="J67" s="6" t="s">
        <v>621</v>
      </c>
      <c r="K67" s="6" t="s">
        <v>702</v>
      </c>
      <c r="L67" s="6" t="s">
        <v>703</v>
      </c>
      <c r="M67" s="6" t="s">
        <v>726</v>
      </c>
      <c r="N67" s="6" t="s">
        <v>493</v>
      </c>
      <c r="O67" s="6"/>
      <c r="P67" s="6" t="s">
        <v>156</v>
      </c>
      <c r="Q67" s="6"/>
      <c r="R67" s="6" t="s">
        <v>157</v>
      </c>
      <c r="S67" s="6" t="s">
        <v>727</v>
      </c>
      <c r="T67" s="6" t="s">
        <v>83</v>
      </c>
      <c r="U67" s="6"/>
      <c r="V67" s="6" t="s">
        <v>728</v>
      </c>
      <c r="W67" s="6" t="s">
        <v>729</v>
      </c>
      <c r="X67" s="6" t="s">
        <v>730</v>
      </c>
      <c r="Y67" s="6"/>
      <c r="Z67" s="6"/>
      <c r="AA67" s="6" t="s">
        <v>89</v>
      </c>
      <c r="AB67" s="6" t="s">
        <v>731</v>
      </c>
      <c r="AC67" s="6" t="s">
        <v>732</v>
      </c>
      <c r="AD67" s="6" t="s">
        <v>733</v>
      </c>
      <c r="AE67" s="6" t="s">
        <v>734</v>
      </c>
      <c r="AF67" s="6"/>
      <c r="AG67" s="6"/>
      <c r="AH67" s="6"/>
      <c r="AI67" s="7"/>
      <c r="AJ67" s="7"/>
      <c r="AK67" s="7"/>
      <c r="AL67" s="7"/>
      <c r="AM67" s="7"/>
      <c r="AN67" s="7"/>
      <c r="AO67" s="7"/>
      <c r="AP67" s="7"/>
      <c r="AQ67" s="7"/>
      <c r="AR67" s="7"/>
      <c r="AS67" s="7"/>
      <c r="AT67" s="7"/>
      <c r="AU67" s="7"/>
      <c r="AV67" s="7"/>
      <c r="AW67" s="7"/>
      <c r="AX67" s="7"/>
      <c r="AY67" s="7"/>
      <c r="AZ67" s="7"/>
    </row>
    <row r="68" customFormat="false" ht="150" hidden="false" customHeight="true" outlineLevel="0" collapsed="false">
      <c r="A68" s="6" t="s">
        <v>735</v>
      </c>
      <c r="B68" s="6" t="s">
        <v>594</v>
      </c>
      <c r="C68" s="6" t="s">
        <v>76</v>
      </c>
      <c r="D68" s="6" t="s">
        <v>96</v>
      </c>
      <c r="E68" s="6" t="s">
        <v>97</v>
      </c>
      <c r="F68" s="6"/>
      <c r="G68" s="6" t="s">
        <v>79</v>
      </c>
      <c r="H68" s="6" t="s">
        <v>372</v>
      </c>
      <c r="I68" s="6" t="s">
        <v>81</v>
      </c>
      <c r="J68" s="6" t="s">
        <v>595</v>
      </c>
      <c r="K68" s="6" t="s">
        <v>736</v>
      </c>
      <c r="L68" s="6" t="s">
        <v>737</v>
      </c>
      <c r="M68" s="6" t="s">
        <v>738</v>
      </c>
      <c r="N68" s="6"/>
      <c r="O68" s="6"/>
      <c r="P68" s="6" t="s">
        <v>156</v>
      </c>
      <c r="Q68" s="6"/>
      <c r="R68" s="6" t="s">
        <v>191</v>
      </c>
      <c r="S68" s="6" t="s">
        <v>739</v>
      </c>
      <c r="T68" s="6" t="s">
        <v>83</v>
      </c>
      <c r="U68" s="6"/>
      <c r="V68" s="6" t="s">
        <v>740</v>
      </c>
      <c r="W68" s="6" t="s">
        <v>741</v>
      </c>
      <c r="X68" s="6" t="s">
        <v>742</v>
      </c>
      <c r="Y68" s="6"/>
      <c r="Z68" s="6"/>
      <c r="AA68" s="6" t="s">
        <v>89</v>
      </c>
      <c r="AB68" s="6" t="s">
        <v>743</v>
      </c>
      <c r="AC68" s="6" t="s">
        <v>744</v>
      </c>
      <c r="AD68" s="6" t="s">
        <v>745</v>
      </c>
      <c r="AE68" s="6" t="s">
        <v>746</v>
      </c>
      <c r="AF68" s="6" t="s">
        <v>747</v>
      </c>
      <c r="AG68" s="6"/>
      <c r="AH68" s="6"/>
      <c r="AI68" s="7"/>
      <c r="AJ68" s="7"/>
      <c r="AK68" s="7"/>
      <c r="AL68" s="7"/>
      <c r="AM68" s="7"/>
      <c r="AN68" s="7"/>
      <c r="AO68" s="7"/>
      <c r="AP68" s="7"/>
      <c r="AQ68" s="7"/>
      <c r="AR68" s="7"/>
      <c r="AS68" s="7"/>
      <c r="AT68" s="7"/>
      <c r="AU68" s="7"/>
      <c r="AV68" s="7"/>
      <c r="AW68" s="7"/>
      <c r="AX68" s="7"/>
      <c r="AY68" s="7"/>
      <c r="AZ68" s="7"/>
    </row>
    <row r="69" customFormat="false" ht="150" hidden="false" customHeight="true" outlineLevel="0" collapsed="false">
      <c r="A69" s="6" t="s">
        <v>748</v>
      </c>
      <c r="B69" s="6" t="s">
        <v>594</v>
      </c>
      <c r="C69" s="6" t="s">
        <v>76</v>
      </c>
      <c r="D69" s="6" t="s">
        <v>96</v>
      </c>
      <c r="E69" s="6" t="s">
        <v>97</v>
      </c>
      <c r="F69" s="6"/>
      <c r="G69" s="6" t="s">
        <v>98</v>
      </c>
      <c r="H69" s="6" t="s">
        <v>491</v>
      </c>
      <c r="I69" s="6" t="s">
        <v>492</v>
      </c>
      <c r="J69" s="6" t="s">
        <v>621</v>
      </c>
      <c r="K69" s="6" t="s">
        <v>736</v>
      </c>
      <c r="L69" s="6" t="s">
        <v>737</v>
      </c>
      <c r="M69" s="6" t="s">
        <v>749</v>
      </c>
      <c r="N69" s="6"/>
      <c r="O69" s="6"/>
      <c r="P69" s="6" t="s">
        <v>156</v>
      </c>
      <c r="Q69" s="6"/>
      <c r="R69" s="6" t="s">
        <v>191</v>
      </c>
      <c r="S69" s="6" t="s">
        <v>612</v>
      </c>
      <c r="T69" s="6" t="s">
        <v>83</v>
      </c>
      <c r="U69" s="6"/>
      <c r="V69" s="6" t="s">
        <v>750</v>
      </c>
      <c r="W69" s="6" t="s">
        <v>751</v>
      </c>
      <c r="X69" s="6" t="s">
        <v>752</v>
      </c>
      <c r="Y69" s="6"/>
      <c r="Z69" s="6"/>
      <c r="AA69" s="6" t="s">
        <v>89</v>
      </c>
      <c r="AB69" s="6" t="s">
        <v>753</v>
      </c>
      <c r="AC69" s="6" t="s">
        <v>754</v>
      </c>
      <c r="AD69" s="6" t="s">
        <v>755</v>
      </c>
      <c r="AE69" s="6" t="s">
        <v>756</v>
      </c>
      <c r="AF69" s="6"/>
      <c r="AG69" s="6"/>
      <c r="AH69" s="6"/>
      <c r="AI69" s="7"/>
      <c r="AJ69" s="7"/>
      <c r="AK69" s="7"/>
      <c r="AL69" s="7"/>
      <c r="AM69" s="7"/>
      <c r="AN69" s="7"/>
      <c r="AO69" s="7"/>
      <c r="AP69" s="7"/>
      <c r="AQ69" s="7"/>
      <c r="AR69" s="7"/>
      <c r="AS69" s="7"/>
      <c r="AT69" s="7"/>
      <c r="AU69" s="7"/>
      <c r="AV69" s="7"/>
      <c r="AW69" s="7"/>
      <c r="AX69" s="7"/>
      <c r="AY69" s="7"/>
      <c r="AZ69" s="7"/>
    </row>
    <row r="70" customFormat="false" ht="150" hidden="false" customHeight="true" outlineLevel="0" collapsed="false">
      <c r="A70" s="6" t="s">
        <v>757</v>
      </c>
      <c r="B70" s="6" t="s">
        <v>594</v>
      </c>
      <c r="C70" s="6" t="s">
        <v>76</v>
      </c>
      <c r="D70" s="6" t="s">
        <v>96</v>
      </c>
      <c r="E70" s="6" t="s">
        <v>97</v>
      </c>
      <c r="F70" s="6"/>
      <c r="G70" s="6" t="s">
        <v>165</v>
      </c>
      <c r="H70" s="6" t="s">
        <v>408</v>
      </c>
      <c r="I70" s="6" t="s">
        <v>409</v>
      </c>
      <c r="J70" s="6" t="s">
        <v>660</v>
      </c>
      <c r="K70" s="6" t="s">
        <v>736</v>
      </c>
      <c r="L70" s="6" t="s">
        <v>737</v>
      </c>
      <c r="M70" s="6" t="s">
        <v>758</v>
      </c>
      <c r="N70" s="6"/>
      <c r="O70" s="6"/>
      <c r="P70" s="6" t="s">
        <v>156</v>
      </c>
      <c r="Q70" s="6"/>
      <c r="R70" s="6" t="s">
        <v>191</v>
      </c>
      <c r="S70" s="6" t="s">
        <v>386</v>
      </c>
      <c r="T70" s="6" t="s">
        <v>83</v>
      </c>
      <c r="U70" s="6"/>
      <c r="V70" s="6" t="s">
        <v>759</v>
      </c>
      <c r="W70" s="6" t="s">
        <v>760</v>
      </c>
      <c r="X70" s="6" t="s">
        <v>761</v>
      </c>
      <c r="Y70" s="6"/>
      <c r="Z70" s="6"/>
      <c r="AA70" s="6" t="s">
        <v>89</v>
      </c>
      <c r="AB70" s="6" t="s">
        <v>762</v>
      </c>
      <c r="AC70" s="6" t="s">
        <v>763</v>
      </c>
      <c r="AD70" s="6"/>
      <c r="AE70" s="6"/>
      <c r="AF70" s="6"/>
      <c r="AG70" s="6" t="s">
        <v>764</v>
      </c>
      <c r="AH70" s="6" t="s">
        <v>765</v>
      </c>
      <c r="AI70" s="7"/>
      <c r="AJ70" s="7"/>
      <c r="AK70" s="7"/>
      <c r="AL70" s="7"/>
      <c r="AM70" s="7"/>
      <c r="AN70" s="7"/>
      <c r="AO70" s="7"/>
      <c r="AP70" s="7"/>
      <c r="AQ70" s="7"/>
      <c r="AR70" s="7"/>
      <c r="AS70" s="7"/>
      <c r="AT70" s="7"/>
      <c r="AU70" s="7"/>
      <c r="AV70" s="7"/>
      <c r="AW70" s="7"/>
      <c r="AX70" s="7"/>
      <c r="AY70" s="7"/>
      <c r="AZ70" s="7"/>
    </row>
    <row r="71" customFormat="false" ht="150" hidden="false" customHeight="true" outlineLevel="0" collapsed="false">
      <c r="A71" s="6" t="s">
        <v>766</v>
      </c>
      <c r="B71" s="6" t="s">
        <v>594</v>
      </c>
      <c r="C71" s="6" t="s">
        <v>76</v>
      </c>
      <c r="D71" s="6" t="s">
        <v>96</v>
      </c>
      <c r="E71" s="6" t="s">
        <v>97</v>
      </c>
      <c r="F71" s="6"/>
      <c r="G71" s="6" t="s">
        <v>79</v>
      </c>
      <c r="H71" s="6" t="s">
        <v>396</v>
      </c>
      <c r="I71" s="6" t="s">
        <v>81</v>
      </c>
      <c r="J71" s="6" t="s">
        <v>595</v>
      </c>
      <c r="K71" s="6" t="s">
        <v>767</v>
      </c>
      <c r="L71" s="6" t="s">
        <v>768</v>
      </c>
      <c r="M71" s="6" t="s">
        <v>769</v>
      </c>
      <c r="N71" s="6"/>
      <c r="O71" s="6"/>
      <c r="P71" s="6" t="s">
        <v>770</v>
      </c>
      <c r="Q71" s="6" t="s">
        <v>771</v>
      </c>
      <c r="R71" s="6" t="s">
        <v>772</v>
      </c>
      <c r="S71" s="6" t="s">
        <v>99</v>
      </c>
      <c r="T71" s="6" t="s">
        <v>83</v>
      </c>
      <c r="U71" s="6"/>
      <c r="V71" s="6" t="s">
        <v>100</v>
      </c>
      <c r="W71" s="6" t="s">
        <v>773</v>
      </c>
      <c r="X71" s="6" t="s">
        <v>774</v>
      </c>
      <c r="Y71" s="6"/>
      <c r="Z71" s="6"/>
      <c r="AA71" s="6" t="s">
        <v>89</v>
      </c>
      <c r="AB71" s="6" t="s">
        <v>775</v>
      </c>
      <c r="AC71" s="6" t="s">
        <v>776</v>
      </c>
      <c r="AD71" s="6" t="s">
        <v>777</v>
      </c>
      <c r="AE71" s="6" t="s">
        <v>778</v>
      </c>
      <c r="AF71" s="6" t="s">
        <v>779</v>
      </c>
      <c r="AG71" s="6"/>
      <c r="AH71" s="6"/>
      <c r="AI71" s="7"/>
      <c r="AJ71" s="7"/>
      <c r="AK71" s="7"/>
      <c r="AL71" s="7"/>
      <c r="AM71" s="7"/>
      <c r="AN71" s="7"/>
      <c r="AO71" s="7"/>
      <c r="AP71" s="7"/>
      <c r="AQ71" s="7"/>
      <c r="AR71" s="7"/>
      <c r="AS71" s="7"/>
      <c r="AT71" s="7"/>
      <c r="AU71" s="7"/>
      <c r="AV71" s="7"/>
      <c r="AW71" s="7"/>
      <c r="AX71" s="7"/>
      <c r="AY71" s="7"/>
      <c r="AZ71" s="7"/>
    </row>
    <row r="72" customFormat="false" ht="150" hidden="false" customHeight="true" outlineLevel="0" collapsed="false">
      <c r="A72" s="6" t="s">
        <v>780</v>
      </c>
      <c r="B72" s="6" t="s">
        <v>594</v>
      </c>
      <c r="C72" s="6" t="s">
        <v>76</v>
      </c>
      <c r="D72" s="6" t="s">
        <v>96</v>
      </c>
      <c r="E72" s="6" t="s">
        <v>97</v>
      </c>
      <c r="F72" s="6"/>
      <c r="G72" s="6" t="s">
        <v>98</v>
      </c>
      <c r="H72" s="6" t="s">
        <v>781</v>
      </c>
      <c r="I72" s="6" t="s">
        <v>373</v>
      </c>
      <c r="J72" s="6" t="s">
        <v>660</v>
      </c>
      <c r="K72" s="6" t="s">
        <v>767</v>
      </c>
      <c r="L72" s="6" t="s">
        <v>768</v>
      </c>
      <c r="M72" s="6" t="s">
        <v>782</v>
      </c>
      <c r="N72" s="6"/>
      <c r="O72" s="6"/>
      <c r="P72" s="6" t="s">
        <v>770</v>
      </c>
      <c r="Q72" s="6" t="s">
        <v>771</v>
      </c>
      <c r="R72" s="6" t="s">
        <v>772</v>
      </c>
      <c r="S72" s="6" t="s">
        <v>783</v>
      </c>
      <c r="T72" s="6" t="s">
        <v>83</v>
      </c>
      <c r="U72" s="6"/>
      <c r="V72" s="6" t="s">
        <v>784</v>
      </c>
      <c r="W72" s="6" t="s">
        <v>785</v>
      </c>
      <c r="X72" s="6" t="s">
        <v>786</v>
      </c>
      <c r="Y72" s="6"/>
      <c r="Z72" s="6"/>
      <c r="AA72" s="6" t="s">
        <v>89</v>
      </c>
      <c r="AB72" s="6" t="s">
        <v>787</v>
      </c>
      <c r="AC72" s="6" t="s">
        <v>788</v>
      </c>
      <c r="AD72" s="6" t="s">
        <v>789</v>
      </c>
      <c r="AE72" s="6" t="s">
        <v>790</v>
      </c>
      <c r="AF72" s="6" t="s">
        <v>791</v>
      </c>
      <c r="AG72" s="6"/>
      <c r="AH72" s="6"/>
      <c r="AI72" s="7"/>
      <c r="AJ72" s="7"/>
      <c r="AK72" s="7"/>
      <c r="AL72" s="7"/>
      <c r="AM72" s="7"/>
      <c r="AN72" s="7"/>
      <c r="AO72" s="7"/>
      <c r="AP72" s="7"/>
      <c r="AQ72" s="7"/>
      <c r="AR72" s="7"/>
      <c r="AS72" s="7"/>
      <c r="AT72" s="7"/>
      <c r="AU72" s="7"/>
      <c r="AV72" s="7"/>
      <c r="AW72" s="7"/>
      <c r="AX72" s="7"/>
      <c r="AY72" s="7"/>
      <c r="AZ72" s="7"/>
    </row>
    <row r="73" customFormat="false" ht="150" hidden="false" customHeight="true" outlineLevel="0" collapsed="false">
      <c r="A73" s="6" t="s">
        <v>792</v>
      </c>
      <c r="B73" s="6" t="s">
        <v>594</v>
      </c>
      <c r="C73" s="6" t="s">
        <v>76</v>
      </c>
      <c r="D73" s="6" t="s">
        <v>96</v>
      </c>
      <c r="E73" s="6" t="s">
        <v>97</v>
      </c>
      <c r="F73" s="6"/>
      <c r="G73" s="6" t="s">
        <v>165</v>
      </c>
      <c r="H73" s="6" t="s">
        <v>408</v>
      </c>
      <c r="I73" s="6" t="s">
        <v>409</v>
      </c>
      <c r="J73" s="6" t="s">
        <v>660</v>
      </c>
      <c r="K73" s="6" t="s">
        <v>767</v>
      </c>
      <c r="L73" s="6" t="s">
        <v>768</v>
      </c>
      <c r="M73" s="6" t="s">
        <v>793</v>
      </c>
      <c r="N73" s="6"/>
      <c r="O73" s="6"/>
      <c r="P73" s="6" t="s">
        <v>770</v>
      </c>
      <c r="Q73" s="6" t="s">
        <v>771</v>
      </c>
      <c r="R73" s="6" t="s">
        <v>772</v>
      </c>
      <c r="S73" s="6" t="s">
        <v>794</v>
      </c>
      <c r="T73" s="6" t="s">
        <v>83</v>
      </c>
      <c r="U73" s="6"/>
      <c r="V73" s="6" t="s">
        <v>795</v>
      </c>
      <c r="W73" s="6" t="s">
        <v>796</v>
      </c>
      <c r="X73" s="6" t="s">
        <v>797</v>
      </c>
      <c r="Y73" s="6"/>
      <c r="Z73" s="6"/>
      <c r="AA73" s="6" t="s">
        <v>89</v>
      </c>
      <c r="AB73" s="6" t="s">
        <v>798</v>
      </c>
      <c r="AC73" s="6" t="s">
        <v>799</v>
      </c>
      <c r="AD73" s="6"/>
      <c r="AE73" s="6"/>
      <c r="AF73" s="6"/>
      <c r="AG73" s="6" t="s">
        <v>800</v>
      </c>
      <c r="AH73" s="6" t="s">
        <v>801</v>
      </c>
      <c r="AI73" s="7"/>
      <c r="AJ73" s="7"/>
      <c r="AK73" s="7"/>
      <c r="AL73" s="7"/>
      <c r="AM73" s="7"/>
      <c r="AN73" s="7"/>
      <c r="AO73" s="7"/>
      <c r="AP73" s="7"/>
      <c r="AQ73" s="7"/>
      <c r="AR73" s="7"/>
      <c r="AS73" s="7"/>
      <c r="AT73" s="7"/>
      <c r="AU73" s="7"/>
      <c r="AV73" s="7"/>
      <c r="AW73" s="7"/>
      <c r="AX73" s="7"/>
      <c r="AY73" s="7"/>
      <c r="AZ73" s="7"/>
    </row>
    <row r="74" customFormat="false" ht="150" hidden="false" customHeight="true" outlineLevel="0" collapsed="false">
      <c r="A74" s="6" t="s">
        <v>802</v>
      </c>
      <c r="B74" s="6" t="s">
        <v>594</v>
      </c>
      <c r="C74" s="6" t="s">
        <v>76</v>
      </c>
      <c r="D74" s="6" t="s">
        <v>110</v>
      </c>
      <c r="E74" s="6" t="s">
        <v>111</v>
      </c>
      <c r="F74" s="6"/>
      <c r="G74" s="6" t="s">
        <v>79</v>
      </c>
      <c r="H74" s="6" t="s">
        <v>372</v>
      </c>
      <c r="I74" s="6" t="s">
        <v>81</v>
      </c>
      <c r="J74" s="6" t="s">
        <v>595</v>
      </c>
      <c r="K74" s="6" t="s">
        <v>803</v>
      </c>
      <c r="L74" s="6" t="s">
        <v>804</v>
      </c>
      <c r="M74" s="6" t="s">
        <v>805</v>
      </c>
      <c r="N74" s="6"/>
      <c r="O74" s="6"/>
      <c r="P74" s="6" t="s">
        <v>156</v>
      </c>
      <c r="Q74" s="6" t="s">
        <v>283</v>
      </c>
      <c r="R74" s="6" t="s">
        <v>191</v>
      </c>
      <c r="S74" s="6" t="s">
        <v>112</v>
      </c>
      <c r="T74" s="6" t="s">
        <v>83</v>
      </c>
      <c r="U74" s="6"/>
      <c r="V74" s="6" t="s">
        <v>806</v>
      </c>
      <c r="W74" s="6" t="s">
        <v>807</v>
      </c>
      <c r="X74" s="6" t="s">
        <v>808</v>
      </c>
      <c r="Y74" s="6"/>
      <c r="Z74" s="6"/>
      <c r="AA74" s="6" t="s">
        <v>89</v>
      </c>
      <c r="AB74" s="6" t="s">
        <v>809</v>
      </c>
      <c r="AC74" s="6" t="s">
        <v>810</v>
      </c>
      <c r="AD74" s="6" t="s">
        <v>811</v>
      </c>
      <c r="AE74" s="6" t="s">
        <v>812</v>
      </c>
      <c r="AF74" s="6" t="s">
        <v>813</v>
      </c>
      <c r="AG74" s="6"/>
      <c r="AH74" s="6"/>
      <c r="AI74" s="7"/>
      <c r="AJ74" s="7"/>
      <c r="AK74" s="7"/>
      <c r="AL74" s="7"/>
      <c r="AM74" s="7"/>
      <c r="AN74" s="7"/>
      <c r="AO74" s="7"/>
      <c r="AP74" s="7"/>
      <c r="AQ74" s="7"/>
      <c r="AR74" s="7"/>
      <c r="AS74" s="7"/>
      <c r="AT74" s="7"/>
      <c r="AU74" s="7"/>
      <c r="AV74" s="7"/>
      <c r="AW74" s="7"/>
      <c r="AX74" s="7"/>
      <c r="AY74" s="7"/>
      <c r="AZ74" s="7"/>
    </row>
    <row r="75" customFormat="false" ht="150" hidden="false" customHeight="true" outlineLevel="0" collapsed="false">
      <c r="A75" s="6" t="s">
        <v>814</v>
      </c>
      <c r="B75" s="6" t="s">
        <v>594</v>
      </c>
      <c r="C75" s="6" t="s">
        <v>76</v>
      </c>
      <c r="D75" s="6" t="s">
        <v>110</v>
      </c>
      <c r="E75" s="6" t="s">
        <v>111</v>
      </c>
      <c r="F75" s="6"/>
      <c r="G75" s="6" t="s">
        <v>98</v>
      </c>
      <c r="H75" s="6" t="s">
        <v>491</v>
      </c>
      <c r="I75" s="6" t="s">
        <v>492</v>
      </c>
      <c r="J75" s="6" t="s">
        <v>660</v>
      </c>
      <c r="K75" s="6" t="s">
        <v>803</v>
      </c>
      <c r="L75" s="6" t="s">
        <v>804</v>
      </c>
      <c r="M75" s="6" t="s">
        <v>815</v>
      </c>
      <c r="N75" s="6"/>
      <c r="O75" s="6"/>
      <c r="P75" s="6" t="s">
        <v>156</v>
      </c>
      <c r="Q75" s="6" t="s">
        <v>283</v>
      </c>
      <c r="R75" s="6" t="s">
        <v>191</v>
      </c>
      <c r="S75" s="6" t="s">
        <v>421</v>
      </c>
      <c r="T75" s="6" t="s">
        <v>83</v>
      </c>
      <c r="U75" s="6"/>
      <c r="V75" s="6" t="s">
        <v>816</v>
      </c>
      <c r="W75" s="6" t="s">
        <v>817</v>
      </c>
      <c r="X75" s="6" t="s">
        <v>818</v>
      </c>
      <c r="Y75" s="6"/>
      <c r="Z75" s="6"/>
      <c r="AA75" s="6" t="s">
        <v>89</v>
      </c>
      <c r="AB75" s="6" t="s">
        <v>819</v>
      </c>
      <c r="AC75" s="6" t="s">
        <v>820</v>
      </c>
      <c r="AD75" s="6" t="s">
        <v>821</v>
      </c>
      <c r="AE75" s="6" t="s">
        <v>822</v>
      </c>
      <c r="AF75" s="6"/>
      <c r="AG75" s="6"/>
      <c r="AH75" s="6"/>
      <c r="AI75" s="7"/>
      <c r="AJ75" s="7"/>
      <c r="AK75" s="7"/>
      <c r="AL75" s="7"/>
      <c r="AM75" s="7"/>
      <c r="AN75" s="7"/>
      <c r="AO75" s="7"/>
      <c r="AP75" s="7"/>
      <c r="AQ75" s="7"/>
      <c r="AR75" s="7"/>
      <c r="AS75" s="7"/>
      <c r="AT75" s="7"/>
      <c r="AU75" s="7"/>
      <c r="AV75" s="7"/>
      <c r="AW75" s="7"/>
      <c r="AX75" s="7"/>
      <c r="AY75" s="7"/>
      <c r="AZ75" s="7"/>
    </row>
    <row r="76" customFormat="false" ht="150" hidden="false" customHeight="true" outlineLevel="0" collapsed="false">
      <c r="A76" s="6" t="s">
        <v>823</v>
      </c>
      <c r="B76" s="6" t="s">
        <v>594</v>
      </c>
      <c r="C76" s="6" t="s">
        <v>76</v>
      </c>
      <c r="D76" s="6" t="s">
        <v>110</v>
      </c>
      <c r="E76" s="6" t="s">
        <v>111</v>
      </c>
      <c r="F76" s="6"/>
      <c r="G76" s="6" t="s">
        <v>165</v>
      </c>
      <c r="H76" s="6" t="s">
        <v>408</v>
      </c>
      <c r="I76" s="6" t="s">
        <v>409</v>
      </c>
      <c r="J76" s="6" t="s">
        <v>660</v>
      </c>
      <c r="K76" s="6" t="s">
        <v>803</v>
      </c>
      <c r="L76" s="6" t="s">
        <v>804</v>
      </c>
      <c r="M76" s="6" t="s">
        <v>824</v>
      </c>
      <c r="N76" s="6"/>
      <c r="O76" s="6"/>
      <c r="P76" s="6" t="s">
        <v>156</v>
      </c>
      <c r="Q76" s="6" t="s">
        <v>283</v>
      </c>
      <c r="R76" s="6" t="s">
        <v>191</v>
      </c>
      <c r="S76" s="6" t="s">
        <v>650</v>
      </c>
      <c r="T76" s="6" t="s">
        <v>83</v>
      </c>
      <c r="U76" s="6"/>
      <c r="V76" s="6" t="s">
        <v>825</v>
      </c>
      <c r="W76" s="6" t="s">
        <v>826</v>
      </c>
      <c r="X76" s="6" t="s">
        <v>827</v>
      </c>
      <c r="Y76" s="6"/>
      <c r="Z76" s="6"/>
      <c r="AA76" s="6" t="s">
        <v>89</v>
      </c>
      <c r="AB76" s="6" t="s">
        <v>828</v>
      </c>
      <c r="AC76" s="6" t="s">
        <v>829</v>
      </c>
      <c r="AD76" s="6"/>
      <c r="AE76" s="6"/>
      <c r="AF76" s="6"/>
      <c r="AG76" s="6" t="s">
        <v>830</v>
      </c>
      <c r="AH76" s="6" t="s">
        <v>831</v>
      </c>
      <c r="AI76" s="7"/>
      <c r="AJ76" s="7"/>
      <c r="AK76" s="7"/>
      <c r="AL76" s="7"/>
      <c r="AM76" s="7"/>
      <c r="AN76" s="7"/>
      <c r="AO76" s="7"/>
      <c r="AP76" s="7"/>
      <c r="AQ76" s="7"/>
      <c r="AR76" s="7"/>
      <c r="AS76" s="7"/>
      <c r="AT76" s="7"/>
      <c r="AU76" s="7"/>
      <c r="AV76" s="7"/>
      <c r="AW76" s="7"/>
      <c r="AX76" s="7"/>
      <c r="AY76" s="7"/>
      <c r="AZ76" s="7"/>
    </row>
    <row r="77" customFormat="false" ht="150" hidden="false" customHeight="true" outlineLevel="0" collapsed="false">
      <c r="A77" s="6" t="s">
        <v>832</v>
      </c>
      <c r="B77" s="6" t="s">
        <v>594</v>
      </c>
      <c r="C77" s="6" t="s">
        <v>76</v>
      </c>
      <c r="D77" s="6" t="s">
        <v>110</v>
      </c>
      <c r="E77" s="6" t="s">
        <v>111</v>
      </c>
      <c r="F77" s="6"/>
      <c r="G77" s="6" t="s">
        <v>79</v>
      </c>
      <c r="H77" s="6" t="s">
        <v>372</v>
      </c>
      <c r="I77" s="6" t="s">
        <v>81</v>
      </c>
      <c r="J77" s="6" t="s">
        <v>595</v>
      </c>
      <c r="K77" s="6" t="s">
        <v>833</v>
      </c>
      <c r="L77" s="6" t="s">
        <v>834</v>
      </c>
      <c r="M77" s="6" t="s">
        <v>835</v>
      </c>
      <c r="N77" s="6"/>
      <c r="O77" s="6"/>
      <c r="P77" s="6" t="s">
        <v>156</v>
      </c>
      <c r="Q77" s="6" t="s">
        <v>283</v>
      </c>
      <c r="R77" s="6" t="s">
        <v>191</v>
      </c>
      <c r="S77" s="6" t="s">
        <v>836</v>
      </c>
      <c r="T77" s="6" t="s">
        <v>83</v>
      </c>
      <c r="U77" s="6"/>
      <c r="V77" s="6" t="s">
        <v>837</v>
      </c>
      <c r="W77" s="6" t="s">
        <v>838</v>
      </c>
      <c r="X77" s="6" t="s">
        <v>839</v>
      </c>
      <c r="Y77" s="6"/>
      <c r="Z77" s="6"/>
      <c r="AA77" s="6" t="s">
        <v>89</v>
      </c>
      <c r="AB77" s="6" t="s">
        <v>840</v>
      </c>
      <c r="AC77" s="6" t="s">
        <v>841</v>
      </c>
      <c r="AD77" s="6" t="s">
        <v>842</v>
      </c>
      <c r="AE77" s="6" t="s">
        <v>843</v>
      </c>
      <c r="AF77" s="6" t="s">
        <v>844</v>
      </c>
      <c r="AG77" s="6"/>
      <c r="AH77" s="6"/>
      <c r="AI77" s="7"/>
      <c r="AJ77" s="7"/>
      <c r="AK77" s="7"/>
      <c r="AL77" s="7"/>
      <c r="AM77" s="7"/>
      <c r="AN77" s="7"/>
      <c r="AO77" s="7"/>
      <c r="AP77" s="7"/>
      <c r="AQ77" s="7"/>
      <c r="AR77" s="7"/>
      <c r="AS77" s="7"/>
      <c r="AT77" s="7"/>
      <c r="AU77" s="7"/>
      <c r="AV77" s="7"/>
      <c r="AW77" s="7"/>
      <c r="AX77" s="7"/>
      <c r="AY77" s="7"/>
      <c r="AZ77" s="7"/>
    </row>
    <row r="78" customFormat="false" ht="150" hidden="false" customHeight="true" outlineLevel="0" collapsed="false">
      <c r="A78" s="6" t="s">
        <v>845</v>
      </c>
      <c r="B78" s="6" t="s">
        <v>594</v>
      </c>
      <c r="C78" s="6" t="s">
        <v>76</v>
      </c>
      <c r="D78" s="6" t="s">
        <v>110</v>
      </c>
      <c r="E78" s="6" t="s">
        <v>111</v>
      </c>
      <c r="F78" s="6"/>
      <c r="G78" s="6" t="s">
        <v>98</v>
      </c>
      <c r="H78" s="6" t="s">
        <v>372</v>
      </c>
      <c r="I78" s="6" t="s">
        <v>373</v>
      </c>
      <c r="J78" s="6" t="s">
        <v>660</v>
      </c>
      <c r="K78" s="6" t="s">
        <v>833</v>
      </c>
      <c r="L78" s="6" t="s">
        <v>834</v>
      </c>
      <c r="M78" s="6" t="s">
        <v>846</v>
      </c>
      <c r="N78" s="6"/>
      <c r="O78" s="6"/>
      <c r="P78" s="6" t="s">
        <v>156</v>
      </c>
      <c r="Q78" s="6" t="s">
        <v>283</v>
      </c>
      <c r="R78" s="6" t="s">
        <v>191</v>
      </c>
      <c r="S78" s="6" t="s">
        <v>727</v>
      </c>
      <c r="T78" s="6" t="s">
        <v>83</v>
      </c>
      <c r="U78" s="6"/>
      <c r="V78" s="6" t="s">
        <v>847</v>
      </c>
      <c r="W78" s="6" t="s">
        <v>848</v>
      </c>
      <c r="X78" s="6" t="s">
        <v>849</v>
      </c>
      <c r="Y78" s="6"/>
      <c r="Z78" s="6"/>
      <c r="AA78" s="6" t="s">
        <v>89</v>
      </c>
      <c r="AB78" s="6" t="s">
        <v>850</v>
      </c>
      <c r="AC78" s="6" t="s">
        <v>851</v>
      </c>
      <c r="AD78" s="6" t="s">
        <v>852</v>
      </c>
      <c r="AE78" s="6" t="s">
        <v>853</v>
      </c>
      <c r="AF78" s="6" t="s">
        <v>854</v>
      </c>
      <c r="AG78" s="6"/>
      <c r="AH78" s="6"/>
      <c r="AI78" s="7"/>
      <c r="AJ78" s="7"/>
      <c r="AK78" s="7"/>
      <c r="AL78" s="7"/>
      <c r="AM78" s="7"/>
      <c r="AN78" s="7"/>
      <c r="AO78" s="7"/>
      <c r="AP78" s="7"/>
      <c r="AQ78" s="7"/>
      <c r="AR78" s="7"/>
      <c r="AS78" s="7"/>
      <c r="AT78" s="7"/>
      <c r="AU78" s="7"/>
      <c r="AV78" s="7"/>
      <c r="AW78" s="7"/>
      <c r="AX78" s="7"/>
      <c r="AY78" s="7"/>
      <c r="AZ78" s="7"/>
    </row>
    <row r="79" customFormat="false" ht="150" hidden="false" customHeight="true" outlineLevel="0" collapsed="false">
      <c r="A79" s="6" t="s">
        <v>855</v>
      </c>
      <c r="B79" s="6" t="s">
        <v>594</v>
      </c>
      <c r="C79" s="6" t="s">
        <v>76</v>
      </c>
      <c r="D79" s="6" t="s">
        <v>110</v>
      </c>
      <c r="E79" s="6" t="s">
        <v>111</v>
      </c>
      <c r="F79" s="6"/>
      <c r="G79" s="6" t="s">
        <v>165</v>
      </c>
      <c r="H79" s="6" t="s">
        <v>408</v>
      </c>
      <c r="I79" s="6" t="s">
        <v>409</v>
      </c>
      <c r="J79" s="6" t="s">
        <v>660</v>
      </c>
      <c r="K79" s="6" t="s">
        <v>833</v>
      </c>
      <c r="L79" s="6" t="s">
        <v>834</v>
      </c>
      <c r="M79" s="6" t="s">
        <v>856</v>
      </c>
      <c r="N79" s="6"/>
      <c r="O79" s="6"/>
      <c r="P79" s="6" t="s">
        <v>156</v>
      </c>
      <c r="Q79" s="6" t="s">
        <v>283</v>
      </c>
      <c r="R79" s="6" t="s">
        <v>191</v>
      </c>
      <c r="S79" s="6" t="s">
        <v>857</v>
      </c>
      <c r="T79" s="6" t="s">
        <v>83</v>
      </c>
      <c r="U79" s="6"/>
      <c r="V79" s="6" t="s">
        <v>858</v>
      </c>
      <c r="W79" s="6" t="s">
        <v>859</v>
      </c>
      <c r="X79" s="6" t="s">
        <v>860</v>
      </c>
      <c r="Y79" s="6"/>
      <c r="Z79" s="6"/>
      <c r="AA79" s="6" t="s">
        <v>89</v>
      </c>
      <c r="AB79" s="6" t="s">
        <v>861</v>
      </c>
      <c r="AC79" s="6" t="s">
        <v>862</v>
      </c>
      <c r="AD79" s="6"/>
      <c r="AE79" s="6"/>
      <c r="AF79" s="6"/>
      <c r="AG79" s="6" t="s">
        <v>863</v>
      </c>
      <c r="AH79" s="6" t="s">
        <v>864</v>
      </c>
      <c r="AI79" s="7"/>
      <c r="AJ79" s="7"/>
      <c r="AK79" s="7"/>
      <c r="AL79" s="7"/>
      <c r="AM79" s="7"/>
      <c r="AN79" s="7"/>
      <c r="AO79" s="7"/>
      <c r="AP79" s="7"/>
      <c r="AQ79" s="7"/>
      <c r="AR79" s="7"/>
      <c r="AS79" s="7"/>
      <c r="AT79" s="7"/>
      <c r="AU79" s="7"/>
      <c r="AV79" s="7"/>
      <c r="AW79" s="7"/>
      <c r="AX79" s="7"/>
      <c r="AY79" s="7"/>
      <c r="AZ79" s="7"/>
    </row>
    <row r="80" customFormat="false" ht="150" hidden="false" customHeight="true" outlineLevel="0" collapsed="false">
      <c r="A80" s="6" t="s">
        <v>865</v>
      </c>
      <c r="B80" s="6" t="s">
        <v>594</v>
      </c>
      <c r="C80" s="6" t="s">
        <v>76</v>
      </c>
      <c r="D80" s="6" t="s">
        <v>132</v>
      </c>
      <c r="E80" s="6" t="s">
        <v>133</v>
      </c>
      <c r="F80" s="6"/>
      <c r="G80" s="6" t="s">
        <v>79</v>
      </c>
      <c r="H80" s="6" t="s">
        <v>372</v>
      </c>
      <c r="I80" s="6" t="s">
        <v>81</v>
      </c>
      <c r="J80" s="6" t="s">
        <v>595</v>
      </c>
      <c r="K80" s="6" t="s">
        <v>866</v>
      </c>
      <c r="L80" s="6" t="s">
        <v>867</v>
      </c>
      <c r="M80" s="6" t="s">
        <v>868</v>
      </c>
      <c r="N80" s="6"/>
      <c r="O80" s="6"/>
      <c r="P80" s="6" t="s">
        <v>869</v>
      </c>
      <c r="Q80" s="6" t="s">
        <v>771</v>
      </c>
      <c r="R80" s="6" t="s">
        <v>191</v>
      </c>
      <c r="S80" s="6" t="s">
        <v>134</v>
      </c>
      <c r="T80" s="6" t="s">
        <v>83</v>
      </c>
      <c r="U80" s="6"/>
      <c r="V80" s="6" t="s">
        <v>870</v>
      </c>
      <c r="W80" s="6" t="s">
        <v>871</v>
      </c>
      <c r="X80" s="6" t="s">
        <v>872</v>
      </c>
      <c r="Y80" s="6"/>
      <c r="Z80" s="6"/>
      <c r="AA80" s="6" t="s">
        <v>89</v>
      </c>
      <c r="AB80" s="6" t="s">
        <v>873</v>
      </c>
      <c r="AC80" s="6" t="s">
        <v>874</v>
      </c>
      <c r="AD80" s="6" t="s">
        <v>875</v>
      </c>
      <c r="AE80" s="6" t="s">
        <v>876</v>
      </c>
      <c r="AF80" s="6" t="s">
        <v>877</v>
      </c>
      <c r="AG80" s="6"/>
      <c r="AH80" s="6"/>
      <c r="AI80" s="7"/>
      <c r="AJ80" s="7"/>
      <c r="AK80" s="7"/>
      <c r="AL80" s="7"/>
      <c r="AM80" s="7"/>
      <c r="AN80" s="7"/>
      <c r="AO80" s="7"/>
      <c r="AP80" s="7"/>
      <c r="AQ80" s="7"/>
      <c r="AR80" s="7"/>
      <c r="AS80" s="7"/>
      <c r="AT80" s="7"/>
      <c r="AU80" s="7"/>
      <c r="AV80" s="7"/>
      <c r="AW80" s="7"/>
      <c r="AX80" s="7"/>
      <c r="AY80" s="7"/>
      <c r="AZ80" s="7"/>
    </row>
    <row r="81" customFormat="false" ht="150" hidden="false" customHeight="true" outlineLevel="0" collapsed="false">
      <c r="A81" s="6" t="s">
        <v>878</v>
      </c>
      <c r="B81" s="6" t="s">
        <v>594</v>
      </c>
      <c r="C81" s="6" t="s">
        <v>76</v>
      </c>
      <c r="D81" s="6" t="s">
        <v>132</v>
      </c>
      <c r="E81" s="6" t="s">
        <v>133</v>
      </c>
      <c r="F81" s="6"/>
      <c r="G81" s="6" t="s">
        <v>98</v>
      </c>
      <c r="H81" s="6" t="s">
        <v>491</v>
      </c>
      <c r="I81" s="6" t="s">
        <v>492</v>
      </c>
      <c r="J81" s="6" t="s">
        <v>660</v>
      </c>
      <c r="K81" s="6" t="s">
        <v>866</v>
      </c>
      <c r="L81" s="6" t="s">
        <v>867</v>
      </c>
      <c r="M81" s="6" t="s">
        <v>879</v>
      </c>
      <c r="N81" s="6"/>
      <c r="O81" s="6"/>
      <c r="P81" s="6" t="s">
        <v>869</v>
      </c>
      <c r="Q81" s="6" t="s">
        <v>771</v>
      </c>
      <c r="R81" s="6" t="s">
        <v>191</v>
      </c>
      <c r="S81" s="6" t="s">
        <v>494</v>
      </c>
      <c r="T81" s="6" t="s">
        <v>83</v>
      </c>
      <c r="U81" s="6"/>
      <c r="V81" s="6" t="s">
        <v>880</v>
      </c>
      <c r="W81" s="6" t="s">
        <v>881</v>
      </c>
      <c r="X81" s="6" t="s">
        <v>882</v>
      </c>
      <c r="Y81" s="6"/>
      <c r="Z81" s="6"/>
      <c r="AA81" s="6" t="s">
        <v>89</v>
      </c>
      <c r="AB81" s="6" t="s">
        <v>883</v>
      </c>
      <c r="AC81" s="6" t="s">
        <v>884</v>
      </c>
      <c r="AD81" s="6" t="s">
        <v>885</v>
      </c>
      <c r="AE81" s="6" t="s">
        <v>886</v>
      </c>
      <c r="AF81" s="6"/>
      <c r="AG81" s="6"/>
      <c r="AH81" s="6"/>
      <c r="AI81" s="7"/>
      <c r="AJ81" s="7"/>
      <c r="AK81" s="7"/>
      <c r="AL81" s="7"/>
      <c r="AM81" s="7"/>
      <c r="AN81" s="7"/>
      <c r="AO81" s="7"/>
      <c r="AP81" s="7"/>
      <c r="AQ81" s="7"/>
      <c r="AR81" s="7"/>
      <c r="AS81" s="7"/>
      <c r="AT81" s="7"/>
      <c r="AU81" s="7"/>
      <c r="AV81" s="7"/>
      <c r="AW81" s="7"/>
      <c r="AX81" s="7"/>
      <c r="AY81" s="7"/>
      <c r="AZ81" s="7"/>
    </row>
    <row r="82" customFormat="false" ht="150" hidden="false" customHeight="true" outlineLevel="0" collapsed="false">
      <c r="A82" s="6" t="s">
        <v>887</v>
      </c>
      <c r="B82" s="6" t="s">
        <v>594</v>
      </c>
      <c r="C82" s="6" t="s">
        <v>76</v>
      </c>
      <c r="D82" s="6" t="s">
        <v>132</v>
      </c>
      <c r="E82" s="6" t="s">
        <v>133</v>
      </c>
      <c r="F82" s="6"/>
      <c r="G82" s="6" t="s">
        <v>165</v>
      </c>
      <c r="H82" s="6" t="s">
        <v>408</v>
      </c>
      <c r="I82" s="6" t="s">
        <v>409</v>
      </c>
      <c r="J82" s="6" t="s">
        <v>660</v>
      </c>
      <c r="K82" s="6" t="s">
        <v>866</v>
      </c>
      <c r="L82" s="6" t="s">
        <v>867</v>
      </c>
      <c r="M82" s="6" t="s">
        <v>888</v>
      </c>
      <c r="N82" s="6"/>
      <c r="O82" s="6"/>
      <c r="P82" s="6" t="s">
        <v>869</v>
      </c>
      <c r="Q82" s="6" t="s">
        <v>771</v>
      </c>
      <c r="R82" s="6" t="s">
        <v>191</v>
      </c>
      <c r="S82" s="6" t="s">
        <v>481</v>
      </c>
      <c r="T82" s="6" t="s">
        <v>83</v>
      </c>
      <c r="U82" s="6"/>
      <c r="V82" s="6" t="s">
        <v>889</v>
      </c>
      <c r="W82" s="6" t="s">
        <v>890</v>
      </c>
      <c r="X82" s="6" t="s">
        <v>891</v>
      </c>
      <c r="Y82" s="6"/>
      <c r="Z82" s="6"/>
      <c r="AA82" s="6" t="s">
        <v>89</v>
      </c>
      <c r="AB82" s="6" t="s">
        <v>892</v>
      </c>
      <c r="AC82" s="6" t="s">
        <v>893</v>
      </c>
      <c r="AD82" s="6"/>
      <c r="AE82" s="6"/>
      <c r="AF82" s="6"/>
      <c r="AG82" s="6" t="s">
        <v>894</v>
      </c>
      <c r="AH82" s="6" t="s">
        <v>895</v>
      </c>
      <c r="AI82" s="7"/>
      <c r="AJ82" s="7"/>
      <c r="AK82" s="7"/>
      <c r="AL82" s="7"/>
      <c r="AM82" s="7"/>
      <c r="AN82" s="7"/>
      <c r="AO82" s="7"/>
      <c r="AP82" s="7"/>
      <c r="AQ82" s="7"/>
      <c r="AR82" s="7"/>
      <c r="AS82" s="7"/>
      <c r="AT82" s="7"/>
      <c r="AU82" s="7"/>
      <c r="AV82" s="7"/>
      <c r="AW82" s="7"/>
      <c r="AX82" s="7"/>
      <c r="AY82" s="7"/>
      <c r="AZ82" s="7"/>
    </row>
    <row r="83" customFormat="false" ht="150" hidden="false" customHeight="true" outlineLevel="0" collapsed="false">
      <c r="A83" s="6" t="s">
        <v>896</v>
      </c>
      <c r="B83" s="6" t="s">
        <v>594</v>
      </c>
      <c r="C83" s="6" t="s">
        <v>76</v>
      </c>
      <c r="D83" s="6" t="s">
        <v>132</v>
      </c>
      <c r="E83" s="6" t="s">
        <v>133</v>
      </c>
      <c r="F83" s="6"/>
      <c r="G83" s="6" t="s">
        <v>79</v>
      </c>
      <c r="H83" s="6" t="s">
        <v>372</v>
      </c>
      <c r="I83" s="6" t="s">
        <v>81</v>
      </c>
      <c r="J83" s="6" t="s">
        <v>595</v>
      </c>
      <c r="K83" s="6" t="s">
        <v>897</v>
      </c>
      <c r="L83" s="6" t="s">
        <v>898</v>
      </c>
      <c r="M83" s="6" t="s">
        <v>899</v>
      </c>
      <c r="N83" s="6"/>
      <c r="O83" s="6"/>
      <c r="P83" s="6" t="s">
        <v>869</v>
      </c>
      <c r="Q83" s="6" t="s">
        <v>338</v>
      </c>
      <c r="R83" s="6" t="s">
        <v>191</v>
      </c>
      <c r="S83" s="6" t="s">
        <v>900</v>
      </c>
      <c r="T83" s="6" t="s">
        <v>83</v>
      </c>
      <c r="U83" s="6" t="s">
        <v>83</v>
      </c>
      <c r="V83" s="6" t="s">
        <v>901</v>
      </c>
      <c r="W83" s="6" t="s">
        <v>902</v>
      </c>
      <c r="X83" s="6" t="s">
        <v>903</v>
      </c>
      <c r="Y83" s="6"/>
      <c r="Z83" s="6"/>
      <c r="AA83" s="6" t="s">
        <v>89</v>
      </c>
      <c r="AB83" s="6" t="s">
        <v>904</v>
      </c>
      <c r="AC83" s="6" t="s">
        <v>642</v>
      </c>
      <c r="AD83" s="6" t="s">
        <v>905</v>
      </c>
      <c r="AE83" s="6" t="s">
        <v>906</v>
      </c>
      <c r="AF83" s="6" t="s">
        <v>907</v>
      </c>
      <c r="AG83" s="6"/>
      <c r="AH83" s="6"/>
      <c r="AI83" s="7"/>
      <c r="AJ83" s="7"/>
      <c r="AK83" s="7"/>
      <c r="AL83" s="7"/>
      <c r="AM83" s="7"/>
      <c r="AN83" s="7"/>
      <c r="AO83" s="7"/>
      <c r="AP83" s="7"/>
      <c r="AQ83" s="7"/>
      <c r="AR83" s="7"/>
      <c r="AS83" s="7"/>
      <c r="AT83" s="7"/>
      <c r="AU83" s="7"/>
      <c r="AV83" s="7"/>
      <c r="AW83" s="7"/>
      <c r="AX83" s="7"/>
      <c r="AY83" s="7"/>
      <c r="AZ83" s="7"/>
    </row>
    <row r="84" customFormat="false" ht="150" hidden="false" customHeight="true" outlineLevel="0" collapsed="false">
      <c r="A84" s="6" t="s">
        <v>908</v>
      </c>
      <c r="B84" s="6" t="s">
        <v>594</v>
      </c>
      <c r="C84" s="6" t="s">
        <v>76</v>
      </c>
      <c r="D84" s="6" t="s">
        <v>132</v>
      </c>
      <c r="E84" s="6" t="s">
        <v>133</v>
      </c>
      <c r="F84" s="6"/>
      <c r="G84" s="6" t="s">
        <v>98</v>
      </c>
      <c r="H84" s="6" t="s">
        <v>372</v>
      </c>
      <c r="I84" s="6" t="s">
        <v>373</v>
      </c>
      <c r="J84" s="6" t="s">
        <v>660</v>
      </c>
      <c r="K84" s="6" t="s">
        <v>897</v>
      </c>
      <c r="L84" s="6" t="s">
        <v>898</v>
      </c>
      <c r="M84" s="6" t="s">
        <v>909</v>
      </c>
      <c r="N84" s="6"/>
      <c r="O84" s="6"/>
      <c r="P84" s="6" t="s">
        <v>869</v>
      </c>
      <c r="Q84" s="6" t="s">
        <v>338</v>
      </c>
      <c r="R84" s="6" t="s">
        <v>191</v>
      </c>
      <c r="S84" s="6" t="s">
        <v>910</v>
      </c>
      <c r="T84" s="6" t="s">
        <v>83</v>
      </c>
      <c r="U84" s="6"/>
      <c r="V84" s="6" t="s">
        <v>911</v>
      </c>
      <c r="W84" s="6" t="s">
        <v>912</v>
      </c>
      <c r="X84" s="6" t="s">
        <v>913</v>
      </c>
      <c r="Y84" s="6"/>
      <c r="Z84" s="6"/>
      <c r="AA84" s="6" t="s">
        <v>89</v>
      </c>
      <c r="AB84" s="6" t="s">
        <v>914</v>
      </c>
      <c r="AC84" s="6" t="s">
        <v>915</v>
      </c>
      <c r="AD84" s="6" t="s">
        <v>916</v>
      </c>
      <c r="AE84" s="6" t="s">
        <v>917</v>
      </c>
      <c r="AF84" s="6" t="s">
        <v>918</v>
      </c>
      <c r="AG84" s="6"/>
      <c r="AH84" s="6"/>
      <c r="AI84" s="7"/>
      <c r="AJ84" s="7"/>
      <c r="AK84" s="7"/>
      <c r="AL84" s="7"/>
      <c r="AM84" s="7"/>
      <c r="AN84" s="7"/>
      <c r="AO84" s="7"/>
      <c r="AP84" s="7"/>
      <c r="AQ84" s="7"/>
      <c r="AR84" s="7"/>
      <c r="AS84" s="7"/>
      <c r="AT84" s="7"/>
      <c r="AU84" s="7"/>
      <c r="AV84" s="7"/>
      <c r="AW84" s="7"/>
      <c r="AX84" s="7"/>
      <c r="AY84" s="7"/>
      <c r="AZ84" s="7"/>
    </row>
    <row r="85" customFormat="false" ht="150" hidden="false" customHeight="true" outlineLevel="0" collapsed="false">
      <c r="A85" s="6" t="s">
        <v>919</v>
      </c>
      <c r="B85" s="6" t="s">
        <v>594</v>
      </c>
      <c r="C85" s="6" t="s">
        <v>76</v>
      </c>
      <c r="D85" s="6" t="s">
        <v>132</v>
      </c>
      <c r="E85" s="6" t="s">
        <v>133</v>
      </c>
      <c r="F85" s="6"/>
      <c r="G85" s="6" t="s">
        <v>165</v>
      </c>
      <c r="H85" s="6" t="s">
        <v>408</v>
      </c>
      <c r="I85" s="6" t="s">
        <v>409</v>
      </c>
      <c r="J85" s="6" t="s">
        <v>660</v>
      </c>
      <c r="K85" s="6" t="s">
        <v>897</v>
      </c>
      <c r="L85" s="6" t="s">
        <v>898</v>
      </c>
      <c r="M85" s="6" t="s">
        <v>920</v>
      </c>
      <c r="N85" s="6"/>
      <c r="O85" s="6"/>
      <c r="P85" s="6" t="s">
        <v>869</v>
      </c>
      <c r="Q85" s="6" t="s">
        <v>338</v>
      </c>
      <c r="R85" s="6" t="s">
        <v>191</v>
      </c>
      <c r="S85" s="6" t="s">
        <v>921</v>
      </c>
      <c r="T85" s="6" t="s">
        <v>83</v>
      </c>
      <c r="U85" s="6"/>
      <c r="V85" s="6" t="s">
        <v>922</v>
      </c>
      <c r="W85" s="6" t="s">
        <v>923</v>
      </c>
      <c r="X85" s="6" t="s">
        <v>924</v>
      </c>
      <c r="Y85" s="6"/>
      <c r="Z85" s="6"/>
      <c r="AA85" s="6" t="s">
        <v>89</v>
      </c>
      <c r="AB85" s="6" t="s">
        <v>925</v>
      </c>
      <c r="AC85" s="6" t="s">
        <v>926</v>
      </c>
      <c r="AD85" s="6"/>
      <c r="AE85" s="6"/>
      <c r="AF85" s="6"/>
      <c r="AG85" s="6" t="s">
        <v>927</v>
      </c>
      <c r="AH85" s="6" t="s">
        <v>928</v>
      </c>
      <c r="AI85" s="7"/>
      <c r="AJ85" s="7"/>
      <c r="AK85" s="7"/>
      <c r="AL85" s="7"/>
      <c r="AM85" s="7"/>
      <c r="AN85" s="7"/>
      <c r="AO85" s="7"/>
      <c r="AP85" s="7"/>
      <c r="AQ85" s="7"/>
      <c r="AR85" s="7"/>
      <c r="AS85" s="7"/>
      <c r="AT85" s="7"/>
      <c r="AU85" s="7"/>
      <c r="AV85" s="7"/>
      <c r="AW85" s="7"/>
      <c r="AX85" s="7"/>
      <c r="AY85" s="7"/>
      <c r="AZ85" s="7"/>
    </row>
    <row r="86" customFormat="false" ht="150" hidden="false" customHeight="true" outlineLevel="0" collapsed="false">
      <c r="A86" s="6" t="s">
        <v>929</v>
      </c>
      <c r="B86" s="6" t="s">
        <v>594</v>
      </c>
      <c r="C86" s="6" t="s">
        <v>76</v>
      </c>
      <c r="D86" s="6" t="s">
        <v>145</v>
      </c>
      <c r="E86" s="6" t="s">
        <v>146</v>
      </c>
      <c r="F86" s="6"/>
      <c r="G86" s="6" t="s">
        <v>79</v>
      </c>
      <c r="H86" s="6" t="s">
        <v>372</v>
      </c>
      <c r="I86" s="6" t="s">
        <v>81</v>
      </c>
      <c r="J86" s="6" t="s">
        <v>595</v>
      </c>
      <c r="K86" s="6" t="s">
        <v>930</v>
      </c>
      <c r="L86" s="6" t="s">
        <v>931</v>
      </c>
      <c r="M86" s="6" t="s">
        <v>932</v>
      </c>
      <c r="N86" s="6"/>
      <c r="O86" s="6"/>
      <c r="P86" s="6" t="s">
        <v>156</v>
      </c>
      <c r="Q86" s="6" t="s">
        <v>169</v>
      </c>
      <c r="R86" s="6" t="s">
        <v>191</v>
      </c>
      <c r="S86" s="6" t="s">
        <v>933</v>
      </c>
      <c r="T86" s="6" t="s">
        <v>83</v>
      </c>
      <c r="U86" s="6" t="s">
        <v>83</v>
      </c>
      <c r="V86" s="6" t="s">
        <v>934</v>
      </c>
      <c r="W86" s="6" t="s">
        <v>935</v>
      </c>
      <c r="X86" s="6" t="s">
        <v>936</v>
      </c>
      <c r="Y86" s="6"/>
      <c r="Z86" s="6"/>
      <c r="AA86" s="6" t="s">
        <v>89</v>
      </c>
      <c r="AB86" s="6" t="s">
        <v>937</v>
      </c>
      <c r="AC86" s="6" t="s">
        <v>938</v>
      </c>
      <c r="AD86" s="6" t="s">
        <v>939</v>
      </c>
      <c r="AE86" s="6" t="s">
        <v>940</v>
      </c>
      <c r="AF86" s="6" t="s">
        <v>941</v>
      </c>
      <c r="AG86" s="6"/>
      <c r="AH86" s="6"/>
      <c r="AI86" s="7"/>
      <c r="AJ86" s="7"/>
      <c r="AK86" s="7"/>
      <c r="AL86" s="7"/>
      <c r="AM86" s="7"/>
      <c r="AN86" s="7"/>
      <c r="AO86" s="7"/>
      <c r="AP86" s="7"/>
      <c r="AQ86" s="7"/>
      <c r="AR86" s="7"/>
      <c r="AS86" s="7"/>
      <c r="AT86" s="7"/>
      <c r="AU86" s="7"/>
      <c r="AV86" s="7"/>
      <c r="AW86" s="7"/>
      <c r="AX86" s="7"/>
      <c r="AY86" s="7"/>
      <c r="AZ86" s="7"/>
    </row>
    <row r="87" customFormat="false" ht="150" hidden="false" customHeight="true" outlineLevel="0" collapsed="false">
      <c r="A87" s="6" t="s">
        <v>942</v>
      </c>
      <c r="B87" s="6" t="s">
        <v>594</v>
      </c>
      <c r="C87" s="6" t="s">
        <v>76</v>
      </c>
      <c r="D87" s="6" t="s">
        <v>145</v>
      </c>
      <c r="E87" s="6" t="s">
        <v>146</v>
      </c>
      <c r="F87" s="6"/>
      <c r="G87" s="6" t="s">
        <v>98</v>
      </c>
      <c r="H87" s="6" t="s">
        <v>372</v>
      </c>
      <c r="I87" s="6" t="s">
        <v>373</v>
      </c>
      <c r="J87" s="6" t="s">
        <v>660</v>
      </c>
      <c r="K87" s="6" t="s">
        <v>930</v>
      </c>
      <c r="L87" s="6" t="s">
        <v>931</v>
      </c>
      <c r="M87" s="6" t="s">
        <v>943</v>
      </c>
      <c r="N87" s="6"/>
      <c r="O87" s="6"/>
      <c r="P87" s="6" t="s">
        <v>156</v>
      </c>
      <c r="Q87" s="6" t="s">
        <v>169</v>
      </c>
      <c r="R87" s="6" t="s">
        <v>191</v>
      </c>
      <c r="S87" s="6" t="s">
        <v>375</v>
      </c>
      <c r="T87" s="6" t="s">
        <v>83</v>
      </c>
      <c r="U87" s="6"/>
      <c r="V87" s="6" t="s">
        <v>944</v>
      </c>
      <c r="W87" s="6" t="s">
        <v>945</v>
      </c>
      <c r="X87" s="6" t="s">
        <v>946</v>
      </c>
      <c r="Y87" s="6"/>
      <c r="Z87" s="6"/>
      <c r="AA87" s="6" t="s">
        <v>89</v>
      </c>
      <c r="AB87" s="6" t="s">
        <v>947</v>
      </c>
      <c r="AC87" s="6" t="s">
        <v>948</v>
      </c>
      <c r="AD87" s="6" t="s">
        <v>949</v>
      </c>
      <c r="AE87" s="6" t="s">
        <v>950</v>
      </c>
      <c r="AF87" s="6" t="s">
        <v>951</v>
      </c>
      <c r="AG87" s="6"/>
      <c r="AH87" s="6"/>
      <c r="AI87" s="7"/>
      <c r="AJ87" s="7"/>
      <c r="AK87" s="7"/>
      <c r="AL87" s="7"/>
      <c r="AM87" s="7"/>
      <c r="AN87" s="7"/>
      <c r="AO87" s="7"/>
      <c r="AP87" s="7"/>
      <c r="AQ87" s="7"/>
      <c r="AR87" s="7"/>
      <c r="AS87" s="7"/>
      <c r="AT87" s="7"/>
      <c r="AU87" s="7"/>
      <c r="AV87" s="7"/>
      <c r="AW87" s="7"/>
      <c r="AX87" s="7"/>
      <c r="AY87" s="7"/>
      <c r="AZ87" s="7"/>
    </row>
    <row r="88" customFormat="false" ht="150" hidden="false" customHeight="true" outlineLevel="0" collapsed="false">
      <c r="A88" s="6" t="s">
        <v>952</v>
      </c>
      <c r="B88" s="6" t="s">
        <v>594</v>
      </c>
      <c r="C88" s="6" t="s">
        <v>76</v>
      </c>
      <c r="D88" s="6" t="s">
        <v>145</v>
      </c>
      <c r="E88" s="6" t="s">
        <v>146</v>
      </c>
      <c r="F88" s="6"/>
      <c r="G88" s="6" t="s">
        <v>165</v>
      </c>
      <c r="H88" s="6" t="s">
        <v>431</v>
      </c>
      <c r="I88" s="6" t="s">
        <v>432</v>
      </c>
      <c r="J88" s="6" t="s">
        <v>660</v>
      </c>
      <c r="K88" s="6" t="s">
        <v>930</v>
      </c>
      <c r="L88" s="6" t="s">
        <v>931</v>
      </c>
      <c r="M88" s="6" t="s">
        <v>953</v>
      </c>
      <c r="N88" s="6"/>
      <c r="O88" s="6"/>
      <c r="P88" s="6" t="s">
        <v>156</v>
      </c>
      <c r="Q88" s="6" t="s">
        <v>169</v>
      </c>
      <c r="R88" s="6" t="s">
        <v>191</v>
      </c>
      <c r="S88" s="6" t="s">
        <v>727</v>
      </c>
      <c r="T88" s="6" t="s">
        <v>83</v>
      </c>
      <c r="U88" s="6"/>
      <c r="V88" s="6" t="s">
        <v>954</v>
      </c>
      <c r="W88" s="6" t="s">
        <v>955</v>
      </c>
      <c r="X88" s="6" t="s">
        <v>956</v>
      </c>
      <c r="Y88" s="6"/>
      <c r="Z88" s="6"/>
      <c r="AA88" s="6" t="s">
        <v>89</v>
      </c>
      <c r="AB88" s="6" t="s">
        <v>957</v>
      </c>
      <c r="AC88" s="6" t="s">
        <v>958</v>
      </c>
      <c r="AD88" s="6" t="s">
        <v>959</v>
      </c>
      <c r="AE88" s="6" t="s">
        <v>960</v>
      </c>
      <c r="AF88" s="6"/>
      <c r="AG88" s="6"/>
      <c r="AH88" s="6"/>
      <c r="AI88" s="7"/>
      <c r="AJ88" s="7"/>
      <c r="AK88" s="7"/>
      <c r="AL88" s="7"/>
      <c r="AM88" s="7"/>
      <c r="AN88" s="7"/>
      <c r="AO88" s="7"/>
      <c r="AP88" s="7"/>
      <c r="AQ88" s="7"/>
      <c r="AR88" s="7"/>
      <c r="AS88" s="7"/>
      <c r="AT88" s="7"/>
      <c r="AU88" s="7"/>
      <c r="AV88" s="7"/>
      <c r="AW88" s="7"/>
      <c r="AX88" s="7"/>
      <c r="AY88" s="7"/>
      <c r="AZ88" s="7"/>
    </row>
    <row r="89" customFormat="false" ht="150" hidden="false" customHeight="true" outlineLevel="0" collapsed="false">
      <c r="A89" s="6" t="s">
        <v>961</v>
      </c>
      <c r="B89" s="6" t="s">
        <v>594</v>
      </c>
      <c r="C89" s="6" t="s">
        <v>76</v>
      </c>
      <c r="D89" s="6" t="s">
        <v>145</v>
      </c>
      <c r="E89" s="6" t="s">
        <v>146</v>
      </c>
      <c r="F89" s="6"/>
      <c r="G89" s="6" t="s">
        <v>79</v>
      </c>
      <c r="H89" s="6" t="s">
        <v>372</v>
      </c>
      <c r="I89" s="6" t="s">
        <v>81</v>
      </c>
      <c r="J89" s="6" t="s">
        <v>595</v>
      </c>
      <c r="K89" s="6" t="s">
        <v>962</v>
      </c>
      <c r="L89" s="6" t="s">
        <v>963</v>
      </c>
      <c r="M89" s="6" t="s">
        <v>964</v>
      </c>
      <c r="N89" s="6"/>
      <c r="O89" s="6"/>
      <c r="P89" s="6" t="s">
        <v>965</v>
      </c>
      <c r="Q89" s="6" t="s">
        <v>966</v>
      </c>
      <c r="R89" s="6" t="s">
        <v>238</v>
      </c>
      <c r="S89" s="6" t="s">
        <v>693</v>
      </c>
      <c r="T89" s="6" t="s">
        <v>83</v>
      </c>
      <c r="U89" s="6" t="s">
        <v>83</v>
      </c>
      <c r="V89" s="6" t="s">
        <v>967</v>
      </c>
      <c r="W89" s="6" t="s">
        <v>968</v>
      </c>
      <c r="X89" s="6" t="s">
        <v>969</v>
      </c>
      <c r="Y89" s="6"/>
      <c r="Z89" s="6"/>
      <c r="AA89" s="6" t="s">
        <v>89</v>
      </c>
      <c r="AB89" s="6" t="s">
        <v>970</v>
      </c>
      <c r="AC89" s="6" t="s">
        <v>971</v>
      </c>
      <c r="AD89" s="6" t="s">
        <v>972</v>
      </c>
      <c r="AE89" s="6" t="s">
        <v>973</v>
      </c>
      <c r="AF89" s="6" t="s">
        <v>974</v>
      </c>
      <c r="AG89" s="6"/>
      <c r="AH89" s="6"/>
      <c r="AI89" s="7"/>
      <c r="AJ89" s="7"/>
      <c r="AK89" s="7"/>
      <c r="AL89" s="7"/>
      <c r="AM89" s="7"/>
      <c r="AN89" s="7"/>
      <c r="AO89" s="7"/>
      <c r="AP89" s="7"/>
      <c r="AQ89" s="7"/>
      <c r="AR89" s="7"/>
      <c r="AS89" s="7"/>
      <c r="AT89" s="7"/>
      <c r="AU89" s="7"/>
      <c r="AV89" s="7"/>
      <c r="AW89" s="7"/>
      <c r="AX89" s="7"/>
      <c r="AY89" s="7"/>
      <c r="AZ89" s="7"/>
    </row>
    <row r="90" customFormat="false" ht="150" hidden="false" customHeight="true" outlineLevel="0" collapsed="false">
      <c r="A90" s="6" t="s">
        <v>975</v>
      </c>
      <c r="B90" s="6" t="s">
        <v>594</v>
      </c>
      <c r="C90" s="6" t="s">
        <v>76</v>
      </c>
      <c r="D90" s="6" t="s">
        <v>145</v>
      </c>
      <c r="E90" s="6" t="s">
        <v>146</v>
      </c>
      <c r="F90" s="6"/>
      <c r="G90" s="6" t="s">
        <v>98</v>
      </c>
      <c r="H90" s="6" t="s">
        <v>491</v>
      </c>
      <c r="I90" s="6" t="s">
        <v>492</v>
      </c>
      <c r="J90" s="6" t="s">
        <v>660</v>
      </c>
      <c r="K90" s="6" t="s">
        <v>962</v>
      </c>
      <c r="L90" s="6" t="s">
        <v>963</v>
      </c>
      <c r="M90" s="6" t="s">
        <v>976</v>
      </c>
      <c r="N90" s="6"/>
      <c r="O90" s="6"/>
      <c r="P90" s="6" t="s">
        <v>965</v>
      </c>
      <c r="Q90" s="6" t="s">
        <v>966</v>
      </c>
      <c r="R90" s="6" t="s">
        <v>238</v>
      </c>
      <c r="S90" s="6" t="s">
        <v>977</v>
      </c>
      <c r="T90" s="6" t="s">
        <v>83</v>
      </c>
      <c r="U90" s="6"/>
      <c r="V90" s="6" t="s">
        <v>978</v>
      </c>
      <c r="W90" s="6" t="s">
        <v>979</v>
      </c>
      <c r="X90" s="6" t="s">
        <v>980</v>
      </c>
      <c r="Y90" s="6"/>
      <c r="Z90" s="6"/>
      <c r="AA90" s="6" t="s">
        <v>89</v>
      </c>
      <c r="AB90" s="6" t="s">
        <v>981</v>
      </c>
      <c r="AC90" s="6" t="s">
        <v>982</v>
      </c>
      <c r="AD90" s="6" t="s">
        <v>983</v>
      </c>
      <c r="AE90" s="6" t="s">
        <v>984</v>
      </c>
      <c r="AF90" s="6"/>
      <c r="AG90" s="6"/>
      <c r="AH90" s="6"/>
      <c r="AI90" s="7"/>
      <c r="AJ90" s="7"/>
      <c r="AK90" s="7"/>
      <c r="AL90" s="7"/>
      <c r="AM90" s="7"/>
      <c r="AN90" s="7"/>
      <c r="AO90" s="7"/>
      <c r="AP90" s="7"/>
      <c r="AQ90" s="7"/>
      <c r="AR90" s="7"/>
      <c r="AS90" s="7"/>
      <c r="AT90" s="7"/>
      <c r="AU90" s="7"/>
      <c r="AV90" s="7"/>
      <c r="AW90" s="7"/>
      <c r="AX90" s="7"/>
      <c r="AY90" s="7"/>
      <c r="AZ90" s="7"/>
    </row>
    <row r="91" customFormat="false" ht="150" hidden="false" customHeight="true" outlineLevel="0" collapsed="false">
      <c r="A91" s="6" t="s">
        <v>985</v>
      </c>
      <c r="B91" s="6" t="s">
        <v>594</v>
      </c>
      <c r="C91" s="6" t="s">
        <v>76</v>
      </c>
      <c r="D91" s="6" t="s">
        <v>145</v>
      </c>
      <c r="E91" s="6" t="s">
        <v>146</v>
      </c>
      <c r="F91" s="6"/>
      <c r="G91" s="6" t="s">
        <v>165</v>
      </c>
      <c r="H91" s="6" t="s">
        <v>408</v>
      </c>
      <c r="I91" s="6" t="s">
        <v>409</v>
      </c>
      <c r="J91" s="6" t="s">
        <v>660</v>
      </c>
      <c r="K91" s="6" t="s">
        <v>962</v>
      </c>
      <c r="L91" s="6" t="s">
        <v>963</v>
      </c>
      <c r="M91" s="6" t="s">
        <v>986</v>
      </c>
      <c r="N91" s="6"/>
      <c r="O91" s="6"/>
      <c r="P91" s="6" t="s">
        <v>965</v>
      </c>
      <c r="Q91" s="6" t="s">
        <v>966</v>
      </c>
      <c r="R91" s="6" t="s">
        <v>238</v>
      </c>
      <c r="S91" s="6" t="s">
        <v>921</v>
      </c>
      <c r="T91" s="6" t="s">
        <v>83</v>
      </c>
      <c r="U91" s="6"/>
      <c r="V91" s="6" t="s">
        <v>987</v>
      </c>
      <c r="W91" s="6" t="s">
        <v>988</v>
      </c>
      <c r="X91" s="6" t="s">
        <v>989</v>
      </c>
      <c r="Y91" s="6"/>
      <c r="Z91" s="6"/>
      <c r="AA91" s="6" t="s">
        <v>89</v>
      </c>
      <c r="AB91" s="6" t="s">
        <v>990</v>
      </c>
      <c r="AC91" s="6" t="s">
        <v>991</v>
      </c>
      <c r="AD91" s="6"/>
      <c r="AE91" s="6"/>
      <c r="AF91" s="6"/>
      <c r="AG91" s="6" t="s">
        <v>992</v>
      </c>
      <c r="AH91" s="6" t="s">
        <v>993</v>
      </c>
      <c r="AI91" s="7"/>
      <c r="AJ91" s="7"/>
      <c r="AK91" s="7"/>
      <c r="AL91" s="7"/>
      <c r="AM91" s="7"/>
      <c r="AN91" s="7"/>
      <c r="AO91" s="7"/>
      <c r="AP91" s="7"/>
      <c r="AQ91" s="7"/>
      <c r="AR91" s="7"/>
      <c r="AS91" s="7"/>
      <c r="AT91" s="7"/>
      <c r="AU91" s="7"/>
      <c r="AV91" s="7"/>
      <c r="AW91" s="7"/>
      <c r="AX91" s="7"/>
      <c r="AY91" s="7"/>
      <c r="AZ91" s="7"/>
    </row>
    <row r="92" customFormat="false" ht="150" hidden="false" customHeight="true" outlineLevel="0" collapsed="false">
      <c r="A92" s="6" t="s">
        <v>994</v>
      </c>
      <c r="B92" s="6" t="s">
        <v>594</v>
      </c>
      <c r="C92" s="6" t="s">
        <v>76</v>
      </c>
      <c r="D92" s="6" t="s">
        <v>123</v>
      </c>
      <c r="E92" s="6" t="s">
        <v>124</v>
      </c>
      <c r="F92" s="6" t="s">
        <v>77</v>
      </c>
      <c r="G92" s="6" t="s">
        <v>79</v>
      </c>
      <c r="H92" s="6" t="s">
        <v>491</v>
      </c>
      <c r="I92" s="6" t="s">
        <v>492</v>
      </c>
      <c r="J92" s="6" t="s">
        <v>595</v>
      </c>
      <c r="K92" s="6" t="s">
        <v>995</v>
      </c>
      <c r="L92" s="6" t="s">
        <v>996</v>
      </c>
      <c r="M92" s="6" t="s">
        <v>997</v>
      </c>
      <c r="N92" s="6"/>
      <c r="O92" s="6"/>
      <c r="P92" s="6" t="s">
        <v>156</v>
      </c>
      <c r="Q92" s="6"/>
      <c r="R92" s="6" t="s">
        <v>998</v>
      </c>
      <c r="S92" s="6" t="s">
        <v>601</v>
      </c>
      <c r="T92" s="6" t="s">
        <v>83</v>
      </c>
      <c r="U92" s="6" t="s">
        <v>83</v>
      </c>
      <c r="V92" s="6" t="s">
        <v>999</v>
      </c>
      <c r="W92" s="6" t="s">
        <v>1000</v>
      </c>
      <c r="X92" s="6" t="s">
        <v>1001</v>
      </c>
      <c r="Y92" s="6"/>
      <c r="Z92" s="6"/>
      <c r="AA92" s="6" t="s">
        <v>89</v>
      </c>
      <c r="AB92" s="6" t="s">
        <v>1002</v>
      </c>
      <c r="AC92" s="6" t="s">
        <v>1003</v>
      </c>
      <c r="AD92" s="6" t="s">
        <v>1004</v>
      </c>
      <c r="AE92" s="6" t="s">
        <v>1005</v>
      </c>
      <c r="AF92" s="6"/>
      <c r="AG92" s="6"/>
      <c r="AH92" s="6"/>
      <c r="AI92" s="7"/>
      <c r="AJ92" s="7"/>
      <c r="AK92" s="7"/>
      <c r="AL92" s="7"/>
      <c r="AM92" s="7"/>
      <c r="AN92" s="7"/>
      <c r="AO92" s="7"/>
      <c r="AP92" s="7"/>
      <c r="AQ92" s="7"/>
      <c r="AR92" s="7"/>
      <c r="AS92" s="7"/>
      <c r="AT92" s="7"/>
      <c r="AU92" s="7"/>
      <c r="AV92" s="7"/>
      <c r="AW92" s="7"/>
      <c r="AX92" s="7"/>
      <c r="AY92" s="7"/>
      <c r="AZ92" s="7"/>
    </row>
    <row r="93" customFormat="false" ht="150" hidden="false" customHeight="true" outlineLevel="0" collapsed="false">
      <c r="A93" s="6" t="s">
        <v>1006</v>
      </c>
      <c r="B93" s="6" t="s">
        <v>594</v>
      </c>
      <c r="C93" s="6" t="s">
        <v>76</v>
      </c>
      <c r="D93" s="6" t="s">
        <v>123</v>
      </c>
      <c r="E93" s="6" t="s">
        <v>124</v>
      </c>
      <c r="F93" s="6" t="s">
        <v>110</v>
      </c>
      <c r="G93" s="6" t="s">
        <v>98</v>
      </c>
      <c r="H93" s="6" t="s">
        <v>491</v>
      </c>
      <c r="I93" s="6" t="s">
        <v>492</v>
      </c>
      <c r="J93" s="6" t="s">
        <v>621</v>
      </c>
      <c r="K93" s="6" t="s">
        <v>647</v>
      </c>
      <c r="L93" s="6" t="s">
        <v>648</v>
      </c>
      <c r="M93" s="6" t="s">
        <v>1007</v>
      </c>
      <c r="N93" s="6" t="s">
        <v>1008</v>
      </c>
      <c r="O93" s="6"/>
      <c r="P93" s="6" t="s">
        <v>156</v>
      </c>
      <c r="Q93" s="6" t="s">
        <v>283</v>
      </c>
      <c r="R93" s="6" t="s">
        <v>191</v>
      </c>
      <c r="S93" s="6" t="s">
        <v>637</v>
      </c>
      <c r="T93" s="6" t="s">
        <v>83</v>
      </c>
      <c r="U93" s="6"/>
      <c r="V93" s="6" t="s">
        <v>1009</v>
      </c>
      <c r="W93" s="6" t="s">
        <v>1010</v>
      </c>
      <c r="X93" s="6" t="s">
        <v>1011</v>
      </c>
      <c r="Y93" s="6"/>
      <c r="Z93" s="6"/>
      <c r="AA93" s="6" t="s">
        <v>89</v>
      </c>
      <c r="AB93" s="6" t="s">
        <v>1012</v>
      </c>
      <c r="AC93" s="6" t="s">
        <v>1013</v>
      </c>
      <c r="AD93" s="6" t="s">
        <v>1014</v>
      </c>
      <c r="AE93" s="6" t="s">
        <v>1015</v>
      </c>
      <c r="AF93" s="6"/>
      <c r="AG93" s="6"/>
      <c r="AH93" s="6"/>
      <c r="AI93" s="7"/>
      <c r="AJ93" s="7"/>
      <c r="AK93" s="7"/>
      <c r="AL93" s="7"/>
      <c r="AM93" s="7"/>
      <c r="AN93" s="7"/>
      <c r="AO93" s="7"/>
      <c r="AP93" s="7"/>
      <c r="AQ93" s="7"/>
      <c r="AR93" s="7"/>
      <c r="AS93" s="7"/>
      <c r="AT93" s="7"/>
      <c r="AU93" s="7"/>
      <c r="AV93" s="7"/>
      <c r="AW93" s="7"/>
      <c r="AX93" s="7"/>
      <c r="AY93" s="7"/>
      <c r="AZ93" s="7"/>
    </row>
    <row r="94" customFormat="false" ht="150" hidden="false" customHeight="true" outlineLevel="0" collapsed="false">
      <c r="A94" s="6" t="s">
        <v>1016</v>
      </c>
      <c r="B94" s="6" t="s">
        <v>594</v>
      </c>
      <c r="C94" s="6" t="s">
        <v>76</v>
      </c>
      <c r="D94" s="6" t="s">
        <v>96</v>
      </c>
      <c r="E94" s="6" t="s">
        <v>97</v>
      </c>
      <c r="F94" s="6" t="s">
        <v>110</v>
      </c>
      <c r="G94" s="6" t="s">
        <v>98</v>
      </c>
      <c r="H94" s="6" t="s">
        <v>491</v>
      </c>
      <c r="I94" s="6" t="s">
        <v>492</v>
      </c>
      <c r="J94" s="6" t="s">
        <v>660</v>
      </c>
      <c r="K94" s="6" t="s">
        <v>1017</v>
      </c>
      <c r="L94" s="6" t="s">
        <v>1018</v>
      </c>
      <c r="M94" s="6" t="s">
        <v>1019</v>
      </c>
      <c r="N94" s="6" t="s">
        <v>493</v>
      </c>
      <c r="O94" s="6"/>
      <c r="P94" s="6" t="s">
        <v>156</v>
      </c>
      <c r="Q94" s="6" t="s">
        <v>283</v>
      </c>
      <c r="R94" s="6" t="s">
        <v>191</v>
      </c>
      <c r="S94" s="6" t="s">
        <v>650</v>
      </c>
      <c r="T94" s="6" t="s">
        <v>83</v>
      </c>
      <c r="U94" s="6"/>
      <c r="V94" s="6" t="s">
        <v>1020</v>
      </c>
      <c r="W94" s="6" t="s">
        <v>1021</v>
      </c>
      <c r="X94" s="6" t="s">
        <v>1022</v>
      </c>
      <c r="Y94" s="6"/>
      <c r="Z94" s="6"/>
      <c r="AA94" s="6" t="s">
        <v>89</v>
      </c>
      <c r="AB94" s="6" t="s">
        <v>1023</v>
      </c>
      <c r="AC94" s="6" t="s">
        <v>1024</v>
      </c>
      <c r="AD94" s="6" t="s">
        <v>1025</v>
      </c>
      <c r="AE94" s="6" t="s">
        <v>1026</v>
      </c>
      <c r="AF94" s="6"/>
      <c r="AG94" s="6"/>
      <c r="AH94" s="6"/>
      <c r="AI94" s="7"/>
      <c r="AJ94" s="7"/>
      <c r="AK94" s="7"/>
      <c r="AL94" s="7"/>
      <c r="AM94" s="7"/>
      <c r="AN94" s="7"/>
      <c r="AO94" s="7"/>
      <c r="AP94" s="7"/>
      <c r="AQ94" s="7"/>
      <c r="AR94" s="7"/>
      <c r="AS94" s="7"/>
      <c r="AT94" s="7"/>
      <c r="AU94" s="7"/>
      <c r="AV94" s="7"/>
      <c r="AW94" s="7"/>
      <c r="AX94" s="7"/>
      <c r="AY94" s="7"/>
      <c r="AZ94" s="7"/>
    </row>
    <row r="95" customFormat="false" ht="150" hidden="false" customHeight="true" outlineLevel="0" collapsed="false">
      <c r="A95" s="6" t="s">
        <v>1027</v>
      </c>
      <c r="B95" s="6" t="s">
        <v>594</v>
      </c>
      <c r="C95" s="6" t="s">
        <v>76</v>
      </c>
      <c r="D95" s="6" t="s">
        <v>77</v>
      </c>
      <c r="E95" s="6" t="s">
        <v>78</v>
      </c>
      <c r="F95" s="6" t="s">
        <v>110</v>
      </c>
      <c r="G95" s="6" t="s">
        <v>165</v>
      </c>
      <c r="H95" s="6" t="s">
        <v>491</v>
      </c>
      <c r="I95" s="6" t="s">
        <v>492</v>
      </c>
      <c r="J95" s="6" t="s">
        <v>660</v>
      </c>
      <c r="K95" s="6" t="s">
        <v>1028</v>
      </c>
      <c r="L95" s="6" t="s">
        <v>1029</v>
      </c>
      <c r="M95" s="6" t="s">
        <v>1030</v>
      </c>
      <c r="N95" s="6" t="s">
        <v>420</v>
      </c>
      <c r="O95" s="6"/>
      <c r="P95" s="6" t="s">
        <v>156</v>
      </c>
      <c r="Q95" s="6" t="s">
        <v>283</v>
      </c>
      <c r="R95" s="6" t="s">
        <v>191</v>
      </c>
      <c r="S95" s="6" t="s">
        <v>421</v>
      </c>
      <c r="T95" s="6" t="s">
        <v>83</v>
      </c>
      <c r="U95" s="6"/>
      <c r="V95" s="6" t="s">
        <v>1031</v>
      </c>
      <c r="W95" s="6" t="s">
        <v>1032</v>
      </c>
      <c r="X95" s="6" t="s">
        <v>1033</v>
      </c>
      <c r="Y95" s="6"/>
      <c r="Z95" s="6"/>
      <c r="AA95" s="6" t="s">
        <v>89</v>
      </c>
      <c r="AB95" s="6" t="s">
        <v>1034</v>
      </c>
      <c r="AC95" s="6" t="s">
        <v>1035</v>
      </c>
      <c r="AD95" s="6" t="s">
        <v>1036</v>
      </c>
      <c r="AE95" s="6" t="s">
        <v>1037</v>
      </c>
      <c r="AF95" s="6"/>
      <c r="AG95" s="6"/>
      <c r="AH95" s="6"/>
      <c r="AI95" s="7"/>
      <c r="AJ95" s="7"/>
      <c r="AK95" s="7"/>
      <c r="AL95" s="7"/>
      <c r="AM95" s="7"/>
      <c r="AN95" s="7"/>
      <c r="AO95" s="7"/>
      <c r="AP95" s="7"/>
      <c r="AQ95" s="7"/>
      <c r="AR95" s="7"/>
      <c r="AS95" s="7"/>
      <c r="AT95" s="7"/>
      <c r="AU95" s="7"/>
      <c r="AV95" s="7"/>
      <c r="AW95" s="7"/>
      <c r="AX95" s="7"/>
      <c r="AY95" s="7"/>
      <c r="AZ95" s="7"/>
    </row>
    <row r="96" customFormat="false" ht="150" hidden="false" customHeight="true" outlineLevel="0" collapsed="false">
      <c r="A96" s="6" t="s">
        <v>1038</v>
      </c>
      <c r="B96" s="6" t="s">
        <v>594</v>
      </c>
      <c r="C96" s="6" t="s">
        <v>76</v>
      </c>
      <c r="D96" s="6" t="s">
        <v>96</v>
      </c>
      <c r="E96" s="6" t="s">
        <v>97</v>
      </c>
      <c r="F96" s="6" t="s">
        <v>132</v>
      </c>
      <c r="G96" s="6" t="s">
        <v>165</v>
      </c>
      <c r="H96" s="6" t="s">
        <v>491</v>
      </c>
      <c r="I96" s="6" t="s">
        <v>492</v>
      </c>
      <c r="J96" s="6" t="s">
        <v>621</v>
      </c>
      <c r="K96" s="6" t="s">
        <v>1039</v>
      </c>
      <c r="L96" s="6" t="s">
        <v>1040</v>
      </c>
      <c r="M96" s="6" t="s">
        <v>1041</v>
      </c>
      <c r="N96" s="6" t="s">
        <v>1042</v>
      </c>
      <c r="O96" s="6"/>
      <c r="P96" s="6" t="s">
        <v>156</v>
      </c>
      <c r="Q96" s="6" t="s">
        <v>338</v>
      </c>
      <c r="R96" s="6" t="s">
        <v>191</v>
      </c>
      <c r="S96" s="6" t="s">
        <v>612</v>
      </c>
      <c r="T96" s="6" t="s">
        <v>83</v>
      </c>
      <c r="U96" s="6"/>
      <c r="V96" s="6" t="s">
        <v>1043</v>
      </c>
      <c r="W96" s="6" t="s">
        <v>1044</v>
      </c>
      <c r="X96" s="6" t="s">
        <v>1045</v>
      </c>
      <c r="Y96" s="6"/>
      <c r="Z96" s="6"/>
      <c r="AA96" s="6" t="s">
        <v>89</v>
      </c>
      <c r="AB96" s="6" t="s">
        <v>1046</v>
      </c>
      <c r="AC96" s="6" t="s">
        <v>1047</v>
      </c>
      <c r="AD96" s="6" t="s">
        <v>1048</v>
      </c>
      <c r="AE96" s="6" t="s">
        <v>1049</v>
      </c>
      <c r="AF96" s="6"/>
      <c r="AG96" s="6"/>
      <c r="AH96" s="6"/>
      <c r="AI96" s="7"/>
      <c r="AJ96" s="7"/>
      <c r="AK96" s="7"/>
      <c r="AL96" s="7"/>
      <c r="AM96" s="7"/>
      <c r="AN96" s="7"/>
      <c r="AO96" s="7"/>
      <c r="AP96" s="7"/>
      <c r="AQ96" s="7"/>
      <c r="AR96" s="7"/>
      <c r="AS96" s="7"/>
      <c r="AT96" s="7"/>
      <c r="AU96" s="7"/>
      <c r="AV96" s="7"/>
      <c r="AW96" s="7"/>
      <c r="AX96" s="7"/>
      <c r="AY96" s="7"/>
      <c r="AZ96" s="7"/>
    </row>
    <row r="97" customFormat="false" ht="150" hidden="false" customHeight="true" outlineLevel="0" collapsed="false">
      <c r="A97" s="6" t="s">
        <v>1050</v>
      </c>
      <c r="B97" s="6" t="s">
        <v>594</v>
      </c>
      <c r="C97" s="6" t="s">
        <v>76</v>
      </c>
      <c r="D97" s="6" t="s">
        <v>110</v>
      </c>
      <c r="E97" s="6" t="s">
        <v>111</v>
      </c>
      <c r="F97" s="6" t="s">
        <v>145</v>
      </c>
      <c r="G97" s="6" t="s">
        <v>98</v>
      </c>
      <c r="H97" s="6" t="s">
        <v>491</v>
      </c>
      <c r="I97" s="6" t="s">
        <v>492</v>
      </c>
      <c r="J97" s="6" t="s">
        <v>660</v>
      </c>
      <c r="K97" s="6" t="s">
        <v>1051</v>
      </c>
      <c r="L97" s="6" t="s">
        <v>1052</v>
      </c>
      <c r="M97" s="6" t="s">
        <v>1053</v>
      </c>
      <c r="N97" s="6"/>
      <c r="O97" s="6"/>
      <c r="P97" s="6" t="s">
        <v>156</v>
      </c>
      <c r="Q97" s="6" t="s">
        <v>283</v>
      </c>
      <c r="R97" s="6" t="s">
        <v>191</v>
      </c>
      <c r="S97" s="6" t="s">
        <v>836</v>
      </c>
      <c r="T97" s="6" t="s">
        <v>83</v>
      </c>
      <c r="U97" s="6"/>
      <c r="V97" s="6" t="s">
        <v>1054</v>
      </c>
      <c r="W97" s="6" t="s">
        <v>1055</v>
      </c>
      <c r="X97" s="6" t="s">
        <v>1056</v>
      </c>
      <c r="Y97" s="6"/>
      <c r="Z97" s="6"/>
      <c r="AA97" s="6" t="s">
        <v>89</v>
      </c>
      <c r="AB97" s="6" t="s">
        <v>1057</v>
      </c>
      <c r="AC97" s="6" t="s">
        <v>1058</v>
      </c>
      <c r="AD97" s="6" t="s">
        <v>1059</v>
      </c>
      <c r="AE97" s="6" t="s">
        <v>1060</v>
      </c>
      <c r="AF97" s="6"/>
      <c r="AG97" s="6"/>
      <c r="AH97" s="6"/>
      <c r="AI97" s="7"/>
      <c r="AJ97" s="7"/>
      <c r="AK97" s="7"/>
      <c r="AL97" s="7"/>
      <c r="AM97" s="7"/>
      <c r="AN97" s="7"/>
      <c r="AO97" s="7"/>
      <c r="AP97" s="7"/>
      <c r="AQ97" s="7"/>
      <c r="AR97" s="7"/>
      <c r="AS97" s="7"/>
      <c r="AT97" s="7"/>
      <c r="AU97" s="7"/>
      <c r="AV97" s="7"/>
      <c r="AW97" s="7"/>
      <c r="AX97" s="7"/>
      <c r="AY97" s="7"/>
      <c r="AZ97" s="7"/>
    </row>
    <row r="98" customFormat="false" ht="150" hidden="false" customHeight="true" outlineLevel="0" collapsed="false">
      <c r="A98" s="6" t="s">
        <v>1061</v>
      </c>
      <c r="B98" s="6" t="s">
        <v>594</v>
      </c>
      <c r="C98" s="6" t="s">
        <v>76</v>
      </c>
      <c r="D98" s="6" t="s">
        <v>123</v>
      </c>
      <c r="E98" s="6" t="s">
        <v>124</v>
      </c>
      <c r="F98" s="6" t="s">
        <v>77</v>
      </c>
      <c r="G98" s="6" t="s">
        <v>98</v>
      </c>
      <c r="H98" s="6" t="s">
        <v>1062</v>
      </c>
      <c r="I98" s="6" t="s">
        <v>1063</v>
      </c>
      <c r="J98" s="6" t="s">
        <v>621</v>
      </c>
      <c r="K98" s="6" t="s">
        <v>995</v>
      </c>
      <c r="L98" s="6" t="s">
        <v>996</v>
      </c>
      <c r="M98" s="6" t="s">
        <v>1064</v>
      </c>
      <c r="N98" s="6"/>
      <c r="O98" s="6"/>
      <c r="P98" s="6" t="s">
        <v>156</v>
      </c>
      <c r="Q98" s="6"/>
      <c r="R98" s="6" t="s">
        <v>998</v>
      </c>
      <c r="S98" s="6" t="s">
        <v>601</v>
      </c>
      <c r="T98" s="6" t="s">
        <v>83</v>
      </c>
      <c r="U98" s="6"/>
      <c r="V98" s="6" t="s">
        <v>1065</v>
      </c>
      <c r="W98" s="6" t="s">
        <v>1066</v>
      </c>
      <c r="X98" s="6" t="s">
        <v>1067</v>
      </c>
      <c r="Y98" s="6"/>
      <c r="Z98" s="6"/>
      <c r="AA98" s="6" t="s">
        <v>89</v>
      </c>
      <c r="AB98" s="6" t="s">
        <v>1068</v>
      </c>
      <c r="AC98" s="6" t="s">
        <v>1069</v>
      </c>
      <c r="AD98" s="6" t="s">
        <v>1070</v>
      </c>
      <c r="AE98" s="6" t="s">
        <v>1071</v>
      </c>
      <c r="AF98" s="6"/>
      <c r="AG98" s="6"/>
      <c r="AH98" s="6"/>
      <c r="AI98" s="7"/>
      <c r="AJ98" s="7"/>
      <c r="AK98" s="7"/>
      <c r="AL98" s="7"/>
      <c r="AM98" s="7"/>
      <c r="AN98" s="7"/>
      <c r="AO98" s="7"/>
      <c r="AP98" s="7"/>
      <c r="AQ98" s="7"/>
      <c r="AR98" s="7"/>
      <c r="AS98" s="7"/>
      <c r="AT98" s="7"/>
      <c r="AU98" s="7"/>
      <c r="AV98" s="7"/>
      <c r="AW98" s="7"/>
      <c r="AX98" s="7"/>
      <c r="AY98" s="7"/>
      <c r="AZ98" s="7"/>
    </row>
    <row r="99" customFormat="false" ht="150" hidden="false" customHeight="true" outlineLevel="0" collapsed="false">
      <c r="A99" s="6" t="s">
        <v>1072</v>
      </c>
      <c r="B99" s="6" t="s">
        <v>594</v>
      </c>
      <c r="C99" s="6" t="s">
        <v>76</v>
      </c>
      <c r="D99" s="6" t="s">
        <v>123</v>
      </c>
      <c r="E99" s="6" t="s">
        <v>124</v>
      </c>
      <c r="F99" s="6"/>
      <c r="G99" s="6" t="s">
        <v>165</v>
      </c>
      <c r="H99" s="6" t="s">
        <v>491</v>
      </c>
      <c r="I99" s="6" t="s">
        <v>492</v>
      </c>
      <c r="J99" s="6" t="s">
        <v>595</v>
      </c>
      <c r="K99" s="6" t="s">
        <v>632</v>
      </c>
      <c r="L99" s="6" t="s">
        <v>633</v>
      </c>
      <c r="M99" s="6" t="s">
        <v>1073</v>
      </c>
      <c r="N99" s="6"/>
      <c r="O99" s="6"/>
      <c r="P99" s="6" t="s">
        <v>635</v>
      </c>
      <c r="Q99" s="6"/>
      <c r="R99" s="6" t="s">
        <v>636</v>
      </c>
      <c r="S99" s="6" t="s">
        <v>637</v>
      </c>
      <c r="T99" s="6" t="s">
        <v>83</v>
      </c>
      <c r="U99" s="6"/>
      <c r="V99" s="6" t="s">
        <v>1074</v>
      </c>
      <c r="W99" s="6" t="s">
        <v>1075</v>
      </c>
      <c r="X99" s="6" t="s">
        <v>1076</v>
      </c>
      <c r="Y99" s="6"/>
      <c r="Z99" s="6"/>
      <c r="AA99" s="6" t="s">
        <v>89</v>
      </c>
      <c r="AB99" s="6" t="s">
        <v>1077</v>
      </c>
      <c r="AC99" s="6" t="s">
        <v>1078</v>
      </c>
      <c r="AD99" s="6" t="s">
        <v>1079</v>
      </c>
      <c r="AE99" s="6" t="s">
        <v>1080</v>
      </c>
      <c r="AF99" s="6"/>
      <c r="AG99" s="6"/>
      <c r="AH99" s="6"/>
      <c r="AI99" s="7"/>
      <c r="AJ99" s="7"/>
      <c r="AK99" s="7"/>
      <c r="AL99" s="7"/>
      <c r="AM99" s="7"/>
      <c r="AN99" s="7"/>
      <c r="AO99" s="7"/>
      <c r="AP99" s="7"/>
      <c r="AQ99" s="7"/>
      <c r="AR99" s="7"/>
      <c r="AS99" s="7"/>
      <c r="AT99" s="7"/>
      <c r="AU99" s="7"/>
      <c r="AV99" s="7"/>
      <c r="AW99" s="7"/>
      <c r="AX99" s="7"/>
      <c r="AY99" s="7"/>
      <c r="AZ99" s="7"/>
    </row>
    <row r="100" customFormat="false" ht="150" hidden="false" customHeight="true" outlineLevel="0" collapsed="false">
      <c r="A100" s="6" t="s">
        <v>1081</v>
      </c>
      <c r="B100" s="6" t="s">
        <v>594</v>
      </c>
      <c r="C100" s="6" t="s">
        <v>76</v>
      </c>
      <c r="D100" s="6" t="s">
        <v>123</v>
      </c>
      <c r="E100" s="6" t="s">
        <v>124</v>
      </c>
      <c r="F100" s="6" t="s">
        <v>96</v>
      </c>
      <c r="G100" s="6" t="s">
        <v>165</v>
      </c>
      <c r="H100" s="6" t="s">
        <v>372</v>
      </c>
      <c r="I100" s="6" t="s">
        <v>373</v>
      </c>
      <c r="J100" s="6" t="s">
        <v>621</v>
      </c>
      <c r="K100" s="6" t="s">
        <v>1082</v>
      </c>
      <c r="L100" s="6" t="s">
        <v>1083</v>
      </c>
      <c r="M100" s="6" t="s">
        <v>1084</v>
      </c>
      <c r="N100" s="6"/>
      <c r="O100" s="6"/>
      <c r="P100" s="6" t="s">
        <v>156</v>
      </c>
      <c r="Q100" s="6"/>
      <c r="R100" s="6" t="s">
        <v>191</v>
      </c>
      <c r="S100" s="6" t="s">
        <v>612</v>
      </c>
      <c r="T100" s="6" t="s">
        <v>83</v>
      </c>
      <c r="U100" s="6"/>
      <c r="V100" s="6" t="s">
        <v>1085</v>
      </c>
      <c r="W100" s="6" t="s">
        <v>1086</v>
      </c>
      <c r="X100" s="6" t="s">
        <v>1087</v>
      </c>
      <c r="Y100" s="6"/>
      <c r="Z100" s="6"/>
      <c r="AA100" s="6" t="s">
        <v>89</v>
      </c>
      <c r="AB100" s="6" t="s">
        <v>1088</v>
      </c>
      <c r="AC100" s="6" t="s">
        <v>1089</v>
      </c>
      <c r="AD100" s="6" t="s">
        <v>1090</v>
      </c>
      <c r="AE100" s="6" t="s">
        <v>1091</v>
      </c>
      <c r="AF100" s="6" t="s">
        <v>1092</v>
      </c>
      <c r="AG100" s="6"/>
      <c r="AH100" s="6"/>
      <c r="AI100" s="7"/>
      <c r="AJ100" s="7"/>
      <c r="AK100" s="7"/>
      <c r="AL100" s="7"/>
      <c r="AM100" s="7"/>
      <c r="AN100" s="7"/>
      <c r="AO100" s="7"/>
      <c r="AP100" s="7"/>
      <c r="AQ100" s="7"/>
      <c r="AR100" s="7"/>
      <c r="AS100" s="7"/>
      <c r="AT100" s="7"/>
      <c r="AU100" s="7"/>
      <c r="AV100" s="7"/>
      <c r="AW100" s="7"/>
      <c r="AX100" s="7"/>
      <c r="AY100" s="7"/>
      <c r="AZ100" s="7"/>
    </row>
    <row r="101" customFormat="false" ht="150" hidden="false" customHeight="true" outlineLevel="0" collapsed="false">
      <c r="A101" s="6" t="s">
        <v>1093</v>
      </c>
      <c r="B101" s="6" t="s">
        <v>594</v>
      </c>
      <c r="C101" s="6" t="s">
        <v>76</v>
      </c>
      <c r="D101" s="6" t="s">
        <v>77</v>
      </c>
      <c r="E101" s="6" t="s">
        <v>78</v>
      </c>
      <c r="F101" s="6"/>
      <c r="G101" s="6" t="s">
        <v>165</v>
      </c>
      <c r="H101" s="6" t="s">
        <v>408</v>
      </c>
      <c r="I101" s="6" t="s">
        <v>409</v>
      </c>
      <c r="J101" s="6" t="s">
        <v>660</v>
      </c>
      <c r="K101" s="6" t="s">
        <v>670</v>
      </c>
      <c r="L101" s="6" t="s">
        <v>671</v>
      </c>
      <c r="M101" s="6" t="s">
        <v>1094</v>
      </c>
      <c r="N101" s="6"/>
      <c r="O101" s="6"/>
      <c r="P101" s="6" t="s">
        <v>156</v>
      </c>
      <c r="Q101" s="6"/>
      <c r="R101" s="6" t="s">
        <v>157</v>
      </c>
      <c r="S101" s="6" t="s">
        <v>398</v>
      </c>
      <c r="T101" s="6" t="s">
        <v>83</v>
      </c>
      <c r="U101" s="6"/>
      <c r="V101" s="6" t="s">
        <v>1095</v>
      </c>
      <c r="W101" s="6" t="s">
        <v>1096</v>
      </c>
      <c r="X101" s="6" t="s">
        <v>1097</v>
      </c>
      <c r="Y101" s="6"/>
      <c r="Z101" s="6"/>
      <c r="AA101" s="6" t="s">
        <v>89</v>
      </c>
      <c r="AB101" s="6" t="s">
        <v>1098</v>
      </c>
      <c r="AC101" s="6" t="s">
        <v>1099</v>
      </c>
      <c r="AD101" s="6"/>
      <c r="AE101" s="6"/>
      <c r="AF101" s="6"/>
      <c r="AG101" s="6" t="s">
        <v>1100</v>
      </c>
      <c r="AH101" s="6" t="s">
        <v>1101</v>
      </c>
      <c r="AI101" s="7"/>
      <c r="AJ101" s="7"/>
      <c r="AK101" s="7"/>
      <c r="AL101" s="7"/>
      <c r="AM101" s="7"/>
      <c r="AN101" s="7"/>
      <c r="AO101" s="7"/>
      <c r="AP101" s="7"/>
      <c r="AQ101" s="7"/>
      <c r="AR101" s="7"/>
      <c r="AS101" s="7"/>
      <c r="AT101" s="7"/>
      <c r="AU101" s="7"/>
      <c r="AV101" s="7"/>
      <c r="AW101" s="7"/>
      <c r="AX101" s="7"/>
      <c r="AY101" s="7"/>
      <c r="AZ101" s="7"/>
    </row>
    <row r="102" customFormat="false" ht="150" hidden="false" customHeight="true" outlineLevel="0" collapsed="false">
      <c r="A102" s="6" t="s">
        <v>1102</v>
      </c>
      <c r="B102" s="6" t="s">
        <v>594</v>
      </c>
      <c r="C102" s="6" t="s">
        <v>76</v>
      </c>
      <c r="D102" s="6" t="s">
        <v>77</v>
      </c>
      <c r="E102" s="6" t="s">
        <v>78</v>
      </c>
      <c r="F102" s="6" t="s">
        <v>145</v>
      </c>
      <c r="G102" s="6" t="s">
        <v>98</v>
      </c>
      <c r="H102" s="6" t="s">
        <v>431</v>
      </c>
      <c r="I102" s="6" t="s">
        <v>432</v>
      </c>
      <c r="J102" s="6" t="s">
        <v>660</v>
      </c>
      <c r="K102" s="6" t="s">
        <v>1103</v>
      </c>
      <c r="L102" s="6" t="s">
        <v>1104</v>
      </c>
      <c r="M102" s="6" t="s">
        <v>1105</v>
      </c>
      <c r="N102" s="6"/>
      <c r="O102" s="6"/>
      <c r="P102" s="6" t="s">
        <v>156</v>
      </c>
      <c r="Q102" s="6" t="s">
        <v>169</v>
      </c>
      <c r="R102" s="6" t="s">
        <v>191</v>
      </c>
      <c r="S102" s="6" t="s">
        <v>933</v>
      </c>
      <c r="T102" s="6" t="s">
        <v>83</v>
      </c>
      <c r="U102" s="6"/>
      <c r="V102" s="6" t="s">
        <v>1106</v>
      </c>
      <c r="W102" s="6" t="s">
        <v>935</v>
      </c>
      <c r="X102" s="6" t="s">
        <v>1107</v>
      </c>
      <c r="Y102" s="6"/>
      <c r="Z102" s="6"/>
      <c r="AA102" s="6" t="s">
        <v>89</v>
      </c>
      <c r="AB102" s="6" t="s">
        <v>1108</v>
      </c>
      <c r="AC102" s="6" t="s">
        <v>1109</v>
      </c>
      <c r="AD102" s="6" t="s">
        <v>1110</v>
      </c>
      <c r="AE102" s="6" t="s">
        <v>1111</v>
      </c>
      <c r="AF102" s="6"/>
      <c r="AG102" s="6"/>
      <c r="AH102" s="6"/>
      <c r="AI102" s="7"/>
      <c r="AJ102" s="7"/>
      <c r="AK102" s="7"/>
      <c r="AL102" s="7"/>
      <c r="AM102" s="7"/>
      <c r="AN102" s="7"/>
      <c r="AO102" s="7"/>
      <c r="AP102" s="7"/>
      <c r="AQ102" s="7"/>
      <c r="AR102" s="7"/>
      <c r="AS102" s="7"/>
      <c r="AT102" s="7"/>
      <c r="AU102" s="7"/>
      <c r="AV102" s="7"/>
      <c r="AW102" s="7"/>
      <c r="AX102" s="7"/>
      <c r="AY102" s="7"/>
      <c r="AZ102" s="7"/>
    </row>
    <row r="103" customFormat="false" ht="150" hidden="false" customHeight="true" outlineLevel="0" collapsed="false">
      <c r="A103" s="6" t="s">
        <v>1112</v>
      </c>
      <c r="B103" s="6" t="s">
        <v>594</v>
      </c>
      <c r="C103" s="6" t="s">
        <v>76</v>
      </c>
      <c r="D103" s="6" t="s">
        <v>77</v>
      </c>
      <c r="E103" s="6" t="s">
        <v>78</v>
      </c>
      <c r="F103" s="6" t="s">
        <v>132</v>
      </c>
      <c r="G103" s="6" t="s">
        <v>165</v>
      </c>
      <c r="H103" s="6" t="s">
        <v>491</v>
      </c>
      <c r="I103" s="6" t="s">
        <v>492</v>
      </c>
      <c r="J103" s="6" t="s">
        <v>621</v>
      </c>
      <c r="K103" s="6" t="s">
        <v>1113</v>
      </c>
      <c r="L103" s="6" t="s">
        <v>1114</v>
      </c>
      <c r="M103" s="6" t="s">
        <v>1115</v>
      </c>
      <c r="N103" s="6"/>
      <c r="O103" s="6"/>
      <c r="P103" s="6" t="s">
        <v>156</v>
      </c>
      <c r="Q103" s="6" t="s">
        <v>771</v>
      </c>
      <c r="R103" s="6" t="s">
        <v>191</v>
      </c>
      <c r="S103" s="6" t="s">
        <v>494</v>
      </c>
      <c r="T103" s="6" t="s">
        <v>83</v>
      </c>
      <c r="U103" s="6"/>
      <c r="V103" s="6" t="s">
        <v>1116</v>
      </c>
      <c r="W103" s="6" t="s">
        <v>1117</v>
      </c>
      <c r="X103" s="6" t="s">
        <v>1118</v>
      </c>
      <c r="Y103" s="6"/>
      <c r="Z103" s="6"/>
      <c r="AA103" s="6" t="s">
        <v>89</v>
      </c>
      <c r="AB103" s="6" t="s">
        <v>1119</v>
      </c>
      <c r="AC103" s="6" t="s">
        <v>1120</v>
      </c>
      <c r="AD103" s="6" t="s">
        <v>1121</v>
      </c>
      <c r="AE103" s="6" t="s">
        <v>1122</v>
      </c>
      <c r="AF103" s="6"/>
      <c r="AG103" s="6"/>
      <c r="AH103" s="6"/>
      <c r="AI103" s="7"/>
      <c r="AJ103" s="7"/>
      <c r="AK103" s="7"/>
      <c r="AL103" s="7"/>
      <c r="AM103" s="7"/>
      <c r="AN103" s="7"/>
      <c r="AO103" s="7"/>
      <c r="AP103" s="7"/>
      <c r="AQ103" s="7"/>
      <c r="AR103" s="7"/>
      <c r="AS103" s="7"/>
      <c r="AT103" s="7"/>
      <c r="AU103" s="7"/>
      <c r="AV103" s="7"/>
      <c r="AW103" s="7"/>
      <c r="AX103" s="7"/>
      <c r="AY103" s="7"/>
      <c r="AZ103" s="7"/>
    </row>
    <row r="104" customFormat="false" ht="150" hidden="false" customHeight="true" outlineLevel="0" collapsed="false">
      <c r="A104" s="6" t="s">
        <v>1123</v>
      </c>
      <c r="B104" s="6" t="s">
        <v>594</v>
      </c>
      <c r="C104" s="6" t="s">
        <v>76</v>
      </c>
      <c r="D104" s="6" t="s">
        <v>96</v>
      </c>
      <c r="E104" s="6" t="s">
        <v>97</v>
      </c>
      <c r="F104" s="6"/>
      <c r="G104" s="6" t="s">
        <v>98</v>
      </c>
      <c r="H104" s="6" t="s">
        <v>781</v>
      </c>
      <c r="I104" s="6" t="s">
        <v>373</v>
      </c>
      <c r="J104" s="6" t="s">
        <v>660</v>
      </c>
      <c r="K104" s="6" t="s">
        <v>767</v>
      </c>
      <c r="L104" s="6" t="s">
        <v>768</v>
      </c>
      <c r="M104" s="6" t="s">
        <v>1124</v>
      </c>
      <c r="N104" s="6"/>
      <c r="O104" s="6"/>
      <c r="P104" s="6" t="s">
        <v>770</v>
      </c>
      <c r="Q104" s="6" t="s">
        <v>771</v>
      </c>
      <c r="R104" s="6" t="s">
        <v>772</v>
      </c>
      <c r="S104" s="6" t="s">
        <v>1125</v>
      </c>
      <c r="T104" s="6" t="s">
        <v>83</v>
      </c>
      <c r="U104" s="6"/>
      <c r="V104" s="6" t="s">
        <v>1126</v>
      </c>
      <c r="W104" s="6" t="s">
        <v>1127</v>
      </c>
      <c r="X104" s="6" t="s">
        <v>1128</v>
      </c>
      <c r="Y104" s="6"/>
      <c r="Z104" s="6"/>
      <c r="AA104" s="6" t="s">
        <v>89</v>
      </c>
      <c r="AB104" s="6" t="s">
        <v>1129</v>
      </c>
      <c r="AC104" s="6" t="s">
        <v>1130</v>
      </c>
      <c r="AD104" s="6" t="s">
        <v>1131</v>
      </c>
      <c r="AE104" s="6" t="s">
        <v>1132</v>
      </c>
      <c r="AF104" s="6" t="s">
        <v>1133</v>
      </c>
      <c r="AG104" s="6"/>
      <c r="AH104" s="6"/>
      <c r="AI104" s="7"/>
      <c r="AJ104" s="7"/>
      <c r="AK104" s="7"/>
      <c r="AL104" s="7"/>
      <c r="AM104" s="7"/>
      <c r="AN104" s="7"/>
      <c r="AO104" s="7"/>
      <c r="AP104" s="7"/>
      <c r="AQ104" s="7"/>
      <c r="AR104" s="7"/>
      <c r="AS104" s="7"/>
      <c r="AT104" s="7"/>
      <c r="AU104" s="7"/>
      <c r="AV104" s="7"/>
      <c r="AW104" s="7"/>
      <c r="AX104" s="7"/>
      <c r="AY104" s="7"/>
      <c r="AZ104" s="7"/>
    </row>
    <row r="105" customFormat="false" ht="150" hidden="false" customHeight="true" outlineLevel="0" collapsed="false">
      <c r="A105" s="6" t="s">
        <v>1134</v>
      </c>
      <c r="B105" s="6" t="s">
        <v>594</v>
      </c>
      <c r="C105" s="6" t="s">
        <v>76</v>
      </c>
      <c r="D105" s="6" t="s">
        <v>96</v>
      </c>
      <c r="E105" s="6" t="s">
        <v>97</v>
      </c>
      <c r="F105" s="6"/>
      <c r="G105" s="6" t="s">
        <v>165</v>
      </c>
      <c r="H105" s="6" t="s">
        <v>372</v>
      </c>
      <c r="I105" s="6" t="s">
        <v>409</v>
      </c>
      <c r="J105" s="6" t="s">
        <v>660</v>
      </c>
      <c r="K105" s="6" t="s">
        <v>767</v>
      </c>
      <c r="L105" s="6" t="s">
        <v>768</v>
      </c>
      <c r="M105" s="6" t="s">
        <v>1135</v>
      </c>
      <c r="N105" s="6"/>
      <c r="O105" s="6"/>
      <c r="P105" s="6" t="s">
        <v>770</v>
      </c>
      <c r="Q105" s="6" t="s">
        <v>771</v>
      </c>
      <c r="R105" s="6" t="s">
        <v>772</v>
      </c>
      <c r="S105" s="6" t="s">
        <v>1136</v>
      </c>
      <c r="T105" s="6" t="s">
        <v>83</v>
      </c>
      <c r="U105" s="6"/>
      <c r="V105" s="6" t="s">
        <v>1137</v>
      </c>
      <c r="W105" s="6" t="s">
        <v>1138</v>
      </c>
      <c r="X105" s="6" t="s">
        <v>1139</v>
      </c>
      <c r="Y105" s="6"/>
      <c r="Z105" s="6"/>
      <c r="AA105" s="6" t="s">
        <v>89</v>
      </c>
      <c r="AB105" s="6" t="s">
        <v>1140</v>
      </c>
      <c r="AC105" s="6" t="s">
        <v>1141</v>
      </c>
      <c r="AD105" s="6"/>
      <c r="AE105" s="6"/>
      <c r="AF105" s="6"/>
      <c r="AG105" s="6" t="s">
        <v>1142</v>
      </c>
      <c r="AH105" s="6" t="s">
        <v>1143</v>
      </c>
      <c r="AI105" s="7"/>
      <c r="AJ105" s="7"/>
      <c r="AK105" s="7"/>
      <c r="AL105" s="7"/>
      <c r="AM105" s="7"/>
      <c r="AN105" s="7"/>
      <c r="AO105" s="7"/>
      <c r="AP105" s="7"/>
      <c r="AQ105" s="7"/>
      <c r="AR105" s="7"/>
      <c r="AS105" s="7"/>
      <c r="AT105" s="7"/>
      <c r="AU105" s="7"/>
      <c r="AV105" s="7"/>
      <c r="AW105" s="7"/>
      <c r="AX105" s="7"/>
      <c r="AY105" s="7"/>
      <c r="AZ105" s="7"/>
    </row>
    <row r="106" customFormat="false" ht="150" hidden="false" customHeight="true" outlineLevel="0" collapsed="false">
      <c r="A106" s="6" t="s">
        <v>1144</v>
      </c>
      <c r="B106" s="6" t="s">
        <v>594</v>
      </c>
      <c r="C106" s="6" t="s">
        <v>76</v>
      </c>
      <c r="D106" s="6" t="s">
        <v>96</v>
      </c>
      <c r="E106" s="6" t="s">
        <v>97</v>
      </c>
      <c r="F106" s="6" t="s">
        <v>110</v>
      </c>
      <c r="G106" s="6" t="s">
        <v>98</v>
      </c>
      <c r="H106" s="6" t="s">
        <v>491</v>
      </c>
      <c r="I106" s="6" t="s">
        <v>492</v>
      </c>
      <c r="J106" s="6" t="s">
        <v>660</v>
      </c>
      <c r="K106" s="6" t="s">
        <v>1145</v>
      </c>
      <c r="L106" s="6" t="s">
        <v>1146</v>
      </c>
      <c r="M106" s="6" t="s">
        <v>1147</v>
      </c>
      <c r="N106" s="6"/>
      <c r="O106" s="6"/>
      <c r="P106" s="6" t="s">
        <v>156</v>
      </c>
      <c r="Q106" s="6" t="s">
        <v>1148</v>
      </c>
      <c r="R106" s="6" t="s">
        <v>191</v>
      </c>
      <c r="S106" s="6" t="s">
        <v>783</v>
      </c>
      <c r="T106" s="6" t="s">
        <v>83</v>
      </c>
      <c r="U106" s="6"/>
      <c r="V106" s="6" t="s">
        <v>1149</v>
      </c>
      <c r="W106" s="6" t="s">
        <v>1150</v>
      </c>
      <c r="X106" s="6" t="s">
        <v>1151</v>
      </c>
      <c r="Y106" s="6"/>
      <c r="Z106" s="6"/>
      <c r="AA106" s="6" t="s">
        <v>89</v>
      </c>
      <c r="AB106" s="6" t="s">
        <v>1152</v>
      </c>
      <c r="AC106" s="6" t="s">
        <v>1153</v>
      </c>
      <c r="AD106" s="6" t="s">
        <v>1154</v>
      </c>
      <c r="AE106" s="6" t="s">
        <v>1155</v>
      </c>
      <c r="AF106" s="6"/>
      <c r="AG106" s="6"/>
      <c r="AH106" s="6"/>
      <c r="AI106" s="7"/>
      <c r="AJ106" s="7"/>
      <c r="AK106" s="7"/>
      <c r="AL106" s="7"/>
      <c r="AM106" s="7"/>
      <c r="AN106" s="7"/>
      <c r="AO106" s="7"/>
      <c r="AP106" s="7"/>
      <c r="AQ106" s="7"/>
      <c r="AR106" s="7"/>
      <c r="AS106" s="7"/>
      <c r="AT106" s="7"/>
      <c r="AU106" s="7"/>
      <c r="AV106" s="7"/>
      <c r="AW106" s="7"/>
      <c r="AX106" s="7"/>
      <c r="AY106" s="7"/>
      <c r="AZ106" s="7"/>
    </row>
    <row r="107" customFormat="false" ht="150" hidden="false" customHeight="true" outlineLevel="0" collapsed="false">
      <c r="A107" s="6" t="s">
        <v>1156</v>
      </c>
      <c r="B107" s="6" t="s">
        <v>594</v>
      </c>
      <c r="C107" s="6" t="s">
        <v>76</v>
      </c>
      <c r="D107" s="6" t="s">
        <v>96</v>
      </c>
      <c r="E107" s="6" t="s">
        <v>97</v>
      </c>
      <c r="F107" s="6" t="s">
        <v>132</v>
      </c>
      <c r="G107" s="6" t="s">
        <v>165</v>
      </c>
      <c r="H107" s="6" t="s">
        <v>372</v>
      </c>
      <c r="I107" s="6" t="s">
        <v>373</v>
      </c>
      <c r="J107" s="6" t="s">
        <v>621</v>
      </c>
      <c r="K107" s="6" t="s">
        <v>1039</v>
      </c>
      <c r="L107" s="6" t="s">
        <v>1040</v>
      </c>
      <c r="M107" s="6" t="s">
        <v>1157</v>
      </c>
      <c r="N107" s="6"/>
      <c r="O107" s="6"/>
      <c r="P107" s="6" t="s">
        <v>156</v>
      </c>
      <c r="Q107" s="6" t="s">
        <v>338</v>
      </c>
      <c r="R107" s="6" t="s">
        <v>191</v>
      </c>
      <c r="S107" s="6" t="s">
        <v>977</v>
      </c>
      <c r="T107" s="6" t="s">
        <v>83</v>
      </c>
      <c r="U107" s="6"/>
      <c r="V107" s="6" t="s">
        <v>1158</v>
      </c>
      <c r="W107" s="6" t="s">
        <v>1159</v>
      </c>
      <c r="X107" s="6" t="s">
        <v>1160</v>
      </c>
      <c r="Y107" s="6"/>
      <c r="Z107" s="6"/>
      <c r="AA107" s="6" t="s">
        <v>89</v>
      </c>
      <c r="AB107" s="6" t="s">
        <v>1161</v>
      </c>
      <c r="AC107" s="6" t="s">
        <v>1162</v>
      </c>
      <c r="AD107" s="6" t="s">
        <v>1163</v>
      </c>
      <c r="AE107" s="6" t="s">
        <v>1164</v>
      </c>
      <c r="AF107" s="6" t="s">
        <v>1165</v>
      </c>
      <c r="AG107" s="6"/>
      <c r="AH107" s="6"/>
      <c r="AI107" s="7"/>
      <c r="AJ107" s="7"/>
      <c r="AK107" s="7"/>
      <c r="AL107" s="7"/>
      <c r="AM107" s="7"/>
      <c r="AN107" s="7"/>
      <c r="AO107" s="7"/>
      <c r="AP107" s="7"/>
      <c r="AQ107" s="7"/>
      <c r="AR107" s="7"/>
      <c r="AS107" s="7"/>
      <c r="AT107" s="7"/>
      <c r="AU107" s="7"/>
      <c r="AV107" s="7"/>
      <c r="AW107" s="7"/>
      <c r="AX107" s="7"/>
      <c r="AY107" s="7"/>
      <c r="AZ107" s="7"/>
    </row>
    <row r="108" customFormat="false" ht="150" hidden="false" customHeight="true" outlineLevel="0" collapsed="false">
      <c r="A108" s="6" t="s">
        <v>1166</v>
      </c>
      <c r="B108" s="6" t="s">
        <v>594</v>
      </c>
      <c r="C108" s="6" t="s">
        <v>76</v>
      </c>
      <c r="D108" s="6" t="s">
        <v>110</v>
      </c>
      <c r="E108" s="6" t="s">
        <v>111</v>
      </c>
      <c r="F108" s="6"/>
      <c r="G108" s="6" t="s">
        <v>165</v>
      </c>
      <c r="H108" s="6" t="s">
        <v>431</v>
      </c>
      <c r="I108" s="6" t="s">
        <v>432</v>
      </c>
      <c r="J108" s="6" t="s">
        <v>660</v>
      </c>
      <c r="K108" s="6" t="s">
        <v>833</v>
      </c>
      <c r="L108" s="6" t="s">
        <v>834</v>
      </c>
      <c r="M108" s="6" t="s">
        <v>1167</v>
      </c>
      <c r="N108" s="6"/>
      <c r="O108" s="6"/>
      <c r="P108" s="6" t="s">
        <v>156</v>
      </c>
      <c r="Q108" s="6" t="s">
        <v>283</v>
      </c>
      <c r="R108" s="6" t="s">
        <v>191</v>
      </c>
      <c r="S108" s="6" t="s">
        <v>921</v>
      </c>
      <c r="T108" s="6" t="s">
        <v>83</v>
      </c>
      <c r="U108" s="6"/>
      <c r="V108" s="6" t="s">
        <v>1168</v>
      </c>
      <c r="W108" s="6" t="s">
        <v>1169</v>
      </c>
      <c r="X108" s="6" t="s">
        <v>1170</v>
      </c>
      <c r="Y108" s="6"/>
      <c r="Z108" s="6"/>
      <c r="AA108" s="6" t="s">
        <v>89</v>
      </c>
      <c r="AB108" s="6" t="s">
        <v>1171</v>
      </c>
      <c r="AC108" s="6" t="s">
        <v>1172</v>
      </c>
      <c r="AD108" s="6" t="s">
        <v>1173</v>
      </c>
      <c r="AE108" s="6" t="s">
        <v>1174</v>
      </c>
      <c r="AF108" s="6"/>
      <c r="AG108" s="6"/>
      <c r="AH108" s="6"/>
      <c r="AI108" s="7"/>
      <c r="AJ108" s="7"/>
      <c r="AK108" s="7"/>
      <c r="AL108" s="7"/>
      <c r="AM108" s="7"/>
      <c r="AN108" s="7"/>
      <c r="AO108" s="7"/>
      <c r="AP108" s="7"/>
      <c r="AQ108" s="7"/>
      <c r="AR108" s="7"/>
      <c r="AS108" s="7"/>
      <c r="AT108" s="7"/>
      <c r="AU108" s="7"/>
      <c r="AV108" s="7"/>
      <c r="AW108" s="7"/>
      <c r="AX108" s="7"/>
      <c r="AY108" s="7"/>
      <c r="AZ108" s="7"/>
    </row>
    <row r="109" customFormat="false" ht="150" hidden="false" customHeight="true" outlineLevel="0" collapsed="false">
      <c r="A109" s="6" t="s">
        <v>1175</v>
      </c>
      <c r="B109" s="6" t="s">
        <v>594</v>
      </c>
      <c r="C109" s="6" t="s">
        <v>76</v>
      </c>
      <c r="D109" s="6" t="s">
        <v>110</v>
      </c>
      <c r="E109" s="6" t="s">
        <v>111</v>
      </c>
      <c r="F109" s="6" t="s">
        <v>123</v>
      </c>
      <c r="G109" s="6" t="s">
        <v>98</v>
      </c>
      <c r="H109" s="6" t="s">
        <v>1062</v>
      </c>
      <c r="I109" s="6" t="s">
        <v>1063</v>
      </c>
      <c r="J109" s="6" t="s">
        <v>621</v>
      </c>
      <c r="K109" s="6" t="s">
        <v>1176</v>
      </c>
      <c r="L109" s="6" t="s">
        <v>1177</v>
      </c>
      <c r="M109" s="6" t="s">
        <v>1178</v>
      </c>
      <c r="N109" s="6"/>
      <c r="O109" s="6"/>
      <c r="P109" s="6" t="s">
        <v>156</v>
      </c>
      <c r="Q109" s="6" t="s">
        <v>283</v>
      </c>
      <c r="R109" s="6" t="s">
        <v>191</v>
      </c>
      <c r="S109" s="6" t="s">
        <v>1179</v>
      </c>
      <c r="T109" s="6" t="s">
        <v>83</v>
      </c>
      <c r="U109" s="6"/>
      <c r="V109" s="6" t="s">
        <v>1180</v>
      </c>
      <c r="W109" s="6" t="s">
        <v>1181</v>
      </c>
      <c r="X109" s="6" t="s">
        <v>1182</v>
      </c>
      <c r="Y109" s="6"/>
      <c r="Z109" s="6"/>
      <c r="AA109" s="6" t="s">
        <v>89</v>
      </c>
      <c r="AB109" s="6" t="s">
        <v>1183</v>
      </c>
      <c r="AC109" s="6" t="s">
        <v>1184</v>
      </c>
      <c r="AD109" s="6" t="s">
        <v>1185</v>
      </c>
      <c r="AE109" s="6" t="s">
        <v>1186</v>
      </c>
      <c r="AF109" s="6"/>
      <c r="AG109" s="6"/>
      <c r="AH109" s="6"/>
      <c r="AI109" s="7"/>
      <c r="AJ109" s="7"/>
      <c r="AK109" s="7"/>
      <c r="AL109" s="7"/>
      <c r="AM109" s="7"/>
      <c r="AN109" s="7"/>
      <c r="AO109" s="7"/>
      <c r="AP109" s="7"/>
      <c r="AQ109" s="7"/>
      <c r="AR109" s="7"/>
      <c r="AS109" s="7"/>
      <c r="AT109" s="7"/>
      <c r="AU109" s="7"/>
      <c r="AV109" s="7"/>
      <c r="AW109" s="7"/>
      <c r="AX109" s="7"/>
      <c r="AY109" s="7"/>
      <c r="AZ109" s="7"/>
    </row>
    <row r="110" customFormat="false" ht="150" hidden="false" customHeight="true" outlineLevel="0" collapsed="false">
      <c r="A110" s="6" t="s">
        <v>1187</v>
      </c>
      <c r="B110" s="6" t="s">
        <v>594</v>
      </c>
      <c r="C110" s="6" t="s">
        <v>76</v>
      </c>
      <c r="D110" s="6" t="s">
        <v>132</v>
      </c>
      <c r="E110" s="6" t="s">
        <v>133</v>
      </c>
      <c r="F110" s="6" t="s">
        <v>77</v>
      </c>
      <c r="G110" s="6" t="s">
        <v>98</v>
      </c>
      <c r="H110" s="6" t="s">
        <v>372</v>
      </c>
      <c r="I110" s="6" t="s">
        <v>409</v>
      </c>
      <c r="J110" s="6" t="s">
        <v>660</v>
      </c>
      <c r="K110" s="6" t="s">
        <v>1188</v>
      </c>
      <c r="L110" s="6" t="s">
        <v>1189</v>
      </c>
      <c r="M110" s="6" t="s">
        <v>1190</v>
      </c>
      <c r="N110" s="6"/>
      <c r="O110" s="6"/>
      <c r="P110" s="6" t="s">
        <v>156</v>
      </c>
      <c r="Q110" s="6" t="s">
        <v>771</v>
      </c>
      <c r="R110" s="6" t="s">
        <v>191</v>
      </c>
      <c r="S110" s="6" t="s">
        <v>540</v>
      </c>
      <c r="T110" s="6" t="s">
        <v>83</v>
      </c>
      <c r="U110" s="6"/>
      <c r="V110" s="6" t="s">
        <v>1191</v>
      </c>
      <c r="W110" s="6" t="s">
        <v>1192</v>
      </c>
      <c r="X110" s="6" t="s">
        <v>1193</v>
      </c>
      <c r="Y110" s="6"/>
      <c r="Z110" s="6"/>
      <c r="AA110" s="6" t="s">
        <v>89</v>
      </c>
      <c r="AB110" s="6" t="s">
        <v>1194</v>
      </c>
      <c r="AC110" s="6" t="s">
        <v>1195</v>
      </c>
      <c r="AD110" s="6"/>
      <c r="AE110" s="6"/>
      <c r="AF110" s="6"/>
      <c r="AG110" s="6" t="s">
        <v>1196</v>
      </c>
      <c r="AH110" s="6" t="s">
        <v>1197</v>
      </c>
      <c r="AI110" s="7"/>
      <c r="AJ110" s="7"/>
      <c r="AK110" s="7"/>
      <c r="AL110" s="7"/>
      <c r="AM110" s="7"/>
      <c r="AN110" s="7"/>
      <c r="AO110" s="7"/>
      <c r="AP110" s="7"/>
      <c r="AQ110" s="7"/>
      <c r="AR110" s="7"/>
      <c r="AS110" s="7"/>
      <c r="AT110" s="7"/>
      <c r="AU110" s="7"/>
      <c r="AV110" s="7"/>
      <c r="AW110" s="7"/>
      <c r="AX110" s="7"/>
      <c r="AY110" s="7"/>
      <c r="AZ110" s="7"/>
    </row>
    <row r="111" customFormat="false" ht="150" hidden="false" customHeight="true" outlineLevel="0" collapsed="false">
      <c r="A111" s="6" t="s">
        <v>1198</v>
      </c>
      <c r="B111" s="6" t="s">
        <v>594</v>
      </c>
      <c r="C111" s="6" t="s">
        <v>76</v>
      </c>
      <c r="D111" s="6" t="s">
        <v>132</v>
      </c>
      <c r="E111" s="6" t="s">
        <v>133</v>
      </c>
      <c r="F111" s="6"/>
      <c r="G111" s="6" t="s">
        <v>165</v>
      </c>
      <c r="H111" s="6" t="s">
        <v>491</v>
      </c>
      <c r="I111" s="6" t="s">
        <v>492</v>
      </c>
      <c r="J111" s="6" t="s">
        <v>621</v>
      </c>
      <c r="K111" s="6" t="s">
        <v>897</v>
      </c>
      <c r="L111" s="6" t="s">
        <v>898</v>
      </c>
      <c r="M111" s="6" t="s">
        <v>1199</v>
      </c>
      <c r="N111" s="6"/>
      <c r="O111" s="6"/>
      <c r="P111" s="6" t="s">
        <v>869</v>
      </c>
      <c r="Q111" s="6" t="s">
        <v>338</v>
      </c>
      <c r="R111" s="6" t="s">
        <v>191</v>
      </c>
      <c r="S111" s="6" t="s">
        <v>910</v>
      </c>
      <c r="T111" s="6" t="s">
        <v>83</v>
      </c>
      <c r="U111" s="6"/>
      <c r="V111" s="6" t="s">
        <v>1200</v>
      </c>
      <c r="W111" s="6" t="s">
        <v>1201</v>
      </c>
      <c r="X111" s="6" t="s">
        <v>1202</v>
      </c>
      <c r="Y111" s="6"/>
      <c r="Z111" s="6"/>
      <c r="AA111" s="6" t="s">
        <v>89</v>
      </c>
      <c r="AB111" s="6" t="s">
        <v>1203</v>
      </c>
      <c r="AC111" s="6" t="s">
        <v>1204</v>
      </c>
      <c r="AD111" s="6" t="s">
        <v>1205</v>
      </c>
      <c r="AE111" s="6" t="s">
        <v>1206</v>
      </c>
      <c r="AF111" s="6"/>
      <c r="AG111" s="6"/>
      <c r="AH111" s="6"/>
      <c r="AI111" s="7"/>
      <c r="AJ111" s="7"/>
      <c r="AK111" s="7"/>
      <c r="AL111" s="7"/>
      <c r="AM111" s="7"/>
      <c r="AN111" s="7"/>
      <c r="AO111" s="7"/>
      <c r="AP111" s="7"/>
      <c r="AQ111" s="7"/>
      <c r="AR111" s="7"/>
      <c r="AS111" s="7"/>
      <c r="AT111" s="7"/>
      <c r="AU111" s="7"/>
      <c r="AV111" s="7"/>
      <c r="AW111" s="7"/>
      <c r="AX111" s="7"/>
      <c r="AY111" s="7"/>
      <c r="AZ111" s="7"/>
    </row>
    <row r="112" customFormat="false" ht="150" hidden="false" customHeight="true" outlineLevel="0" collapsed="false">
      <c r="A112" s="6" t="s">
        <v>1207</v>
      </c>
      <c r="B112" s="6" t="s">
        <v>594</v>
      </c>
      <c r="C112" s="6" t="s">
        <v>76</v>
      </c>
      <c r="D112" s="6" t="s">
        <v>132</v>
      </c>
      <c r="E112" s="6" t="s">
        <v>133</v>
      </c>
      <c r="F112" s="6" t="s">
        <v>145</v>
      </c>
      <c r="G112" s="6" t="s">
        <v>165</v>
      </c>
      <c r="H112" s="6" t="s">
        <v>452</v>
      </c>
      <c r="I112" s="6" t="s">
        <v>373</v>
      </c>
      <c r="J112" s="6" t="s">
        <v>660</v>
      </c>
      <c r="K112" s="6" t="s">
        <v>1208</v>
      </c>
      <c r="L112" s="6" t="s">
        <v>1209</v>
      </c>
      <c r="M112" s="6" t="s">
        <v>1210</v>
      </c>
      <c r="N112" s="6"/>
      <c r="O112" s="6"/>
      <c r="P112" s="6" t="s">
        <v>156</v>
      </c>
      <c r="Q112" s="6" t="s">
        <v>1211</v>
      </c>
      <c r="R112" s="6" t="s">
        <v>191</v>
      </c>
      <c r="S112" s="6" t="s">
        <v>977</v>
      </c>
      <c r="T112" s="6" t="s">
        <v>83</v>
      </c>
      <c r="U112" s="6"/>
      <c r="V112" s="6" t="s">
        <v>1212</v>
      </c>
      <c r="W112" s="6" t="s">
        <v>1213</v>
      </c>
      <c r="X112" s="6" t="s">
        <v>1214</v>
      </c>
      <c r="Y112" s="6"/>
      <c r="Z112" s="6"/>
      <c r="AA112" s="6" t="s">
        <v>89</v>
      </c>
      <c r="AB112" s="6" t="s">
        <v>1215</v>
      </c>
      <c r="AC112" s="6" t="s">
        <v>1216</v>
      </c>
      <c r="AD112" s="6" t="s">
        <v>1217</v>
      </c>
      <c r="AE112" s="6" t="s">
        <v>1218</v>
      </c>
      <c r="AF112" s="6" t="s">
        <v>1219</v>
      </c>
      <c r="AG112" s="6"/>
      <c r="AH112" s="6"/>
      <c r="AI112" s="7"/>
      <c r="AJ112" s="7"/>
      <c r="AK112" s="7"/>
      <c r="AL112" s="7"/>
      <c r="AM112" s="7"/>
      <c r="AN112" s="7"/>
      <c r="AO112" s="7"/>
      <c r="AP112" s="7"/>
      <c r="AQ112" s="7"/>
      <c r="AR112" s="7"/>
      <c r="AS112" s="7"/>
      <c r="AT112" s="7"/>
      <c r="AU112" s="7"/>
      <c r="AV112" s="7"/>
      <c r="AW112" s="7"/>
      <c r="AX112" s="7"/>
      <c r="AY112" s="7"/>
      <c r="AZ112" s="7"/>
    </row>
    <row r="113" customFormat="false" ht="150" hidden="false" customHeight="true" outlineLevel="0" collapsed="false">
      <c r="A113" s="6" t="s">
        <v>1220</v>
      </c>
      <c r="B113" s="6" t="s">
        <v>594</v>
      </c>
      <c r="C113" s="6" t="s">
        <v>76</v>
      </c>
      <c r="D113" s="6" t="s">
        <v>145</v>
      </c>
      <c r="E113" s="6" t="s">
        <v>146</v>
      </c>
      <c r="F113" s="6"/>
      <c r="G113" s="6" t="s">
        <v>98</v>
      </c>
      <c r="H113" s="6" t="s">
        <v>408</v>
      </c>
      <c r="I113" s="6" t="s">
        <v>409</v>
      </c>
      <c r="J113" s="6" t="s">
        <v>660</v>
      </c>
      <c r="K113" s="6" t="s">
        <v>962</v>
      </c>
      <c r="L113" s="6" t="s">
        <v>963</v>
      </c>
      <c r="M113" s="6" t="s">
        <v>1221</v>
      </c>
      <c r="N113" s="6"/>
      <c r="O113" s="6"/>
      <c r="P113" s="6" t="s">
        <v>965</v>
      </c>
      <c r="Q113" s="6" t="s">
        <v>966</v>
      </c>
      <c r="R113" s="6" t="s">
        <v>238</v>
      </c>
      <c r="S113" s="6" t="s">
        <v>693</v>
      </c>
      <c r="T113" s="6" t="s">
        <v>83</v>
      </c>
      <c r="U113" s="6"/>
      <c r="V113" s="6" t="s">
        <v>1222</v>
      </c>
      <c r="W113" s="6" t="s">
        <v>1223</v>
      </c>
      <c r="X113" s="6" t="s">
        <v>1224</v>
      </c>
      <c r="Y113" s="6"/>
      <c r="Z113" s="6"/>
      <c r="AA113" s="6" t="s">
        <v>89</v>
      </c>
      <c r="AB113" s="6" t="s">
        <v>1225</v>
      </c>
      <c r="AC113" s="6" t="s">
        <v>1226</v>
      </c>
      <c r="AD113" s="6"/>
      <c r="AE113" s="6"/>
      <c r="AF113" s="6"/>
      <c r="AG113" s="6" t="s">
        <v>1227</v>
      </c>
      <c r="AH113" s="6" t="s">
        <v>1228</v>
      </c>
      <c r="AI113" s="7"/>
      <c r="AJ113" s="7"/>
      <c r="AK113" s="7"/>
      <c r="AL113" s="7"/>
      <c r="AM113" s="7"/>
      <c r="AN113" s="7"/>
      <c r="AO113" s="7"/>
      <c r="AP113" s="7"/>
      <c r="AQ113" s="7"/>
      <c r="AR113" s="7"/>
      <c r="AS113" s="7"/>
      <c r="AT113" s="7"/>
      <c r="AU113" s="7"/>
      <c r="AV113" s="7"/>
      <c r="AW113" s="7"/>
      <c r="AX113" s="7"/>
      <c r="AY113" s="7"/>
      <c r="AZ113" s="7"/>
    </row>
    <row r="114" customFormat="false" ht="150" hidden="false" customHeight="true" outlineLevel="0" collapsed="false">
      <c r="A114" s="6" t="s">
        <v>1229</v>
      </c>
      <c r="B114" s="6" t="s">
        <v>594</v>
      </c>
      <c r="C114" s="6" t="s">
        <v>76</v>
      </c>
      <c r="D114" s="6" t="s">
        <v>145</v>
      </c>
      <c r="E114" s="6" t="s">
        <v>146</v>
      </c>
      <c r="F114" s="6" t="s">
        <v>110</v>
      </c>
      <c r="G114" s="6" t="s">
        <v>165</v>
      </c>
      <c r="H114" s="6" t="s">
        <v>491</v>
      </c>
      <c r="I114" s="6" t="s">
        <v>492</v>
      </c>
      <c r="J114" s="6" t="s">
        <v>621</v>
      </c>
      <c r="K114" s="6" t="s">
        <v>1230</v>
      </c>
      <c r="L114" s="6" t="s">
        <v>1231</v>
      </c>
      <c r="M114" s="6" t="s">
        <v>1232</v>
      </c>
      <c r="N114" s="6"/>
      <c r="O114" s="6"/>
      <c r="P114" s="6" t="s">
        <v>156</v>
      </c>
      <c r="Q114" s="6" t="s">
        <v>283</v>
      </c>
      <c r="R114" s="6" t="s">
        <v>191</v>
      </c>
      <c r="S114" s="6" t="s">
        <v>921</v>
      </c>
      <c r="T114" s="6" t="s">
        <v>83</v>
      </c>
      <c r="U114" s="6"/>
      <c r="V114" s="6" t="s">
        <v>1233</v>
      </c>
      <c r="W114" s="6" t="s">
        <v>1234</v>
      </c>
      <c r="X114" s="6" t="s">
        <v>1235</v>
      </c>
      <c r="Y114" s="6"/>
      <c r="Z114" s="6"/>
      <c r="AA114" s="6" t="s">
        <v>89</v>
      </c>
      <c r="AB114" s="6" t="s">
        <v>1236</v>
      </c>
      <c r="AC114" s="6" t="s">
        <v>1237</v>
      </c>
      <c r="AD114" s="6" t="s">
        <v>1238</v>
      </c>
      <c r="AE114" s="6" t="s">
        <v>1239</v>
      </c>
      <c r="AF114" s="6"/>
      <c r="AG114" s="6"/>
      <c r="AH114" s="6"/>
      <c r="AI114" s="7"/>
      <c r="AJ114" s="7"/>
      <c r="AK114" s="7"/>
      <c r="AL114" s="7"/>
      <c r="AM114" s="7"/>
      <c r="AN114" s="7"/>
      <c r="AO114" s="7"/>
      <c r="AP114" s="7"/>
      <c r="AQ114" s="7"/>
      <c r="AR114" s="7"/>
      <c r="AS114" s="7"/>
      <c r="AT114" s="7"/>
      <c r="AU114" s="7"/>
      <c r="AV114" s="7"/>
      <c r="AW114" s="7"/>
      <c r="AX114" s="7"/>
      <c r="AY114" s="7"/>
      <c r="AZ114" s="7"/>
    </row>
    <row r="115" customFormat="false" ht="150" hidden="false" customHeight="true" outlineLevel="0" collapsed="false">
      <c r="A115" s="6" t="s">
        <v>1240</v>
      </c>
      <c r="B115" s="6" t="s">
        <v>594</v>
      </c>
      <c r="C115" s="6" t="s">
        <v>76</v>
      </c>
      <c r="D115" s="6" t="s">
        <v>145</v>
      </c>
      <c r="E115" s="6" t="s">
        <v>146</v>
      </c>
      <c r="F115" s="6"/>
      <c r="G115" s="6" t="s">
        <v>165</v>
      </c>
      <c r="H115" s="6" t="s">
        <v>372</v>
      </c>
      <c r="I115" s="6" t="s">
        <v>373</v>
      </c>
      <c r="J115" s="6" t="s">
        <v>660</v>
      </c>
      <c r="K115" s="6" t="s">
        <v>930</v>
      </c>
      <c r="L115" s="6" t="s">
        <v>931</v>
      </c>
      <c r="M115" s="6" t="s">
        <v>1241</v>
      </c>
      <c r="N115" s="6"/>
      <c r="O115" s="6"/>
      <c r="P115" s="6" t="s">
        <v>156</v>
      </c>
      <c r="Q115" s="6" t="s">
        <v>169</v>
      </c>
      <c r="R115" s="6" t="s">
        <v>191</v>
      </c>
      <c r="S115" s="6" t="s">
        <v>1242</v>
      </c>
      <c r="T115" s="6" t="s">
        <v>83</v>
      </c>
      <c r="U115" s="6"/>
      <c r="V115" s="6" t="s">
        <v>1243</v>
      </c>
      <c r="W115" s="6" t="s">
        <v>1244</v>
      </c>
      <c r="X115" s="6" t="s">
        <v>1245</v>
      </c>
      <c r="Y115" s="6"/>
      <c r="Z115" s="6"/>
      <c r="AA115" s="6" t="s">
        <v>89</v>
      </c>
      <c r="AB115" s="6" t="s">
        <v>1246</v>
      </c>
      <c r="AC115" s="6" t="s">
        <v>1247</v>
      </c>
      <c r="AD115" s="6" t="s">
        <v>1248</v>
      </c>
      <c r="AE115" s="6" t="s">
        <v>1249</v>
      </c>
      <c r="AF115" s="6" t="s">
        <v>1250</v>
      </c>
      <c r="AG115" s="6"/>
      <c r="AH115" s="6"/>
      <c r="AI115" s="7"/>
      <c r="AJ115" s="7"/>
      <c r="AK115" s="7"/>
      <c r="AL115" s="7"/>
      <c r="AM115" s="7"/>
      <c r="AN115" s="7"/>
      <c r="AO115" s="7"/>
      <c r="AP115" s="7"/>
      <c r="AQ115" s="7"/>
      <c r="AR115" s="7"/>
      <c r="AS115" s="7"/>
      <c r="AT115" s="7"/>
      <c r="AU115" s="7"/>
      <c r="AV115" s="7"/>
      <c r="AW115" s="7"/>
      <c r="AX115" s="7"/>
      <c r="AY115" s="7"/>
      <c r="AZ115" s="7"/>
    </row>
    <row r="116" customFormat="false" ht="150" hidden="false" customHeight="true" outlineLevel="0" collapsed="false">
      <c r="A116" s="6" t="s">
        <v>1251</v>
      </c>
      <c r="B116" s="6" t="s">
        <v>594</v>
      </c>
      <c r="C116" s="6" t="s">
        <v>76</v>
      </c>
      <c r="D116" s="6" t="s">
        <v>145</v>
      </c>
      <c r="E116" s="6" t="s">
        <v>146</v>
      </c>
      <c r="F116" s="6" t="s">
        <v>132</v>
      </c>
      <c r="G116" s="6" t="s">
        <v>98</v>
      </c>
      <c r="H116" s="6" t="s">
        <v>431</v>
      </c>
      <c r="I116" s="6" t="s">
        <v>432</v>
      </c>
      <c r="J116" s="6" t="s">
        <v>660</v>
      </c>
      <c r="K116" s="6" t="s">
        <v>1252</v>
      </c>
      <c r="L116" s="6" t="s">
        <v>1253</v>
      </c>
      <c r="M116" s="6" t="s">
        <v>1254</v>
      </c>
      <c r="N116" s="6"/>
      <c r="O116" s="6"/>
      <c r="P116" s="6" t="s">
        <v>156</v>
      </c>
      <c r="Q116" s="6" t="s">
        <v>1211</v>
      </c>
      <c r="R116" s="6" t="s">
        <v>191</v>
      </c>
      <c r="S116" s="6" t="s">
        <v>693</v>
      </c>
      <c r="T116" s="6" t="s">
        <v>83</v>
      </c>
      <c r="U116" s="6"/>
      <c r="V116" s="6" t="s">
        <v>1255</v>
      </c>
      <c r="W116" s="6" t="s">
        <v>1256</v>
      </c>
      <c r="X116" s="6" t="s">
        <v>1257</v>
      </c>
      <c r="Y116" s="6"/>
      <c r="Z116" s="6"/>
      <c r="AA116" s="6" t="s">
        <v>89</v>
      </c>
      <c r="AB116" s="6" t="s">
        <v>1258</v>
      </c>
      <c r="AC116" s="6" t="s">
        <v>1259</v>
      </c>
      <c r="AD116" s="6" t="s">
        <v>1260</v>
      </c>
      <c r="AE116" s="6" t="s">
        <v>1261</v>
      </c>
      <c r="AF116" s="6"/>
      <c r="AG116" s="6"/>
      <c r="AH116" s="6"/>
      <c r="AI116" s="7"/>
      <c r="AJ116" s="7"/>
      <c r="AK116" s="7"/>
      <c r="AL116" s="7"/>
      <c r="AM116" s="7"/>
      <c r="AN116" s="7"/>
      <c r="AO116" s="7"/>
      <c r="AP116" s="7"/>
      <c r="AQ116" s="7"/>
      <c r="AR116" s="7"/>
      <c r="AS116" s="7"/>
      <c r="AT116" s="7"/>
      <c r="AU116" s="7"/>
      <c r="AV116" s="7"/>
      <c r="AW116" s="7"/>
      <c r="AX116" s="7"/>
      <c r="AY116" s="7"/>
      <c r="AZ116" s="7"/>
    </row>
    <row r="117" customFormat="false" ht="150" hidden="false" customHeight="true" outlineLevel="0" collapsed="false">
      <c r="A117" s="6" t="s">
        <v>1262</v>
      </c>
      <c r="B117" s="6" t="s">
        <v>594</v>
      </c>
      <c r="C117" s="6" t="s">
        <v>76</v>
      </c>
      <c r="D117" s="6" t="s">
        <v>123</v>
      </c>
      <c r="E117" s="6" t="s">
        <v>124</v>
      </c>
      <c r="F117" s="6" t="s">
        <v>77</v>
      </c>
      <c r="G117" s="6" t="s">
        <v>98</v>
      </c>
      <c r="H117" s="6" t="s">
        <v>491</v>
      </c>
      <c r="I117" s="6" t="s">
        <v>492</v>
      </c>
      <c r="J117" s="6" t="s">
        <v>621</v>
      </c>
      <c r="K117" s="6" t="s">
        <v>1263</v>
      </c>
      <c r="L117" s="6" t="s">
        <v>1264</v>
      </c>
      <c r="M117" s="6" t="s">
        <v>1265</v>
      </c>
      <c r="N117" s="6"/>
      <c r="O117" s="6"/>
      <c r="P117" s="6" t="s">
        <v>156</v>
      </c>
      <c r="Q117" s="6"/>
      <c r="R117" s="6" t="s">
        <v>191</v>
      </c>
      <c r="S117" s="6" t="s">
        <v>601</v>
      </c>
      <c r="T117" s="6" t="s">
        <v>83</v>
      </c>
      <c r="U117" s="6" t="s">
        <v>83</v>
      </c>
      <c r="V117" s="6" t="s">
        <v>1266</v>
      </c>
      <c r="W117" s="6" t="s">
        <v>1267</v>
      </c>
      <c r="X117" s="6" t="s">
        <v>1268</v>
      </c>
      <c r="Y117" s="6"/>
      <c r="Z117" s="6"/>
      <c r="AA117" s="6" t="s">
        <v>89</v>
      </c>
      <c r="AB117" s="6" t="s">
        <v>1269</v>
      </c>
      <c r="AC117" s="6" t="s">
        <v>1270</v>
      </c>
      <c r="AD117" s="6" t="s">
        <v>1271</v>
      </c>
      <c r="AE117" s="6" t="s">
        <v>1272</v>
      </c>
      <c r="AF117" s="6"/>
      <c r="AG117" s="6"/>
      <c r="AH117" s="6"/>
      <c r="AI117" s="7"/>
      <c r="AJ117" s="7"/>
      <c r="AK117" s="7"/>
      <c r="AL117" s="7"/>
      <c r="AM117" s="7"/>
      <c r="AN117" s="7"/>
      <c r="AO117" s="7"/>
      <c r="AP117" s="7"/>
      <c r="AQ117" s="7"/>
      <c r="AR117" s="7"/>
      <c r="AS117" s="7"/>
      <c r="AT117" s="7"/>
      <c r="AU117" s="7"/>
      <c r="AV117" s="7"/>
      <c r="AW117" s="7"/>
      <c r="AX117" s="7"/>
      <c r="AY117" s="7"/>
      <c r="AZ117" s="7"/>
    </row>
    <row r="118" customFormat="false" ht="150" hidden="false" customHeight="true" outlineLevel="0" collapsed="false">
      <c r="A118" s="6" t="s">
        <v>1273</v>
      </c>
      <c r="B118" s="6" t="s">
        <v>594</v>
      </c>
      <c r="C118" s="6" t="s">
        <v>76</v>
      </c>
      <c r="D118" s="6" t="s">
        <v>77</v>
      </c>
      <c r="E118" s="6" t="s">
        <v>78</v>
      </c>
      <c r="F118" s="6" t="s">
        <v>132</v>
      </c>
      <c r="G118" s="6" t="s">
        <v>165</v>
      </c>
      <c r="H118" s="6" t="s">
        <v>431</v>
      </c>
      <c r="I118" s="6" t="s">
        <v>432</v>
      </c>
      <c r="J118" s="6" t="s">
        <v>660</v>
      </c>
      <c r="K118" s="6" t="s">
        <v>1274</v>
      </c>
      <c r="L118" s="6" t="s">
        <v>1275</v>
      </c>
      <c r="M118" s="6" t="s">
        <v>1276</v>
      </c>
      <c r="N118" s="6"/>
      <c r="O118" s="6"/>
      <c r="P118" s="6" t="s">
        <v>156</v>
      </c>
      <c r="Q118" s="6" t="s">
        <v>338</v>
      </c>
      <c r="R118" s="6" t="s">
        <v>191</v>
      </c>
      <c r="S118" s="6" t="s">
        <v>910</v>
      </c>
      <c r="T118" s="6" t="s">
        <v>83</v>
      </c>
      <c r="U118" s="6"/>
      <c r="V118" s="6" t="s">
        <v>1277</v>
      </c>
      <c r="W118" s="6" t="s">
        <v>1278</v>
      </c>
      <c r="X118" s="6" t="s">
        <v>1279</v>
      </c>
      <c r="Y118" s="6"/>
      <c r="Z118" s="6"/>
      <c r="AA118" s="6" t="s">
        <v>89</v>
      </c>
      <c r="AB118" s="6" t="s">
        <v>1280</v>
      </c>
      <c r="AC118" s="6" t="s">
        <v>1281</v>
      </c>
      <c r="AD118" s="6" t="s">
        <v>1282</v>
      </c>
      <c r="AE118" s="6" t="s">
        <v>1283</v>
      </c>
      <c r="AF118" s="6"/>
      <c r="AG118" s="6"/>
      <c r="AH118" s="6"/>
      <c r="AI118" s="7"/>
      <c r="AJ118" s="7"/>
      <c r="AK118" s="7"/>
      <c r="AL118" s="7"/>
      <c r="AM118" s="7"/>
      <c r="AN118" s="7"/>
      <c r="AO118" s="7"/>
      <c r="AP118" s="7"/>
      <c r="AQ118" s="7"/>
      <c r="AR118" s="7"/>
      <c r="AS118" s="7"/>
      <c r="AT118" s="7"/>
      <c r="AU118" s="7"/>
      <c r="AV118" s="7"/>
      <c r="AW118" s="7"/>
      <c r="AX118" s="7"/>
      <c r="AY118" s="7"/>
      <c r="AZ118" s="7"/>
    </row>
    <row r="119" customFormat="false" ht="150" hidden="false" customHeight="true" outlineLevel="0" collapsed="false">
      <c r="A119" s="6" t="s">
        <v>1284</v>
      </c>
      <c r="B119" s="6" t="s">
        <v>594</v>
      </c>
      <c r="C119" s="6" t="s">
        <v>76</v>
      </c>
      <c r="D119" s="6" t="s">
        <v>96</v>
      </c>
      <c r="E119" s="6" t="s">
        <v>97</v>
      </c>
      <c r="F119" s="6"/>
      <c r="G119" s="6" t="s">
        <v>165</v>
      </c>
      <c r="H119" s="6" t="s">
        <v>781</v>
      </c>
      <c r="I119" s="6" t="s">
        <v>373</v>
      </c>
      <c r="J119" s="6" t="s">
        <v>660</v>
      </c>
      <c r="K119" s="6" t="s">
        <v>767</v>
      </c>
      <c r="L119" s="6" t="s">
        <v>768</v>
      </c>
      <c r="M119" s="6" t="s">
        <v>1285</v>
      </c>
      <c r="N119" s="6"/>
      <c r="O119" s="6"/>
      <c r="P119" s="6" t="s">
        <v>770</v>
      </c>
      <c r="Q119" s="6" t="s">
        <v>771</v>
      </c>
      <c r="R119" s="6" t="s">
        <v>772</v>
      </c>
      <c r="S119" s="6" t="s">
        <v>1286</v>
      </c>
      <c r="T119" s="6" t="s">
        <v>83</v>
      </c>
      <c r="U119" s="6"/>
      <c r="V119" s="6" t="s">
        <v>1287</v>
      </c>
      <c r="W119" s="6" t="s">
        <v>1288</v>
      </c>
      <c r="X119" s="6" t="s">
        <v>1289</v>
      </c>
      <c r="Y119" s="6"/>
      <c r="Z119" s="6"/>
      <c r="AA119" s="6" t="s">
        <v>89</v>
      </c>
      <c r="AB119" s="6" t="s">
        <v>1290</v>
      </c>
      <c r="AC119" s="6" t="s">
        <v>1291</v>
      </c>
      <c r="AD119" s="6" t="s">
        <v>1292</v>
      </c>
      <c r="AE119" s="6" t="s">
        <v>1293</v>
      </c>
      <c r="AF119" s="6" t="s">
        <v>1294</v>
      </c>
      <c r="AG119" s="6"/>
      <c r="AH119" s="6"/>
      <c r="AI119" s="7"/>
      <c r="AJ119" s="7"/>
      <c r="AK119" s="7"/>
      <c r="AL119" s="7"/>
      <c r="AM119" s="7"/>
      <c r="AN119" s="7"/>
      <c r="AO119" s="7"/>
      <c r="AP119" s="7"/>
      <c r="AQ119" s="7"/>
      <c r="AR119" s="7"/>
      <c r="AS119" s="7"/>
      <c r="AT119" s="7"/>
      <c r="AU119" s="7"/>
      <c r="AV119" s="7"/>
      <c r="AW119" s="7"/>
      <c r="AX119" s="7"/>
      <c r="AY119" s="7"/>
      <c r="AZ119" s="7"/>
    </row>
    <row r="120" customFormat="false" ht="150" hidden="false" customHeight="true" outlineLevel="0" collapsed="false">
      <c r="A120" s="6" t="s">
        <v>1295</v>
      </c>
      <c r="B120" s="6" t="s">
        <v>594</v>
      </c>
      <c r="C120" s="6" t="s">
        <v>76</v>
      </c>
      <c r="D120" s="6" t="s">
        <v>96</v>
      </c>
      <c r="E120" s="6" t="s">
        <v>97</v>
      </c>
      <c r="F120" s="6" t="s">
        <v>145</v>
      </c>
      <c r="G120" s="6" t="s">
        <v>98</v>
      </c>
      <c r="H120" s="6" t="s">
        <v>372</v>
      </c>
      <c r="I120" s="6" t="s">
        <v>409</v>
      </c>
      <c r="J120" s="6" t="s">
        <v>621</v>
      </c>
      <c r="K120" s="6" t="s">
        <v>1296</v>
      </c>
      <c r="L120" s="6" t="s">
        <v>1297</v>
      </c>
      <c r="M120" s="6" t="s">
        <v>1298</v>
      </c>
      <c r="N120" s="6"/>
      <c r="O120" s="6"/>
      <c r="P120" s="6" t="s">
        <v>1299</v>
      </c>
      <c r="Q120" s="6" t="s">
        <v>1211</v>
      </c>
      <c r="R120" s="6" t="s">
        <v>191</v>
      </c>
      <c r="S120" s="6" t="s">
        <v>1300</v>
      </c>
      <c r="T120" s="6" t="s">
        <v>83</v>
      </c>
      <c r="U120" s="6"/>
      <c r="V120" s="6" t="s">
        <v>1301</v>
      </c>
      <c r="W120" s="6" t="s">
        <v>1302</v>
      </c>
      <c r="X120" s="6" t="s">
        <v>1303</v>
      </c>
      <c r="Y120" s="6"/>
      <c r="Z120" s="6"/>
      <c r="AA120" s="6" t="s">
        <v>89</v>
      </c>
      <c r="AB120" s="6" t="s">
        <v>1304</v>
      </c>
      <c r="AC120" s="6" t="s">
        <v>1305</v>
      </c>
      <c r="AD120" s="6"/>
      <c r="AE120" s="6"/>
      <c r="AF120" s="6"/>
      <c r="AG120" s="6" t="s">
        <v>1306</v>
      </c>
      <c r="AH120" s="6" t="s">
        <v>1307</v>
      </c>
      <c r="AI120" s="7"/>
      <c r="AJ120" s="7"/>
      <c r="AK120" s="7"/>
      <c r="AL120" s="7"/>
      <c r="AM120" s="7"/>
      <c r="AN120" s="7"/>
      <c r="AO120" s="7"/>
      <c r="AP120" s="7"/>
      <c r="AQ120" s="7"/>
      <c r="AR120" s="7"/>
      <c r="AS120" s="7"/>
      <c r="AT120" s="7"/>
      <c r="AU120" s="7"/>
      <c r="AV120" s="7"/>
      <c r="AW120" s="7"/>
      <c r="AX120" s="7"/>
      <c r="AY120" s="7"/>
      <c r="AZ120" s="7"/>
    </row>
    <row r="121" customFormat="false" ht="150" hidden="false" customHeight="true" outlineLevel="0" collapsed="false">
      <c r="A121" s="6" t="s">
        <v>1308</v>
      </c>
      <c r="B121" s="6" t="s">
        <v>594</v>
      </c>
      <c r="C121" s="6" t="s">
        <v>76</v>
      </c>
      <c r="D121" s="6" t="s">
        <v>123</v>
      </c>
      <c r="E121" s="6" t="s">
        <v>124</v>
      </c>
      <c r="F121" s="6"/>
      <c r="G121" s="6" t="s">
        <v>79</v>
      </c>
      <c r="H121" s="6" t="s">
        <v>372</v>
      </c>
      <c r="I121" s="6" t="s">
        <v>373</v>
      </c>
      <c r="J121" s="6" t="s">
        <v>595</v>
      </c>
      <c r="K121" s="6" t="s">
        <v>596</v>
      </c>
      <c r="L121" s="6" t="s">
        <v>597</v>
      </c>
      <c r="M121" s="6" t="s">
        <v>1309</v>
      </c>
      <c r="N121" s="6"/>
      <c r="O121" s="6"/>
      <c r="P121" s="6" t="s">
        <v>599</v>
      </c>
      <c r="Q121" s="6"/>
      <c r="R121" s="6" t="s">
        <v>600</v>
      </c>
      <c r="S121" s="6" t="s">
        <v>601</v>
      </c>
      <c r="T121" s="6" t="s">
        <v>83</v>
      </c>
      <c r="U121" s="6" t="s">
        <v>83</v>
      </c>
      <c r="V121" s="6" t="s">
        <v>1310</v>
      </c>
      <c r="W121" s="6" t="s">
        <v>1311</v>
      </c>
      <c r="X121" s="6" t="s">
        <v>1312</v>
      </c>
      <c r="Y121" s="6"/>
      <c r="Z121" s="6"/>
      <c r="AA121" s="6" t="s">
        <v>89</v>
      </c>
      <c r="AB121" s="6" t="s">
        <v>1313</v>
      </c>
      <c r="AC121" s="6" t="s">
        <v>1314</v>
      </c>
      <c r="AD121" s="6" t="s">
        <v>1315</v>
      </c>
      <c r="AE121" s="6" t="s">
        <v>1316</v>
      </c>
      <c r="AF121" s="6" t="s">
        <v>1317</v>
      </c>
      <c r="AG121" s="6"/>
      <c r="AH121" s="6"/>
      <c r="AI121" s="7"/>
      <c r="AJ121" s="7"/>
      <c r="AK121" s="7"/>
      <c r="AL121" s="7"/>
      <c r="AM121" s="7"/>
      <c r="AN121" s="7"/>
      <c r="AO121" s="7"/>
      <c r="AP121" s="7"/>
      <c r="AQ121" s="7"/>
      <c r="AR121" s="7"/>
      <c r="AS121" s="7"/>
      <c r="AT121" s="7"/>
      <c r="AU121" s="7"/>
      <c r="AV121" s="7"/>
      <c r="AW121" s="7"/>
      <c r="AX121" s="7"/>
      <c r="AY121" s="7"/>
      <c r="AZ121" s="7"/>
    </row>
    <row r="122" customFormat="false" ht="150" hidden="false" customHeight="true" outlineLevel="0" collapsed="false">
      <c r="A122" s="6" t="s">
        <v>1318</v>
      </c>
      <c r="B122" s="6" t="s">
        <v>594</v>
      </c>
      <c r="C122" s="6" t="s">
        <v>76</v>
      </c>
      <c r="D122" s="6" t="s">
        <v>77</v>
      </c>
      <c r="E122" s="6" t="s">
        <v>78</v>
      </c>
      <c r="F122" s="6"/>
      <c r="G122" s="6" t="s">
        <v>98</v>
      </c>
      <c r="H122" s="6" t="s">
        <v>372</v>
      </c>
      <c r="I122" s="6" t="s">
        <v>373</v>
      </c>
      <c r="J122" s="6" t="s">
        <v>660</v>
      </c>
      <c r="K122" s="6" t="s">
        <v>670</v>
      </c>
      <c r="L122" s="6" t="s">
        <v>671</v>
      </c>
      <c r="M122" s="6" t="s">
        <v>1319</v>
      </c>
      <c r="N122" s="6"/>
      <c r="O122" s="6"/>
      <c r="P122" s="6" t="s">
        <v>156</v>
      </c>
      <c r="Q122" s="6"/>
      <c r="R122" s="6" t="s">
        <v>157</v>
      </c>
      <c r="S122" s="6" t="s">
        <v>683</v>
      </c>
      <c r="T122" s="6" t="s">
        <v>83</v>
      </c>
      <c r="U122" s="6"/>
      <c r="V122" s="6" t="s">
        <v>1320</v>
      </c>
      <c r="W122" s="6" t="s">
        <v>1321</v>
      </c>
      <c r="X122" s="6" t="s">
        <v>1322</v>
      </c>
      <c r="Y122" s="6"/>
      <c r="Z122" s="6"/>
      <c r="AA122" s="6" t="s">
        <v>89</v>
      </c>
      <c r="AB122" s="6" t="s">
        <v>1323</v>
      </c>
      <c r="AC122" s="6" t="s">
        <v>1324</v>
      </c>
      <c r="AD122" s="6" t="s">
        <v>1325</v>
      </c>
      <c r="AE122" s="6" t="s">
        <v>1326</v>
      </c>
      <c r="AF122" s="6" t="s">
        <v>1327</v>
      </c>
      <c r="AG122" s="6"/>
      <c r="AH122" s="6"/>
      <c r="AI122" s="7"/>
      <c r="AJ122" s="7"/>
      <c r="AK122" s="7"/>
      <c r="AL122" s="7"/>
      <c r="AM122" s="7"/>
      <c r="AN122" s="7"/>
      <c r="AO122" s="7"/>
      <c r="AP122" s="7"/>
      <c r="AQ122" s="7"/>
      <c r="AR122" s="7"/>
      <c r="AS122" s="7"/>
      <c r="AT122" s="7"/>
      <c r="AU122" s="7"/>
      <c r="AV122" s="7"/>
      <c r="AW122" s="7"/>
      <c r="AX122" s="7"/>
      <c r="AY122" s="7"/>
      <c r="AZ122" s="7"/>
    </row>
    <row r="123" customFormat="false" ht="150" hidden="false" customHeight="true" outlineLevel="0" collapsed="false">
      <c r="A123" s="6" t="s">
        <v>1328</v>
      </c>
      <c r="B123" s="6" t="s">
        <v>1329</v>
      </c>
      <c r="C123" s="6" t="s">
        <v>76</v>
      </c>
      <c r="D123" s="6" t="s">
        <v>123</v>
      </c>
      <c r="E123" s="6" t="s">
        <v>124</v>
      </c>
      <c r="F123" s="6"/>
      <c r="G123" s="6" t="s">
        <v>79</v>
      </c>
      <c r="H123" s="6" t="s">
        <v>1330</v>
      </c>
      <c r="I123" s="6" t="s">
        <v>81</v>
      </c>
      <c r="J123" s="6" t="s">
        <v>595</v>
      </c>
      <c r="K123" s="6" t="s">
        <v>1331</v>
      </c>
      <c r="L123" s="6" t="s">
        <v>1332</v>
      </c>
      <c r="M123" s="6" t="s">
        <v>1333</v>
      </c>
      <c r="N123" s="6"/>
      <c r="O123" s="6"/>
      <c r="P123" s="6"/>
      <c r="Q123" s="6"/>
      <c r="R123" s="6"/>
      <c r="S123" s="6"/>
      <c r="T123" s="6"/>
      <c r="U123" s="6"/>
      <c r="V123" s="6"/>
      <c r="W123" s="6"/>
      <c r="X123" s="6"/>
      <c r="Y123" s="6"/>
      <c r="Z123" s="6"/>
      <c r="AA123" s="6" t="s">
        <v>89</v>
      </c>
      <c r="AB123" s="6" t="s">
        <v>1334</v>
      </c>
      <c r="AC123" s="6" t="s">
        <v>1335</v>
      </c>
      <c r="AD123" s="6" t="s">
        <v>1336</v>
      </c>
      <c r="AE123" s="6" t="s">
        <v>1337</v>
      </c>
      <c r="AF123" s="6" t="s">
        <v>1338</v>
      </c>
      <c r="AG123" s="6"/>
      <c r="AH123" s="6"/>
      <c r="AI123" s="7"/>
      <c r="AJ123" s="7"/>
      <c r="AK123" s="7"/>
      <c r="AL123" s="7"/>
      <c r="AM123" s="7"/>
      <c r="AN123" s="7"/>
      <c r="AO123" s="7"/>
      <c r="AP123" s="7"/>
      <c r="AQ123" s="7"/>
      <c r="AR123" s="7"/>
      <c r="AS123" s="7"/>
      <c r="AT123" s="7"/>
      <c r="AU123" s="7"/>
      <c r="AV123" s="7"/>
      <c r="AW123" s="7"/>
      <c r="AX123" s="7"/>
      <c r="AY123" s="7"/>
      <c r="AZ123" s="7"/>
    </row>
    <row r="124" customFormat="false" ht="150" hidden="false" customHeight="true" outlineLevel="0" collapsed="false">
      <c r="A124" s="6" t="s">
        <v>1339</v>
      </c>
      <c r="B124" s="6" t="s">
        <v>1329</v>
      </c>
      <c r="C124" s="6" t="s">
        <v>76</v>
      </c>
      <c r="D124" s="6" t="s">
        <v>123</v>
      </c>
      <c r="E124" s="6" t="s">
        <v>124</v>
      </c>
      <c r="F124" s="6"/>
      <c r="G124" s="6" t="s">
        <v>98</v>
      </c>
      <c r="H124" s="6" t="s">
        <v>1330</v>
      </c>
      <c r="I124" s="6" t="s">
        <v>81</v>
      </c>
      <c r="J124" s="6" t="s">
        <v>621</v>
      </c>
      <c r="K124" s="6" t="s">
        <v>1331</v>
      </c>
      <c r="L124" s="6" t="s">
        <v>1332</v>
      </c>
      <c r="M124" s="6" t="s">
        <v>1333</v>
      </c>
      <c r="N124" s="6"/>
      <c r="O124" s="6"/>
      <c r="P124" s="6"/>
      <c r="Q124" s="6"/>
      <c r="R124" s="6"/>
      <c r="S124" s="6"/>
      <c r="T124" s="6"/>
      <c r="U124" s="6"/>
      <c r="V124" s="6"/>
      <c r="W124" s="6"/>
      <c r="X124" s="6"/>
      <c r="Y124" s="6"/>
      <c r="Z124" s="6"/>
      <c r="AA124" s="6" t="s">
        <v>89</v>
      </c>
      <c r="AB124" s="6" t="s">
        <v>1340</v>
      </c>
      <c r="AC124" s="6" t="s">
        <v>1341</v>
      </c>
      <c r="AD124" s="6" t="s">
        <v>1342</v>
      </c>
      <c r="AE124" s="6" t="s">
        <v>1343</v>
      </c>
      <c r="AF124" s="6" t="s">
        <v>1344</v>
      </c>
      <c r="AG124" s="6"/>
      <c r="AH124" s="6"/>
      <c r="AI124" s="7"/>
      <c r="AJ124" s="7"/>
      <c r="AK124" s="7"/>
      <c r="AL124" s="7"/>
      <c r="AM124" s="7"/>
      <c r="AN124" s="7"/>
      <c r="AO124" s="7"/>
      <c r="AP124" s="7"/>
      <c r="AQ124" s="7"/>
      <c r="AR124" s="7"/>
      <c r="AS124" s="7"/>
      <c r="AT124" s="7"/>
      <c r="AU124" s="7"/>
      <c r="AV124" s="7"/>
      <c r="AW124" s="7"/>
      <c r="AX124" s="7"/>
      <c r="AY124" s="7"/>
      <c r="AZ124" s="7"/>
    </row>
    <row r="125" customFormat="false" ht="150" hidden="false" customHeight="true" outlineLevel="0" collapsed="false">
      <c r="A125" s="6" t="s">
        <v>1345</v>
      </c>
      <c r="B125" s="6" t="s">
        <v>1329</v>
      </c>
      <c r="C125" s="6" t="s">
        <v>76</v>
      </c>
      <c r="D125" s="6" t="s">
        <v>123</v>
      </c>
      <c r="E125" s="6" t="s">
        <v>124</v>
      </c>
      <c r="F125" s="6"/>
      <c r="G125" s="6" t="s">
        <v>98</v>
      </c>
      <c r="H125" s="6" t="s">
        <v>1330</v>
      </c>
      <c r="I125" s="6" t="s">
        <v>81</v>
      </c>
      <c r="J125" s="6" t="s">
        <v>621</v>
      </c>
      <c r="K125" s="6" t="s">
        <v>1331</v>
      </c>
      <c r="L125" s="6" t="s">
        <v>1332</v>
      </c>
      <c r="M125" s="6" t="s">
        <v>1333</v>
      </c>
      <c r="N125" s="6"/>
      <c r="O125" s="6"/>
      <c r="P125" s="6"/>
      <c r="Q125" s="6"/>
      <c r="R125" s="6"/>
      <c r="S125" s="6"/>
      <c r="T125" s="6"/>
      <c r="U125" s="6"/>
      <c r="V125" s="6"/>
      <c r="W125" s="6"/>
      <c r="X125" s="6"/>
      <c r="Y125" s="6"/>
      <c r="Z125" s="6"/>
      <c r="AA125" s="6" t="s">
        <v>89</v>
      </c>
      <c r="AB125" s="6" t="s">
        <v>1346</v>
      </c>
      <c r="AC125" s="6" t="s">
        <v>1347</v>
      </c>
      <c r="AD125" s="6" t="s">
        <v>1348</v>
      </c>
      <c r="AE125" s="6" t="s">
        <v>1349</v>
      </c>
      <c r="AF125" s="6" t="s">
        <v>1344</v>
      </c>
      <c r="AG125" s="6"/>
      <c r="AH125" s="6"/>
      <c r="AI125" s="7"/>
      <c r="AJ125" s="7"/>
      <c r="AK125" s="7"/>
      <c r="AL125" s="7"/>
      <c r="AM125" s="7"/>
      <c r="AN125" s="7"/>
      <c r="AO125" s="7"/>
      <c r="AP125" s="7"/>
      <c r="AQ125" s="7"/>
      <c r="AR125" s="7"/>
      <c r="AS125" s="7"/>
      <c r="AT125" s="7"/>
      <c r="AU125" s="7"/>
      <c r="AV125" s="7"/>
      <c r="AW125" s="7"/>
      <c r="AX125" s="7"/>
      <c r="AY125" s="7"/>
      <c r="AZ125" s="7"/>
    </row>
    <row r="126" customFormat="false" ht="150" hidden="false" customHeight="true" outlineLevel="0" collapsed="false">
      <c r="A126" s="6" t="s">
        <v>1350</v>
      </c>
      <c r="B126" s="6" t="s">
        <v>1329</v>
      </c>
      <c r="C126" s="6" t="s">
        <v>76</v>
      </c>
      <c r="D126" s="6" t="s">
        <v>123</v>
      </c>
      <c r="E126" s="6" t="s">
        <v>124</v>
      </c>
      <c r="F126" s="6"/>
      <c r="G126" s="6" t="s">
        <v>165</v>
      </c>
      <c r="H126" s="6" t="s">
        <v>1330</v>
      </c>
      <c r="I126" s="6" t="s">
        <v>81</v>
      </c>
      <c r="J126" s="6" t="s">
        <v>621</v>
      </c>
      <c r="K126" s="6" t="s">
        <v>1331</v>
      </c>
      <c r="L126" s="6" t="s">
        <v>1332</v>
      </c>
      <c r="M126" s="6" t="s">
        <v>1333</v>
      </c>
      <c r="N126" s="6"/>
      <c r="O126" s="6"/>
      <c r="P126" s="6"/>
      <c r="Q126" s="6"/>
      <c r="R126" s="6"/>
      <c r="S126" s="6"/>
      <c r="T126" s="6"/>
      <c r="U126" s="6"/>
      <c r="V126" s="6"/>
      <c r="W126" s="6"/>
      <c r="X126" s="6"/>
      <c r="Y126" s="6"/>
      <c r="Z126" s="6"/>
      <c r="AA126" s="6" t="s">
        <v>89</v>
      </c>
      <c r="AB126" s="6" t="s">
        <v>1351</v>
      </c>
      <c r="AC126" s="6" t="s">
        <v>1352</v>
      </c>
      <c r="AD126" s="6" t="s">
        <v>1353</v>
      </c>
      <c r="AE126" s="6" t="s">
        <v>1354</v>
      </c>
      <c r="AF126" s="6" t="s">
        <v>1355</v>
      </c>
      <c r="AG126" s="6"/>
      <c r="AH126" s="6"/>
      <c r="AI126" s="7"/>
      <c r="AJ126" s="7"/>
      <c r="AK126" s="7"/>
      <c r="AL126" s="7"/>
      <c r="AM126" s="7"/>
      <c r="AN126" s="7"/>
      <c r="AO126" s="7"/>
      <c r="AP126" s="7"/>
      <c r="AQ126" s="7"/>
      <c r="AR126" s="7"/>
      <c r="AS126" s="7"/>
      <c r="AT126" s="7"/>
      <c r="AU126" s="7"/>
      <c r="AV126" s="7"/>
      <c r="AW126" s="7"/>
      <c r="AX126" s="7"/>
      <c r="AY126" s="7"/>
      <c r="AZ126" s="7"/>
    </row>
    <row r="127" customFormat="false" ht="150" hidden="false" customHeight="true" outlineLevel="0" collapsed="false">
      <c r="A127" s="6" t="s">
        <v>1356</v>
      </c>
      <c r="B127" s="6" t="s">
        <v>1329</v>
      </c>
      <c r="C127" s="6" t="s">
        <v>76</v>
      </c>
      <c r="D127" s="6" t="s">
        <v>123</v>
      </c>
      <c r="E127" s="6" t="s">
        <v>124</v>
      </c>
      <c r="F127" s="6"/>
      <c r="G127" s="6" t="s">
        <v>165</v>
      </c>
      <c r="H127" s="6" t="s">
        <v>1330</v>
      </c>
      <c r="I127" s="6" t="s">
        <v>81</v>
      </c>
      <c r="J127" s="6" t="s">
        <v>621</v>
      </c>
      <c r="K127" s="6" t="s">
        <v>1331</v>
      </c>
      <c r="L127" s="6" t="s">
        <v>1332</v>
      </c>
      <c r="M127" s="6" t="s">
        <v>1333</v>
      </c>
      <c r="N127" s="6"/>
      <c r="O127" s="6"/>
      <c r="P127" s="6"/>
      <c r="Q127" s="6"/>
      <c r="R127" s="6"/>
      <c r="S127" s="6"/>
      <c r="T127" s="6"/>
      <c r="U127" s="6"/>
      <c r="V127" s="6"/>
      <c r="W127" s="6"/>
      <c r="X127" s="6"/>
      <c r="Y127" s="6"/>
      <c r="Z127" s="6"/>
      <c r="AA127" s="6" t="s">
        <v>89</v>
      </c>
      <c r="AB127" s="6" t="s">
        <v>1357</v>
      </c>
      <c r="AC127" s="6" t="s">
        <v>1358</v>
      </c>
      <c r="AD127" s="6" t="s">
        <v>1359</v>
      </c>
      <c r="AE127" s="6" t="s">
        <v>1360</v>
      </c>
      <c r="AF127" s="6" t="s">
        <v>1355</v>
      </c>
      <c r="AG127" s="6"/>
      <c r="AH127" s="6"/>
      <c r="AI127" s="7"/>
      <c r="AJ127" s="7"/>
      <c r="AK127" s="7"/>
      <c r="AL127" s="7"/>
      <c r="AM127" s="7"/>
      <c r="AN127" s="7"/>
      <c r="AO127" s="7"/>
      <c r="AP127" s="7"/>
      <c r="AQ127" s="7"/>
      <c r="AR127" s="7"/>
      <c r="AS127" s="7"/>
      <c r="AT127" s="7"/>
      <c r="AU127" s="7"/>
      <c r="AV127" s="7"/>
      <c r="AW127" s="7"/>
      <c r="AX127" s="7"/>
      <c r="AY127" s="7"/>
      <c r="AZ127" s="7"/>
    </row>
    <row r="128" customFormat="false" ht="150" hidden="false" customHeight="true" outlineLevel="0" collapsed="false">
      <c r="A128" s="6" t="s">
        <v>1361</v>
      </c>
      <c r="B128" s="6" t="s">
        <v>1329</v>
      </c>
      <c r="C128" s="6" t="s">
        <v>76</v>
      </c>
      <c r="D128" s="6" t="s">
        <v>123</v>
      </c>
      <c r="E128" s="6" t="s">
        <v>124</v>
      </c>
      <c r="F128" s="6"/>
      <c r="G128" s="6" t="s">
        <v>1362</v>
      </c>
      <c r="H128" s="6" t="s">
        <v>1330</v>
      </c>
      <c r="I128" s="6" t="s">
        <v>81</v>
      </c>
      <c r="J128" s="6" t="s">
        <v>621</v>
      </c>
      <c r="K128" s="6" t="s">
        <v>1331</v>
      </c>
      <c r="L128" s="6" t="s">
        <v>1332</v>
      </c>
      <c r="M128" s="6" t="s">
        <v>1333</v>
      </c>
      <c r="N128" s="6"/>
      <c r="O128" s="6"/>
      <c r="P128" s="6"/>
      <c r="Q128" s="6"/>
      <c r="R128" s="6"/>
      <c r="S128" s="6"/>
      <c r="T128" s="6"/>
      <c r="U128" s="6"/>
      <c r="V128" s="6"/>
      <c r="W128" s="6"/>
      <c r="X128" s="6"/>
      <c r="Y128" s="6"/>
      <c r="Z128" s="6"/>
      <c r="AA128" s="6" t="s">
        <v>89</v>
      </c>
      <c r="AB128" s="6" t="s">
        <v>1363</v>
      </c>
      <c r="AC128" s="6" t="s">
        <v>1364</v>
      </c>
      <c r="AD128" s="6" t="s">
        <v>1365</v>
      </c>
      <c r="AE128" s="6" t="s">
        <v>1366</v>
      </c>
      <c r="AF128" s="6" t="s">
        <v>1367</v>
      </c>
      <c r="AG128" s="6"/>
      <c r="AH128" s="6"/>
      <c r="AI128" s="7"/>
      <c r="AJ128" s="7"/>
      <c r="AK128" s="7"/>
      <c r="AL128" s="7"/>
      <c r="AM128" s="7"/>
      <c r="AN128" s="7"/>
      <c r="AO128" s="7"/>
      <c r="AP128" s="7"/>
      <c r="AQ128" s="7"/>
      <c r="AR128" s="7"/>
      <c r="AS128" s="7"/>
      <c r="AT128" s="7"/>
      <c r="AU128" s="7"/>
      <c r="AV128" s="7"/>
      <c r="AW128" s="7"/>
      <c r="AX128" s="7"/>
      <c r="AY128" s="7"/>
      <c r="AZ128" s="7"/>
    </row>
    <row r="129" customFormat="false" ht="150" hidden="false" customHeight="true" outlineLevel="0" collapsed="false">
      <c r="A129" s="6" t="s">
        <v>1368</v>
      </c>
      <c r="B129" s="6" t="s">
        <v>1329</v>
      </c>
      <c r="C129" s="6" t="s">
        <v>76</v>
      </c>
      <c r="D129" s="6" t="s">
        <v>123</v>
      </c>
      <c r="E129" s="6" t="s">
        <v>124</v>
      </c>
      <c r="F129" s="6"/>
      <c r="G129" s="6" t="s">
        <v>1362</v>
      </c>
      <c r="H129" s="6" t="s">
        <v>1330</v>
      </c>
      <c r="I129" s="6" t="s">
        <v>81</v>
      </c>
      <c r="J129" s="6" t="s">
        <v>621</v>
      </c>
      <c r="K129" s="6" t="s">
        <v>1331</v>
      </c>
      <c r="L129" s="6" t="s">
        <v>1332</v>
      </c>
      <c r="M129" s="6" t="s">
        <v>1333</v>
      </c>
      <c r="N129" s="6"/>
      <c r="O129" s="6"/>
      <c r="P129" s="6"/>
      <c r="Q129" s="6"/>
      <c r="R129" s="6"/>
      <c r="S129" s="6"/>
      <c r="T129" s="6"/>
      <c r="U129" s="6"/>
      <c r="V129" s="6"/>
      <c r="W129" s="6"/>
      <c r="X129" s="6"/>
      <c r="Y129" s="6"/>
      <c r="Z129" s="6"/>
      <c r="AA129" s="6" t="s">
        <v>89</v>
      </c>
      <c r="AB129" s="6" t="s">
        <v>1369</v>
      </c>
      <c r="AC129" s="6" t="s">
        <v>1370</v>
      </c>
      <c r="AD129" s="6" t="s">
        <v>1371</v>
      </c>
      <c r="AE129" s="6" t="s">
        <v>1372</v>
      </c>
      <c r="AF129" s="6" t="s">
        <v>1367</v>
      </c>
      <c r="AG129" s="6"/>
      <c r="AH129" s="6"/>
      <c r="AI129" s="7"/>
      <c r="AJ129" s="7"/>
      <c r="AK129" s="7"/>
      <c r="AL129" s="7"/>
      <c r="AM129" s="7"/>
      <c r="AN129" s="7"/>
      <c r="AO129" s="7"/>
      <c r="AP129" s="7"/>
      <c r="AQ129" s="7"/>
      <c r="AR129" s="7"/>
      <c r="AS129" s="7"/>
      <c r="AT129" s="7"/>
      <c r="AU129" s="7"/>
      <c r="AV129" s="7"/>
      <c r="AW129" s="7"/>
      <c r="AX129" s="7"/>
      <c r="AY129" s="7"/>
      <c r="AZ129" s="7"/>
    </row>
    <row r="130" customFormat="false" ht="150" hidden="false" customHeight="true" outlineLevel="0" collapsed="false">
      <c r="A130" s="6" t="s">
        <v>1373</v>
      </c>
      <c r="B130" s="6" t="s">
        <v>1329</v>
      </c>
      <c r="C130" s="6" t="s">
        <v>76</v>
      </c>
      <c r="D130" s="6" t="s">
        <v>123</v>
      </c>
      <c r="E130" s="6" t="s">
        <v>124</v>
      </c>
      <c r="F130" s="6"/>
      <c r="G130" s="6" t="s">
        <v>79</v>
      </c>
      <c r="H130" s="6" t="s">
        <v>1330</v>
      </c>
      <c r="I130" s="6" t="s">
        <v>81</v>
      </c>
      <c r="J130" s="6" t="s">
        <v>595</v>
      </c>
      <c r="K130" s="6" t="s">
        <v>1374</v>
      </c>
      <c r="L130" s="6" t="s">
        <v>1375</v>
      </c>
      <c r="M130" s="6" t="s">
        <v>1376</v>
      </c>
      <c r="N130" s="6"/>
      <c r="O130" s="6"/>
      <c r="P130" s="6" t="s">
        <v>1377</v>
      </c>
      <c r="Q130" s="6"/>
      <c r="R130" s="6" t="s">
        <v>180</v>
      </c>
      <c r="S130" s="6"/>
      <c r="T130" s="6"/>
      <c r="U130" s="6"/>
      <c r="V130" s="6"/>
      <c r="W130" s="6"/>
      <c r="X130" s="6"/>
      <c r="Y130" s="6"/>
      <c r="Z130" s="6"/>
      <c r="AA130" s="6" t="s">
        <v>89</v>
      </c>
      <c r="AB130" s="6" t="s">
        <v>1378</v>
      </c>
      <c r="AC130" s="6" t="s">
        <v>1335</v>
      </c>
      <c r="AD130" s="6" t="s">
        <v>1336</v>
      </c>
      <c r="AE130" s="6" t="s">
        <v>1337</v>
      </c>
      <c r="AF130" s="6" t="s">
        <v>1379</v>
      </c>
      <c r="AG130" s="6"/>
      <c r="AH130" s="6"/>
      <c r="AI130" s="7"/>
      <c r="AJ130" s="7"/>
      <c r="AK130" s="7"/>
      <c r="AL130" s="7"/>
      <c r="AM130" s="7"/>
      <c r="AN130" s="7"/>
      <c r="AO130" s="7"/>
      <c r="AP130" s="7"/>
      <c r="AQ130" s="7"/>
      <c r="AR130" s="7"/>
      <c r="AS130" s="7"/>
      <c r="AT130" s="7"/>
      <c r="AU130" s="7"/>
      <c r="AV130" s="7"/>
      <c r="AW130" s="7"/>
      <c r="AX130" s="7"/>
      <c r="AY130" s="7"/>
      <c r="AZ130" s="7"/>
    </row>
    <row r="131" customFormat="false" ht="150" hidden="false" customHeight="true" outlineLevel="0" collapsed="false">
      <c r="A131" s="6" t="s">
        <v>1380</v>
      </c>
      <c r="B131" s="6" t="s">
        <v>1329</v>
      </c>
      <c r="C131" s="6" t="s">
        <v>76</v>
      </c>
      <c r="D131" s="6" t="s">
        <v>123</v>
      </c>
      <c r="E131" s="6" t="s">
        <v>124</v>
      </c>
      <c r="F131" s="6"/>
      <c r="G131" s="6" t="s">
        <v>98</v>
      </c>
      <c r="H131" s="6" t="s">
        <v>1330</v>
      </c>
      <c r="I131" s="6" t="s">
        <v>81</v>
      </c>
      <c r="J131" s="6" t="s">
        <v>621</v>
      </c>
      <c r="K131" s="6" t="s">
        <v>1374</v>
      </c>
      <c r="L131" s="6" t="s">
        <v>1375</v>
      </c>
      <c r="M131" s="6" t="s">
        <v>1376</v>
      </c>
      <c r="N131" s="6"/>
      <c r="O131" s="6"/>
      <c r="P131" s="6" t="s">
        <v>1377</v>
      </c>
      <c r="Q131" s="6"/>
      <c r="R131" s="6" t="s">
        <v>180</v>
      </c>
      <c r="S131" s="6"/>
      <c r="T131" s="6"/>
      <c r="U131" s="6"/>
      <c r="V131" s="6"/>
      <c r="W131" s="6"/>
      <c r="X131" s="6"/>
      <c r="Y131" s="6"/>
      <c r="Z131" s="6"/>
      <c r="AA131" s="6" t="s">
        <v>89</v>
      </c>
      <c r="AB131" s="6" t="s">
        <v>1381</v>
      </c>
      <c r="AC131" s="6" t="s">
        <v>1341</v>
      </c>
      <c r="AD131" s="6" t="s">
        <v>1342</v>
      </c>
      <c r="AE131" s="6" t="s">
        <v>1343</v>
      </c>
      <c r="AF131" s="6" t="s">
        <v>1382</v>
      </c>
      <c r="AG131" s="6"/>
      <c r="AH131" s="6"/>
      <c r="AI131" s="7"/>
      <c r="AJ131" s="7"/>
      <c r="AK131" s="7"/>
      <c r="AL131" s="7"/>
      <c r="AM131" s="7"/>
      <c r="AN131" s="7"/>
      <c r="AO131" s="7"/>
      <c r="AP131" s="7"/>
      <c r="AQ131" s="7"/>
      <c r="AR131" s="7"/>
      <c r="AS131" s="7"/>
      <c r="AT131" s="7"/>
      <c r="AU131" s="7"/>
      <c r="AV131" s="7"/>
      <c r="AW131" s="7"/>
      <c r="AX131" s="7"/>
      <c r="AY131" s="7"/>
      <c r="AZ131" s="7"/>
    </row>
    <row r="132" customFormat="false" ht="150" hidden="false" customHeight="true" outlineLevel="0" collapsed="false">
      <c r="A132" s="6" t="s">
        <v>1383</v>
      </c>
      <c r="B132" s="6" t="s">
        <v>1329</v>
      </c>
      <c r="C132" s="6" t="s">
        <v>76</v>
      </c>
      <c r="D132" s="6" t="s">
        <v>123</v>
      </c>
      <c r="E132" s="6" t="s">
        <v>124</v>
      </c>
      <c r="F132" s="6"/>
      <c r="G132" s="6" t="s">
        <v>98</v>
      </c>
      <c r="H132" s="6" t="s">
        <v>1330</v>
      </c>
      <c r="I132" s="6" t="s">
        <v>81</v>
      </c>
      <c r="J132" s="6" t="s">
        <v>621</v>
      </c>
      <c r="K132" s="6" t="s">
        <v>1374</v>
      </c>
      <c r="L132" s="6" t="s">
        <v>1375</v>
      </c>
      <c r="M132" s="6" t="s">
        <v>1376</v>
      </c>
      <c r="N132" s="6"/>
      <c r="O132" s="6"/>
      <c r="P132" s="6" t="s">
        <v>1377</v>
      </c>
      <c r="Q132" s="6"/>
      <c r="R132" s="6" t="s">
        <v>180</v>
      </c>
      <c r="S132" s="6"/>
      <c r="T132" s="6"/>
      <c r="U132" s="6"/>
      <c r="V132" s="6"/>
      <c r="W132" s="6"/>
      <c r="X132" s="6"/>
      <c r="Y132" s="6"/>
      <c r="Z132" s="6"/>
      <c r="AA132" s="6" t="s">
        <v>89</v>
      </c>
      <c r="AB132" s="6" t="s">
        <v>1384</v>
      </c>
      <c r="AC132" s="6" t="s">
        <v>1347</v>
      </c>
      <c r="AD132" s="6" t="s">
        <v>1348</v>
      </c>
      <c r="AE132" s="6" t="s">
        <v>1349</v>
      </c>
      <c r="AF132" s="6" t="s">
        <v>1382</v>
      </c>
      <c r="AG132" s="6"/>
      <c r="AH132" s="6"/>
      <c r="AI132" s="7"/>
      <c r="AJ132" s="7"/>
      <c r="AK132" s="7"/>
      <c r="AL132" s="7"/>
      <c r="AM132" s="7"/>
      <c r="AN132" s="7"/>
      <c r="AO132" s="7"/>
      <c r="AP132" s="7"/>
      <c r="AQ132" s="7"/>
      <c r="AR132" s="7"/>
      <c r="AS132" s="7"/>
      <c r="AT132" s="7"/>
      <c r="AU132" s="7"/>
      <c r="AV132" s="7"/>
      <c r="AW132" s="7"/>
      <c r="AX132" s="7"/>
      <c r="AY132" s="7"/>
      <c r="AZ132" s="7"/>
    </row>
    <row r="133" customFormat="false" ht="150" hidden="false" customHeight="true" outlineLevel="0" collapsed="false">
      <c r="A133" s="6" t="s">
        <v>1385</v>
      </c>
      <c r="B133" s="6" t="s">
        <v>1329</v>
      </c>
      <c r="C133" s="6" t="s">
        <v>76</v>
      </c>
      <c r="D133" s="6" t="s">
        <v>123</v>
      </c>
      <c r="E133" s="6" t="s">
        <v>124</v>
      </c>
      <c r="F133" s="6"/>
      <c r="G133" s="6" t="s">
        <v>165</v>
      </c>
      <c r="H133" s="6" t="s">
        <v>1330</v>
      </c>
      <c r="I133" s="6" t="s">
        <v>81</v>
      </c>
      <c r="J133" s="6" t="s">
        <v>621</v>
      </c>
      <c r="K133" s="6" t="s">
        <v>1374</v>
      </c>
      <c r="L133" s="6" t="s">
        <v>1375</v>
      </c>
      <c r="M133" s="6" t="s">
        <v>1376</v>
      </c>
      <c r="N133" s="6"/>
      <c r="O133" s="6"/>
      <c r="P133" s="6" t="s">
        <v>1377</v>
      </c>
      <c r="Q133" s="6"/>
      <c r="R133" s="6" t="s">
        <v>180</v>
      </c>
      <c r="S133" s="6"/>
      <c r="T133" s="6"/>
      <c r="U133" s="6"/>
      <c r="V133" s="6"/>
      <c r="W133" s="6"/>
      <c r="X133" s="6"/>
      <c r="Y133" s="6"/>
      <c r="Z133" s="6"/>
      <c r="AA133" s="6" t="s">
        <v>89</v>
      </c>
      <c r="AB133" s="6" t="s">
        <v>1386</v>
      </c>
      <c r="AC133" s="6" t="s">
        <v>1352</v>
      </c>
      <c r="AD133" s="6" t="s">
        <v>1353</v>
      </c>
      <c r="AE133" s="6" t="s">
        <v>1354</v>
      </c>
      <c r="AF133" s="6" t="s">
        <v>1387</v>
      </c>
      <c r="AG133" s="6"/>
      <c r="AH133" s="6"/>
      <c r="AI133" s="7"/>
      <c r="AJ133" s="7"/>
      <c r="AK133" s="7"/>
      <c r="AL133" s="7"/>
      <c r="AM133" s="7"/>
      <c r="AN133" s="7"/>
      <c r="AO133" s="7"/>
      <c r="AP133" s="7"/>
      <c r="AQ133" s="7"/>
      <c r="AR133" s="7"/>
      <c r="AS133" s="7"/>
      <c r="AT133" s="7"/>
      <c r="AU133" s="7"/>
      <c r="AV133" s="7"/>
      <c r="AW133" s="7"/>
      <c r="AX133" s="7"/>
      <c r="AY133" s="7"/>
      <c r="AZ133" s="7"/>
    </row>
    <row r="134" customFormat="false" ht="150" hidden="false" customHeight="true" outlineLevel="0" collapsed="false">
      <c r="A134" s="6" t="s">
        <v>1388</v>
      </c>
      <c r="B134" s="6" t="s">
        <v>1329</v>
      </c>
      <c r="C134" s="6" t="s">
        <v>76</v>
      </c>
      <c r="D134" s="6" t="s">
        <v>123</v>
      </c>
      <c r="E134" s="6" t="s">
        <v>124</v>
      </c>
      <c r="F134" s="6"/>
      <c r="G134" s="6" t="s">
        <v>165</v>
      </c>
      <c r="H134" s="6" t="s">
        <v>1330</v>
      </c>
      <c r="I134" s="6" t="s">
        <v>81</v>
      </c>
      <c r="J134" s="6" t="s">
        <v>621</v>
      </c>
      <c r="K134" s="6" t="s">
        <v>1374</v>
      </c>
      <c r="L134" s="6" t="s">
        <v>1375</v>
      </c>
      <c r="M134" s="6" t="s">
        <v>1376</v>
      </c>
      <c r="N134" s="6"/>
      <c r="O134" s="6"/>
      <c r="P134" s="6" t="s">
        <v>1377</v>
      </c>
      <c r="Q134" s="6"/>
      <c r="R134" s="6" t="s">
        <v>180</v>
      </c>
      <c r="S134" s="6"/>
      <c r="T134" s="6"/>
      <c r="U134" s="6"/>
      <c r="V134" s="6"/>
      <c r="W134" s="6"/>
      <c r="X134" s="6"/>
      <c r="Y134" s="6"/>
      <c r="Z134" s="6"/>
      <c r="AA134" s="6" t="s">
        <v>89</v>
      </c>
      <c r="AB134" s="6" t="s">
        <v>1389</v>
      </c>
      <c r="AC134" s="6" t="s">
        <v>1358</v>
      </c>
      <c r="AD134" s="6" t="s">
        <v>1359</v>
      </c>
      <c r="AE134" s="6" t="s">
        <v>1360</v>
      </c>
      <c r="AF134" s="6" t="s">
        <v>1387</v>
      </c>
      <c r="AG134" s="6"/>
      <c r="AH134" s="6"/>
      <c r="AI134" s="7"/>
      <c r="AJ134" s="7"/>
      <c r="AK134" s="7"/>
      <c r="AL134" s="7"/>
      <c r="AM134" s="7"/>
      <c r="AN134" s="7"/>
      <c r="AO134" s="7"/>
      <c r="AP134" s="7"/>
      <c r="AQ134" s="7"/>
      <c r="AR134" s="7"/>
      <c r="AS134" s="7"/>
      <c r="AT134" s="7"/>
      <c r="AU134" s="7"/>
      <c r="AV134" s="7"/>
      <c r="AW134" s="7"/>
      <c r="AX134" s="7"/>
      <c r="AY134" s="7"/>
      <c r="AZ134" s="7"/>
    </row>
    <row r="135" customFormat="false" ht="150" hidden="false" customHeight="true" outlineLevel="0" collapsed="false">
      <c r="A135" s="6" t="s">
        <v>1390</v>
      </c>
      <c r="B135" s="6" t="s">
        <v>1329</v>
      </c>
      <c r="C135" s="6" t="s">
        <v>76</v>
      </c>
      <c r="D135" s="6" t="s">
        <v>123</v>
      </c>
      <c r="E135" s="6" t="s">
        <v>124</v>
      </c>
      <c r="F135" s="6"/>
      <c r="G135" s="6" t="s">
        <v>1362</v>
      </c>
      <c r="H135" s="6" t="s">
        <v>1330</v>
      </c>
      <c r="I135" s="6" t="s">
        <v>81</v>
      </c>
      <c r="J135" s="6" t="s">
        <v>621</v>
      </c>
      <c r="K135" s="6" t="s">
        <v>1374</v>
      </c>
      <c r="L135" s="6" t="s">
        <v>1375</v>
      </c>
      <c r="M135" s="6" t="s">
        <v>1376</v>
      </c>
      <c r="N135" s="6"/>
      <c r="O135" s="6"/>
      <c r="P135" s="6" t="s">
        <v>1377</v>
      </c>
      <c r="Q135" s="6"/>
      <c r="R135" s="6" t="s">
        <v>180</v>
      </c>
      <c r="S135" s="6"/>
      <c r="T135" s="6"/>
      <c r="U135" s="6"/>
      <c r="V135" s="6"/>
      <c r="W135" s="6"/>
      <c r="X135" s="6"/>
      <c r="Y135" s="6"/>
      <c r="Z135" s="6"/>
      <c r="AA135" s="6" t="s">
        <v>89</v>
      </c>
      <c r="AB135" s="6" t="s">
        <v>1391</v>
      </c>
      <c r="AC135" s="6" t="s">
        <v>1364</v>
      </c>
      <c r="AD135" s="6" t="s">
        <v>1365</v>
      </c>
      <c r="AE135" s="6" t="s">
        <v>1366</v>
      </c>
      <c r="AF135" s="6" t="s">
        <v>1392</v>
      </c>
      <c r="AG135" s="6"/>
      <c r="AH135" s="6"/>
      <c r="AI135" s="7"/>
      <c r="AJ135" s="7"/>
      <c r="AK135" s="7"/>
      <c r="AL135" s="7"/>
      <c r="AM135" s="7"/>
      <c r="AN135" s="7"/>
      <c r="AO135" s="7"/>
      <c r="AP135" s="7"/>
      <c r="AQ135" s="7"/>
      <c r="AR135" s="7"/>
      <c r="AS135" s="7"/>
      <c r="AT135" s="7"/>
      <c r="AU135" s="7"/>
      <c r="AV135" s="7"/>
      <c r="AW135" s="7"/>
      <c r="AX135" s="7"/>
      <c r="AY135" s="7"/>
      <c r="AZ135" s="7"/>
    </row>
    <row r="136" customFormat="false" ht="150" hidden="false" customHeight="true" outlineLevel="0" collapsed="false">
      <c r="A136" s="6" t="s">
        <v>1393</v>
      </c>
      <c r="B136" s="6" t="s">
        <v>1329</v>
      </c>
      <c r="C136" s="6" t="s">
        <v>76</v>
      </c>
      <c r="D136" s="6" t="s">
        <v>123</v>
      </c>
      <c r="E136" s="6" t="s">
        <v>124</v>
      </c>
      <c r="F136" s="6"/>
      <c r="G136" s="6" t="s">
        <v>1362</v>
      </c>
      <c r="H136" s="6" t="s">
        <v>1330</v>
      </c>
      <c r="I136" s="6" t="s">
        <v>81</v>
      </c>
      <c r="J136" s="6" t="s">
        <v>621</v>
      </c>
      <c r="K136" s="6" t="s">
        <v>1374</v>
      </c>
      <c r="L136" s="6" t="s">
        <v>1375</v>
      </c>
      <c r="M136" s="6" t="s">
        <v>1376</v>
      </c>
      <c r="N136" s="6"/>
      <c r="O136" s="6"/>
      <c r="P136" s="6" t="s">
        <v>1377</v>
      </c>
      <c r="Q136" s="6"/>
      <c r="R136" s="6" t="s">
        <v>180</v>
      </c>
      <c r="S136" s="6"/>
      <c r="T136" s="6"/>
      <c r="U136" s="6"/>
      <c r="V136" s="6"/>
      <c r="W136" s="6"/>
      <c r="X136" s="6"/>
      <c r="Y136" s="6"/>
      <c r="Z136" s="6"/>
      <c r="AA136" s="6" t="s">
        <v>89</v>
      </c>
      <c r="AB136" s="6" t="s">
        <v>1394</v>
      </c>
      <c r="AC136" s="6" t="s">
        <v>1370</v>
      </c>
      <c r="AD136" s="6" t="s">
        <v>1371</v>
      </c>
      <c r="AE136" s="6" t="s">
        <v>1372</v>
      </c>
      <c r="AF136" s="6" t="s">
        <v>1392</v>
      </c>
      <c r="AG136" s="6"/>
      <c r="AH136" s="6"/>
      <c r="AI136" s="7"/>
      <c r="AJ136" s="7"/>
      <c r="AK136" s="7"/>
      <c r="AL136" s="7"/>
      <c r="AM136" s="7"/>
      <c r="AN136" s="7"/>
      <c r="AO136" s="7"/>
      <c r="AP136" s="7"/>
      <c r="AQ136" s="7"/>
      <c r="AR136" s="7"/>
      <c r="AS136" s="7"/>
      <c r="AT136" s="7"/>
      <c r="AU136" s="7"/>
      <c r="AV136" s="7"/>
      <c r="AW136" s="7"/>
      <c r="AX136" s="7"/>
      <c r="AY136" s="7"/>
      <c r="AZ136" s="7"/>
    </row>
    <row r="137" customFormat="false" ht="150" hidden="false" customHeight="true" outlineLevel="0" collapsed="false">
      <c r="A137" s="6" t="s">
        <v>1395</v>
      </c>
      <c r="B137" s="6" t="s">
        <v>1329</v>
      </c>
      <c r="C137" s="6" t="s">
        <v>76</v>
      </c>
      <c r="D137" s="6" t="s">
        <v>123</v>
      </c>
      <c r="E137" s="6" t="s">
        <v>124</v>
      </c>
      <c r="F137" s="6"/>
      <c r="G137" s="6" t="s">
        <v>79</v>
      </c>
      <c r="H137" s="6" t="s">
        <v>1330</v>
      </c>
      <c r="I137" s="6" t="s">
        <v>81</v>
      </c>
      <c r="J137" s="6" t="s">
        <v>595</v>
      </c>
      <c r="K137" s="6" t="s">
        <v>1396</v>
      </c>
      <c r="L137" s="6" t="s">
        <v>1397</v>
      </c>
      <c r="M137" s="6" t="s">
        <v>1398</v>
      </c>
      <c r="N137" s="6"/>
      <c r="O137" s="6"/>
      <c r="P137" s="6" t="s">
        <v>1399</v>
      </c>
      <c r="Q137" s="6"/>
      <c r="R137" s="6" t="s">
        <v>1400</v>
      </c>
      <c r="S137" s="6"/>
      <c r="T137" s="6"/>
      <c r="U137" s="6"/>
      <c r="V137" s="6"/>
      <c r="W137" s="6"/>
      <c r="X137" s="6"/>
      <c r="Y137" s="6"/>
      <c r="Z137" s="6"/>
      <c r="AA137" s="6" t="s">
        <v>89</v>
      </c>
      <c r="AB137" s="6" t="s">
        <v>1401</v>
      </c>
      <c r="AC137" s="6" t="s">
        <v>1335</v>
      </c>
      <c r="AD137" s="6" t="s">
        <v>1336</v>
      </c>
      <c r="AE137" s="6" t="s">
        <v>1337</v>
      </c>
      <c r="AF137" s="6" t="s">
        <v>1402</v>
      </c>
      <c r="AG137" s="6"/>
      <c r="AH137" s="6"/>
      <c r="AI137" s="7"/>
      <c r="AJ137" s="7"/>
      <c r="AK137" s="7"/>
      <c r="AL137" s="7"/>
      <c r="AM137" s="7"/>
      <c r="AN137" s="7"/>
      <c r="AO137" s="7"/>
      <c r="AP137" s="7"/>
      <c r="AQ137" s="7"/>
      <c r="AR137" s="7"/>
      <c r="AS137" s="7"/>
      <c r="AT137" s="7"/>
      <c r="AU137" s="7"/>
      <c r="AV137" s="7"/>
      <c r="AW137" s="7"/>
      <c r="AX137" s="7"/>
      <c r="AY137" s="7"/>
      <c r="AZ137" s="7"/>
    </row>
    <row r="138" customFormat="false" ht="150" hidden="false" customHeight="true" outlineLevel="0" collapsed="false">
      <c r="A138" s="6" t="s">
        <v>1403</v>
      </c>
      <c r="B138" s="6" t="s">
        <v>1329</v>
      </c>
      <c r="C138" s="6" t="s">
        <v>76</v>
      </c>
      <c r="D138" s="6" t="s">
        <v>123</v>
      </c>
      <c r="E138" s="6" t="s">
        <v>124</v>
      </c>
      <c r="F138" s="6"/>
      <c r="G138" s="6" t="s">
        <v>98</v>
      </c>
      <c r="H138" s="6" t="s">
        <v>1330</v>
      </c>
      <c r="I138" s="6" t="s">
        <v>81</v>
      </c>
      <c r="J138" s="6" t="s">
        <v>621</v>
      </c>
      <c r="K138" s="6" t="s">
        <v>1396</v>
      </c>
      <c r="L138" s="6" t="s">
        <v>1397</v>
      </c>
      <c r="M138" s="6" t="s">
        <v>1398</v>
      </c>
      <c r="N138" s="6"/>
      <c r="O138" s="6"/>
      <c r="P138" s="6" t="s">
        <v>1399</v>
      </c>
      <c r="Q138" s="6"/>
      <c r="R138" s="6" t="s">
        <v>1400</v>
      </c>
      <c r="S138" s="6"/>
      <c r="T138" s="6"/>
      <c r="U138" s="6"/>
      <c r="V138" s="6"/>
      <c r="W138" s="6"/>
      <c r="X138" s="6"/>
      <c r="Y138" s="6"/>
      <c r="Z138" s="6"/>
      <c r="AA138" s="6" t="s">
        <v>89</v>
      </c>
      <c r="AB138" s="6" t="s">
        <v>1404</v>
      </c>
      <c r="AC138" s="6" t="s">
        <v>1341</v>
      </c>
      <c r="AD138" s="6" t="s">
        <v>1342</v>
      </c>
      <c r="AE138" s="6" t="s">
        <v>1343</v>
      </c>
      <c r="AF138" s="6" t="s">
        <v>1405</v>
      </c>
      <c r="AG138" s="6"/>
      <c r="AH138" s="6"/>
      <c r="AI138" s="7"/>
      <c r="AJ138" s="7"/>
      <c r="AK138" s="7"/>
      <c r="AL138" s="7"/>
      <c r="AM138" s="7"/>
      <c r="AN138" s="7"/>
      <c r="AO138" s="7"/>
      <c r="AP138" s="7"/>
      <c r="AQ138" s="7"/>
      <c r="AR138" s="7"/>
      <c r="AS138" s="7"/>
      <c r="AT138" s="7"/>
      <c r="AU138" s="7"/>
      <c r="AV138" s="7"/>
      <c r="AW138" s="7"/>
      <c r="AX138" s="7"/>
      <c r="AY138" s="7"/>
      <c r="AZ138" s="7"/>
    </row>
    <row r="139" customFormat="false" ht="150" hidden="false" customHeight="true" outlineLevel="0" collapsed="false">
      <c r="A139" s="6" t="s">
        <v>1406</v>
      </c>
      <c r="B139" s="6" t="s">
        <v>1329</v>
      </c>
      <c r="C139" s="6" t="s">
        <v>76</v>
      </c>
      <c r="D139" s="6" t="s">
        <v>123</v>
      </c>
      <c r="E139" s="6" t="s">
        <v>124</v>
      </c>
      <c r="F139" s="6"/>
      <c r="G139" s="6" t="s">
        <v>98</v>
      </c>
      <c r="H139" s="6" t="s">
        <v>1330</v>
      </c>
      <c r="I139" s="6" t="s">
        <v>81</v>
      </c>
      <c r="J139" s="6" t="s">
        <v>621</v>
      </c>
      <c r="K139" s="6" t="s">
        <v>1396</v>
      </c>
      <c r="L139" s="6" t="s">
        <v>1397</v>
      </c>
      <c r="M139" s="6" t="s">
        <v>1398</v>
      </c>
      <c r="N139" s="6"/>
      <c r="O139" s="6"/>
      <c r="P139" s="6" t="s">
        <v>1399</v>
      </c>
      <c r="Q139" s="6"/>
      <c r="R139" s="6" t="s">
        <v>1400</v>
      </c>
      <c r="S139" s="6"/>
      <c r="T139" s="6"/>
      <c r="U139" s="6"/>
      <c r="V139" s="6"/>
      <c r="W139" s="6"/>
      <c r="X139" s="6"/>
      <c r="Y139" s="6"/>
      <c r="Z139" s="6"/>
      <c r="AA139" s="6" t="s">
        <v>89</v>
      </c>
      <c r="AB139" s="6" t="s">
        <v>1407</v>
      </c>
      <c r="AC139" s="6" t="s">
        <v>1347</v>
      </c>
      <c r="AD139" s="6" t="s">
        <v>1348</v>
      </c>
      <c r="AE139" s="6" t="s">
        <v>1349</v>
      </c>
      <c r="AF139" s="6" t="s">
        <v>1405</v>
      </c>
      <c r="AG139" s="6"/>
      <c r="AH139" s="6"/>
      <c r="AI139" s="7"/>
      <c r="AJ139" s="7"/>
      <c r="AK139" s="7"/>
      <c r="AL139" s="7"/>
      <c r="AM139" s="7"/>
      <c r="AN139" s="7"/>
      <c r="AO139" s="7"/>
      <c r="AP139" s="7"/>
      <c r="AQ139" s="7"/>
      <c r="AR139" s="7"/>
      <c r="AS139" s="7"/>
      <c r="AT139" s="7"/>
      <c r="AU139" s="7"/>
      <c r="AV139" s="7"/>
      <c r="AW139" s="7"/>
      <c r="AX139" s="7"/>
      <c r="AY139" s="7"/>
      <c r="AZ139" s="7"/>
    </row>
    <row r="140" customFormat="false" ht="150" hidden="false" customHeight="true" outlineLevel="0" collapsed="false">
      <c r="A140" s="6" t="s">
        <v>1408</v>
      </c>
      <c r="B140" s="6" t="s">
        <v>1329</v>
      </c>
      <c r="C140" s="6" t="s">
        <v>76</v>
      </c>
      <c r="D140" s="6" t="s">
        <v>123</v>
      </c>
      <c r="E140" s="6" t="s">
        <v>124</v>
      </c>
      <c r="F140" s="6"/>
      <c r="G140" s="6" t="s">
        <v>165</v>
      </c>
      <c r="H140" s="6" t="s">
        <v>1330</v>
      </c>
      <c r="I140" s="6" t="s">
        <v>81</v>
      </c>
      <c r="J140" s="6" t="s">
        <v>621</v>
      </c>
      <c r="K140" s="6" t="s">
        <v>1396</v>
      </c>
      <c r="L140" s="6" t="s">
        <v>1397</v>
      </c>
      <c r="M140" s="6" t="s">
        <v>1398</v>
      </c>
      <c r="N140" s="6"/>
      <c r="O140" s="6"/>
      <c r="P140" s="6" t="s">
        <v>1399</v>
      </c>
      <c r="Q140" s="6"/>
      <c r="R140" s="6" t="s">
        <v>1400</v>
      </c>
      <c r="S140" s="6"/>
      <c r="T140" s="6"/>
      <c r="U140" s="6"/>
      <c r="V140" s="6"/>
      <c r="W140" s="6"/>
      <c r="X140" s="6"/>
      <c r="Y140" s="6"/>
      <c r="Z140" s="6"/>
      <c r="AA140" s="6" t="s">
        <v>89</v>
      </c>
      <c r="AB140" s="6" t="s">
        <v>1409</v>
      </c>
      <c r="AC140" s="6" t="s">
        <v>1352</v>
      </c>
      <c r="AD140" s="6" t="s">
        <v>1353</v>
      </c>
      <c r="AE140" s="6" t="s">
        <v>1354</v>
      </c>
      <c r="AF140" s="6" t="s">
        <v>1410</v>
      </c>
      <c r="AG140" s="6"/>
      <c r="AH140" s="6"/>
      <c r="AI140" s="7"/>
      <c r="AJ140" s="7"/>
      <c r="AK140" s="7"/>
      <c r="AL140" s="7"/>
      <c r="AM140" s="7"/>
      <c r="AN140" s="7"/>
      <c r="AO140" s="7"/>
      <c r="AP140" s="7"/>
      <c r="AQ140" s="7"/>
      <c r="AR140" s="7"/>
      <c r="AS140" s="7"/>
      <c r="AT140" s="7"/>
      <c r="AU140" s="7"/>
      <c r="AV140" s="7"/>
      <c r="AW140" s="7"/>
      <c r="AX140" s="7"/>
      <c r="AY140" s="7"/>
      <c r="AZ140" s="7"/>
    </row>
    <row r="141" customFormat="false" ht="150" hidden="false" customHeight="true" outlineLevel="0" collapsed="false">
      <c r="A141" s="6" t="s">
        <v>1411</v>
      </c>
      <c r="B141" s="6" t="s">
        <v>1329</v>
      </c>
      <c r="C141" s="6" t="s">
        <v>76</v>
      </c>
      <c r="D141" s="6" t="s">
        <v>123</v>
      </c>
      <c r="E141" s="6" t="s">
        <v>124</v>
      </c>
      <c r="F141" s="6"/>
      <c r="G141" s="6" t="s">
        <v>165</v>
      </c>
      <c r="H141" s="6" t="s">
        <v>1330</v>
      </c>
      <c r="I141" s="6" t="s">
        <v>81</v>
      </c>
      <c r="J141" s="6" t="s">
        <v>621</v>
      </c>
      <c r="K141" s="6" t="s">
        <v>1396</v>
      </c>
      <c r="L141" s="6" t="s">
        <v>1397</v>
      </c>
      <c r="M141" s="6" t="s">
        <v>1398</v>
      </c>
      <c r="N141" s="6"/>
      <c r="O141" s="6"/>
      <c r="P141" s="6" t="s">
        <v>1399</v>
      </c>
      <c r="Q141" s="6"/>
      <c r="R141" s="6" t="s">
        <v>1400</v>
      </c>
      <c r="S141" s="6"/>
      <c r="T141" s="6"/>
      <c r="U141" s="6"/>
      <c r="V141" s="6"/>
      <c r="W141" s="6"/>
      <c r="X141" s="6"/>
      <c r="Y141" s="6"/>
      <c r="Z141" s="6"/>
      <c r="AA141" s="6" t="s">
        <v>89</v>
      </c>
      <c r="AB141" s="6" t="s">
        <v>1412</v>
      </c>
      <c r="AC141" s="6" t="s">
        <v>1358</v>
      </c>
      <c r="AD141" s="6" t="s">
        <v>1359</v>
      </c>
      <c r="AE141" s="6" t="s">
        <v>1360</v>
      </c>
      <c r="AF141" s="6" t="s">
        <v>1410</v>
      </c>
      <c r="AG141" s="6"/>
      <c r="AH141" s="6"/>
      <c r="AI141" s="7"/>
      <c r="AJ141" s="7"/>
      <c r="AK141" s="7"/>
      <c r="AL141" s="7"/>
      <c r="AM141" s="7"/>
      <c r="AN141" s="7"/>
      <c r="AO141" s="7"/>
      <c r="AP141" s="7"/>
      <c r="AQ141" s="7"/>
      <c r="AR141" s="7"/>
      <c r="AS141" s="7"/>
      <c r="AT141" s="7"/>
      <c r="AU141" s="7"/>
      <c r="AV141" s="7"/>
      <c r="AW141" s="7"/>
      <c r="AX141" s="7"/>
      <c r="AY141" s="7"/>
      <c r="AZ141" s="7"/>
    </row>
    <row r="142" customFormat="false" ht="150" hidden="false" customHeight="true" outlineLevel="0" collapsed="false">
      <c r="A142" s="6" t="s">
        <v>1413</v>
      </c>
      <c r="B142" s="6" t="s">
        <v>1329</v>
      </c>
      <c r="C142" s="6" t="s">
        <v>76</v>
      </c>
      <c r="D142" s="6" t="s">
        <v>123</v>
      </c>
      <c r="E142" s="6" t="s">
        <v>124</v>
      </c>
      <c r="F142" s="6"/>
      <c r="G142" s="6" t="s">
        <v>1362</v>
      </c>
      <c r="H142" s="6" t="s">
        <v>1330</v>
      </c>
      <c r="I142" s="6" t="s">
        <v>81</v>
      </c>
      <c r="J142" s="6" t="s">
        <v>621</v>
      </c>
      <c r="K142" s="6" t="s">
        <v>1396</v>
      </c>
      <c r="L142" s="6" t="s">
        <v>1397</v>
      </c>
      <c r="M142" s="6" t="s">
        <v>1398</v>
      </c>
      <c r="N142" s="6"/>
      <c r="O142" s="6"/>
      <c r="P142" s="6" t="s">
        <v>1399</v>
      </c>
      <c r="Q142" s="6"/>
      <c r="R142" s="6" t="s">
        <v>1400</v>
      </c>
      <c r="S142" s="6"/>
      <c r="T142" s="6"/>
      <c r="U142" s="6"/>
      <c r="V142" s="6"/>
      <c r="W142" s="6"/>
      <c r="X142" s="6"/>
      <c r="Y142" s="6"/>
      <c r="Z142" s="6"/>
      <c r="AA142" s="6" t="s">
        <v>89</v>
      </c>
      <c r="AB142" s="6" t="s">
        <v>1414</v>
      </c>
      <c r="AC142" s="6" t="s">
        <v>1364</v>
      </c>
      <c r="AD142" s="6" t="s">
        <v>1365</v>
      </c>
      <c r="AE142" s="6" t="s">
        <v>1366</v>
      </c>
      <c r="AF142" s="6" t="s">
        <v>1415</v>
      </c>
      <c r="AG142" s="6"/>
      <c r="AH142" s="6"/>
      <c r="AI142" s="7"/>
      <c r="AJ142" s="7"/>
      <c r="AK142" s="7"/>
      <c r="AL142" s="7"/>
      <c r="AM142" s="7"/>
      <c r="AN142" s="7"/>
      <c r="AO142" s="7"/>
      <c r="AP142" s="7"/>
      <c r="AQ142" s="7"/>
      <c r="AR142" s="7"/>
      <c r="AS142" s="7"/>
      <c r="AT142" s="7"/>
      <c r="AU142" s="7"/>
      <c r="AV142" s="7"/>
      <c r="AW142" s="7"/>
      <c r="AX142" s="7"/>
      <c r="AY142" s="7"/>
      <c r="AZ142" s="7"/>
    </row>
    <row r="143" customFormat="false" ht="150" hidden="false" customHeight="true" outlineLevel="0" collapsed="false">
      <c r="A143" s="6" t="s">
        <v>1416</v>
      </c>
      <c r="B143" s="6" t="s">
        <v>1329</v>
      </c>
      <c r="C143" s="6" t="s">
        <v>76</v>
      </c>
      <c r="D143" s="6" t="s">
        <v>123</v>
      </c>
      <c r="E143" s="6" t="s">
        <v>124</v>
      </c>
      <c r="F143" s="6"/>
      <c r="G143" s="6" t="s">
        <v>1362</v>
      </c>
      <c r="H143" s="6" t="s">
        <v>1330</v>
      </c>
      <c r="I143" s="6" t="s">
        <v>81</v>
      </c>
      <c r="J143" s="6" t="s">
        <v>621</v>
      </c>
      <c r="K143" s="6" t="s">
        <v>1396</v>
      </c>
      <c r="L143" s="6" t="s">
        <v>1397</v>
      </c>
      <c r="M143" s="6" t="s">
        <v>1398</v>
      </c>
      <c r="N143" s="6"/>
      <c r="O143" s="6"/>
      <c r="P143" s="6" t="s">
        <v>1399</v>
      </c>
      <c r="Q143" s="6"/>
      <c r="R143" s="6" t="s">
        <v>1400</v>
      </c>
      <c r="S143" s="6"/>
      <c r="T143" s="6"/>
      <c r="U143" s="6"/>
      <c r="V143" s="6"/>
      <c r="W143" s="6"/>
      <c r="X143" s="6"/>
      <c r="Y143" s="6"/>
      <c r="Z143" s="6"/>
      <c r="AA143" s="6" t="s">
        <v>89</v>
      </c>
      <c r="AB143" s="6" t="s">
        <v>1417</v>
      </c>
      <c r="AC143" s="6" t="s">
        <v>1370</v>
      </c>
      <c r="AD143" s="6" t="s">
        <v>1371</v>
      </c>
      <c r="AE143" s="6" t="s">
        <v>1372</v>
      </c>
      <c r="AF143" s="6" t="s">
        <v>1415</v>
      </c>
      <c r="AG143" s="6"/>
      <c r="AH143" s="6"/>
      <c r="AI143" s="7"/>
      <c r="AJ143" s="7"/>
      <c r="AK143" s="7"/>
      <c r="AL143" s="7"/>
      <c r="AM143" s="7"/>
      <c r="AN143" s="7"/>
      <c r="AO143" s="7"/>
      <c r="AP143" s="7"/>
      <c r="AQ143" s="7"/>
      <c r="AR143" s="7"/>
      <c r="AS143" s="7"/>
      <c r="AT143" s="7"/>
      <c r="AU143" s="7"/>
      <c r="AV143" s="7"/>
      <c r="AW143" s="7"/>
      <c r="AX143" s="7"/>
      <c r="AY143" s="7"/>
      <c r="AZ143" s="7"/>
    </row>
    <row r="144" customFormat="false" ht="150" hidden="false" customHeight="true" outlineLevel="0" collapsed="false">
      <c r="A144" s="6" t="s">
        <v>1418</v>
      </c>
      <c r="B144" s="6" t="s">
        <v>1329</v>
      </c>
      <c r="C144" s="6" t="s">
        <v>76</v>
      </c>
      <c r="D144" s="6" t="s">
        <v>123</v>
      </c>
      <c r="E144" s="6" t="s">
        <v>124</v>
      </c>
      <c r="F144" s="6"/>
      <c r="G144" s="6" t="s">
        <v>79</v>
      </c>
      <c r="H144" s="6" t="s">
        <v>1330</v>
      </c>
      <c r="I144" s="6" t="s">
        <v>81</v>
      </c>
      <c r="J144" s="6" t="s">
        <v>595</v>
      </c>
      <c r="K144" s="6" t="s">
        <v>1419</v>
      </c>
      <c r="L144" s="6" t="s">
        <v>1420</v>
      </c>
      <c r="M144" s="6" t="s">
        <v>1421</v>
      </c>
      <c r="N144" s="6"/>
      <c r="O144" s="6"/>
      <c r="P144" s="6" t="s">
        <v>1422</v>
      </c>
      <c r="Q144" s="6"/>
      <c r="R144" s="6" t="s">
        <v>636</v>
      </c>
      <c r="S144" s="6"/>
      <c r="T144" s="6"/>
      <c r="U144" s="6"/>
      <c r="V144" s="6"/>
      <c r="W144" s="6"/>
      <c r="X144" s="6"/>
      <c r="Y144" s="6"/>
      <c r="Z144" s="6"/>
      <c r="AA144" s="6" t="s">
        <v>89</v>
      </c>
      <c r="AB144" s="6" t="s">
        <v>1423</v>
      </c>
      <c r="AC144" s="6" t="s">
        <v>1335</v>
      </c>
      <c r="AD144" s="6" t="s">
        <v>1336</v>
      </c>
      <c r="AE144" s="6" t="s">
        <v>1337</v>
      </c>
      <c r="AF144" s="6" t="s">
        <v>1424</v>
      </c>
      <c r="AG144" s="6"/>
      <c r="AH144" s="6"/>
      <c r="AI144" s="7"/>
      <c r="AJ144" s="7"/>
      <c r="AK144" s="7"/>
      <c r="AL144" s="7"/>
      <c r="AM144" s="7"/>
      <c r="AN144" s="7"/>
      <c r="AO144" s="7"/>
      <c r="AP144" s="7"/>
      <c r="AQ144" s="7"/>
      <c r="AR144" s="7"/>
      <c r="AS144" s="7"/>
      <c r="AT144" s="7"/>
      <c r="AU144" s="7"/>
      <c r="AV144" s="7"/>
      <c r="AW144" s="7"/>
      <c r="AX144" s="7"/>
      <c r="AY144" s="7"/>
      <c r="AZ144" s="7"/>
    </row>
    <row r="145" customFormat="false" ht="150" hidden="false" customHeight="true" outlineLevel="0" collapsed="false">
      <c r="A145" s="6" t="s">
        <v>1425</v>
      </c>
      <c r="B145" s="6" t="s">
        <v>1329</v>
      </c>
      <c r="C145" s="6" t="s">
        <v>76</v>
      </c>
      <c r="D145" s="6" t="s">
        <v>123</v>
      </c>
      <c r="E145" s="6" t="s">
        <v>124</v>
      </c>
      <c r="F145" s="6"/>
      <c r="G145" s="6" t="s">
        <v>98</v>
      </c>
      <c r="H145" s="6" t="s">
        <v>1330</v>
      </c>
      <c r="I145" s="6" t="s">
        <v>81</v>
      </c>
      <c r="J145" s="6" t="s">
        <v>621</v>
      </c>
      <c r="K145" s="6" t="s">
        <v>1419</v>
      </c>
      <c r="L145" s="6" t="s">
        <v>1420</v>
      </c>
      <c r="M145" s="6" t="s">
        <v>1421</v>
      </c>
      <c r="N145" s="6"/>
      <c r="O145" s="6"/>
      <c r="P145" s="6" t="s">
        <v>1422</v>
      </c>
      <c r="Q145" s="6"/>
      <c r="R145" s="6" t="s">
        <v>636</v>
      </c>
      <c r="S145" s="6"/>
      <c r="T145" s="6"/>
      <c r="U145" s="6"/>
      <c r="V145" s="6"/>
      <c r="W145" s="6"/>
      <c r="X145" s="6"/>
      <c r="Y145" s="6"/>
      <c r="Z145" s="6"/>
      <c r="AA145" s="6" t="s">
        <v>89</v>
      </c>
      <c r="AB145" s="6" t="s">
        <v>1426</v>
      </c>
      <c r="AC145" s="6" t="s">
        <v>1341</v>
      </c>
      <c r="AD145" s="6" t="s">
        <v>1342</v>
      </c>
      <c r="AE145" s="6" t="s">
        <v>1343</v>
      </c>
      <c r="AF145" s="6" t="s">
        <v>1427</v>
      </c>
      <c r="AG145" s="6"/>
      <c r="AH145" s="6"/>
      <c r="AI145" s="7"/>
      <c r="AJ145" s="7"/>
      <c r="AK145" s="7"/>
      <c r="AL145" s="7"/>
      <c r="AM145" s="7"/>
      <c r="AN145" s="7"/>
      <c r="AO145" s="7"/>
      <c r="AP145" s="7"/>
      <c r="AQ145" s="7"/>
      <c r="AR145" s="7"/>
      <c r="AS145" s="7"/>
      <c r="AT145" s="7"/>
      <c r="AU145" s="7"/>
      <c r="AV145" s="7"/>
      <c r="AW145" s="7"/>
      <c r="AX145" s="7"/>
      <c r="AY145" s="7"/>
      <c r="AZ145" s="7"/>
    </row>
    <row r="146" customFormat="false" ht="150" hidden="false" customHeight="true" outlineLevel="0" collapsed="false">
      <c r="A146" s="6" t="s">
        <v>1428</v>
      </c>
      <c r="B146" s="6" t="s">
        <v>1329</v>
      </c>
      <c r="C146" s="6" t="s">
        <v>76</v>
      </c>
      <c r="D146" s="6" t="s">
        <v>123</v>
      </c>
      <c r="E146" s="6" t="s">
        <v>124</v>
      </c>
      <c r="F146" s="6"/>
      <c r="G146" s="6" t="s">
        <v>98</v>
      </c>
      <c r="H146" s="6" t="s">
        <v>1330</v>
      </c>
      <c r="I146" s="6" t="s">
        <v>81</v>
      </c>
      <c r="J146" s="6" t="s">
        <v>621</v>
      </c>
      <c r="K146" s="6" t="s">
        <v>1419</v>
      </c>
      <c r="L146" s="6" t="s">
        <v>1420</v>
      </c>
      <c r="M146" s="6" t="s">
        <v>1421</v>
      </c>
      <c r="N146" s="6"/>
      <c r="O146" s="6"/>
      <c r="P146" s="6" t="s">
        <v>1422</v>
      </c>
      <c r="Q146" s="6"/>
      <c r="R146" s="6" t="s">
        <v>636</v>
      </c>
      <c r="S146" s="6"/>
      <c r="T146" s="6"/>
      <c r="U146" s="6"/>
      <c r="V146" s="6"/>
      <c r="W146" s="6"/>
      <c r="X146" s="6"/>
      <c r="Y146" s="6"/>
      <c r="Z146" s="6"/>
      <c r="AA146" s="6" t="s">
        <v>89</v>
      </c>
      <c r="AB146" s="6" t="s">
        <v>1429</v>
      </c>
      <c r="AC146" s="6" t="s">
        <v>1347</v>
      </c>
      <c r="AD146" s="6" t="s">
        <v>1348</v>
      </c>
      <c r="AE146" s="6" t="s">
        <v>1349</v>
      </c>
      <c r="AF146" s="6" t="s">
        <v>1427</v>
      </c>
      <c r="AG146" s="6"/>
      <c r="AH146" s="6"/>
      <c r="AI146" s="7"/>
      <c r="AJ146" s="7"/>
      <c r="AK146" s="7"/>
      <c r="AL146" s="7"/>
      <c r="AM146" s="7"/>
      <c r="AN146" s="7"/>
      <c r="AO146" s="7"/>
      <c r="AP146" s="7"/>
      <c r="AQ146" s="7"/>
      <c r="AR146" s="7"/>
      <c r="AS146" s="7"/>
      <c r="AT146" s="7"/>
      <c r="AU146" s="7"/>
      <c r="AV146" s="7"/>
      <c r="AW146" s="7"/>
      <c r="AX146" s="7"/>
      <c r="AY146" s="7"/>
      <c r="AZ146" s="7"/>
    </row>
    <row r="147" customFormat="false" ht="150" hidden="false" customHeight="true" outlineLevel="0" collapsed="false">
      <c r="A147" s="6" t="s">
        <v>1430</v>
      </c>
      <c r="B147" s="6" t="s">
        <v>1329</v>
      </c>
      <c r="C147" s="6" t="s">
        <v>76</v>
      </c>
      <c r="D147" s="6" t="s">
        <v>123</v>
      </c>
      <c r="E147" s="6" t="s">
        <v>124</v>
      </c>
      <c r="F147" s="6"/>
      <c r="G147" s="6" t="s">
        <v>165</v>
      </c>
      <c r="H147" s="6" t="s">
        <v>1330</v>
      </c>
      <c r="I147" s="6" t="s">
        <v>81</v>
      </c>
      <c r="J147" s="6" t="s">
        <v>621</v>
      </c>
      <c r="K147" s="6" t="s">
        <v>1419</v>
      </c>
      <c r="L147" s="6" t="s">
        <v>1420</v>
      </c>
      <c r="M147" s="6" t="s">
        <v>1421</v>
      </c>
      <c r="N147" s="6"/>
      <c r="O147" s="6"/>
      <c r="P147" s="6" t="s">
        <v>1422</v>
      </c>
      <c r="Q147" s="6"/>
      <c r="R147" s="6" t="s">
        <v>636</v>
      </c>
      <c r="S147" s="6"/>
      <c r="T147" s="6"/>
      <c r="U147" s="6"/>
      <c r="V147" s="6"/>
      <c r="W147" s="6"/>
      <c r="X147" s="6"/>
      <c r="Y147" s="6"/>
      <c r="Z147" s="6"/>
      <c r="AA147" s="6" t="s">
        <v>89</v>
      </c>
      <c r="AB147" s="6" t="s">
        <v>1431</v>
      </c>
      <c r="AC147" s="6" t="s">
        <v>1352</v>
      </c>
      <c r="AD147" s="6" t="s">
        <v>1353</v>
      </c>
      <c r="AE147" s="6" t="s">
        <v>1354</v>
      </c>
      <c r="AF147" s="6" t="s">
        <v>1432</v>
      </c>
      <c r="AG147" s="6"/>
      <c r="AH147" s="6"/>
      <c r="AI147" s="7"/>
      <c r="AJ147" s="7"/>
      <c r="AK147" s="7"/>
      <c r="AL147" s="7"/>
      <c r="AM147" s="7"/>
      <c r="AN147" s="7"/>
      <c r="AO147" s="7"/>
      <c r="AP147" s="7"/>
      <c r="AQ147" s="7"/>
      <c r="AR147" s="7"/>
      <c r="AS147" s="7"/>
      <c r="AT147" s="7"/>
      <c r="AU147" s="7"/>
      <c r="AV147" s="7"/>
      <c r="AW147" s="7"/>
      <c r="AX147" s="7"/>
      <c r="AY147" s="7"/>
      <c r="AZ147" s="7"/>
    </row>
    <row r="148" customFormat="false" ht="150" hidden="false" customHeight="true" outlineLevel="0" collapsed="false">
      <c r="A148" s="6" t="s">
        <v>1433</v>
      </c>
      <c r="B148" s="6" t="s">
        <v>1329</v>
      </c>
      <c r="C148" s="6" t="s">
        <v>76</v>
      </c>
      <c r="D148" s="6" t="s">
        <v>123</v>
      </c>
      <c r="E148" s="6" t="s">
        <v>124</v>
      </c>
      <c r="F148" s="6"/>
      <c r="G148" s="6" t="s">
        <v>165</v>
      </c>
      <c r="H148" s="6" t="s">
        <v>1330</v>
      </c>
      <c r="I148" s="6" t="s">
        <v>81</v>
      </c>
      <c r="J148" s="6" t="s">
        <v>621</v>
      </c>
      <c r="K148" s="6" t="s">
        <v>1419</v>
      </c>
      <c r="L148" s="6" t="s">
        <v>1420</v>
      </c>
      <c r="M148" s="6" t="s">
        <v>1421</v>
      </c>
      <c r="N148" s="6"/>
      <c r="O148" s="6"/>
      <c r="P148" s="6" t="s">
        <v>1422</v>
      </c>
      <c r="Q148" s="6"/>
      <c r="R148" s="6" t="s">
        <v>636</v>
      </c>
      <c r="S148" s="6"/>
      <c r="T148" s="6"/>
      <c r="U148" s="6"/>
      <c r="V148" s="6"/>
      <c r="W148" s="6"/>
      <c r="X148" s="6"/>
      <c r="Y148" s="6"/>
      <c r="Z148" s="6"/>
      <c r="AA148" s="6" t="s">
        <v>89</v>
      </c>
      <c r="AB148" s="6" t="s">
        <v>1434</v>
      </c>
      <c r="AC148" s="6" t="s">
        <v>1358</v>
      </c>
      <c r="AD148" s="6" t="s">
        <v>1359</v>
      </c>
      <c r="AE148" s="6" t="s">
        <v>1360</v>
      </c>
      <c r="AF148" s="6" t="s">
        <v>1432</v>
      </c>
      <c r="AG148" s="6"/>
      <c r="AH148" s="6"/>
      <c r="AI148" s="7"/>
      <c r="AJ148" s="7"/>
      <c r="AK148" s="7"/>
      <c r="AL148" s="7"/>
      <c r="AM148" s="7"/>
      <c r="AN148" s="7"/>
      <c r="AO148" s="7"/>
      <c r="AP148" s="7"/>
      <c r="AQ148" s="7"/>
      <c r="AR148" s="7"/>
      <c r="AS148" s="7"/>
      <c r="AT148" s="7"/>
      <c r="AU148" s="7"/>
      <c r="AV148" s="7"/>
      <c r="AW148" s="7"/>
      <c r="AX148" s="7"/>
      <c r="AY148" s="7"/>
      <c r="AZ148" s="7"/>
    </row>
    <row r="149" customFormat="false" ht="150" hidden="false" customHeight="true" outlineLevel="0" collapsed="false">
      <c r="A149" s="6" t="s">
        <v>1435</v>
      </c>
      <c r="B149" s="6" t="s">
        <v>1329</v>
      </c>
      <c r="C149" s="6" t="s">
        <v>76</v>
      </c>
      <c r="D149" s="6" t="s">
        <v>123</v>
      </c>
      <c r="E149" s="6" t="s">
        <v>124</v>
      </c>
      <c r="F149" s="6"/>
      <c r="G149" s="6" t="s">
        <v>1362</v>
      </c>
      <c r="H149" s="6" t="s">
        <v>1330</v>
      </c>
      <c r="I149" s="6" t="s">
        <v>81</v>
      </c>
      <c r="J149" s="6" t="s">
        <v>621</v>
      </c>
      <c r="K149" s="6" t="s">
        <v>1419</v>
      </c>
      <c r="L149" s="6" t="s">
        <v>1420</v>
      </c>
      <c r="M149" s="6" t="s">
        <v>1421</v>
      </c>
      <c r="N149" s="6"/>
      <c r="O149" s="6"/>
      <c r="P149" s="6" t="s">
        <v>1422</v>
      </c>
      <c r="Q149" s="6"/>
      <c r="R149" s="6" t="s">
        <v>636</v>
      </c>
      <c r="S149" s="6"/>
      <c r="T149" s="6"/>
      <c r="U149" s="6"/>
      <c r="V149" s="6"/>
      <c r="W149" s="6"/>
      <c r="X149" s="6"/>
      <c r="Y149" s="6"/>
      <c r="Z149" s="6"/>
      <c r="AA149" s="6" t="s">
        <v>89</v>
      </c>
      <c r="AB149" s="6" t="s">
        <v>1436</v>
      </c>
      <c r="AC149" s="6" t="s">
        <v>1364</v>
      </c>
      <c r="AD149" s="6" t="s">
        <v>1365</v>
      </c>
      <c r="AE149" s="6" t="s">
        <v>1366</v>
      </c>
      <c r="AF149" s="6" t="s">
        <v>1437</v>
      </c>
      <c r="AG149" s="6"/>
      <c r="AH149" s="6"/>
      <c r="AI149" s="7"/>
      <c r="AJ149" s="7"/>
      <c r="AK149" s="7"/>
      <c r="AL149" s="7"/>
      <c r="AM149" s="7"/>
      <c r="AN149" s="7"/>
      <c r="AO149" s="7"/>
      <c r="AP149" s="7"/>
      <c r="AQ149" s="7"/>
      <c r="AR149" s="7"/>
      <c r="AS149" s="7"/>
      <c r="AT149" s="7"/>
      <c r="AU149" s="7"/>
      <c r="AV149" s="7"/>
      <c r="AW149" s="7"/>
      <c r="AX149" s="7"/>
      <c r="AY149" s="7"/>
      <c r="AZ149" s="7"/>
    </row>
    <row r="150" customFormat="false" ht="150" hidden="false" customHeight="true" outlineLevel="0" collapsed="false">
      <c r="A150" s="6" t="s">
        <v>1438</v>
      </c>
      <c r="B150" s="6" t="s">
        <v>1329</v>
      </c>
      <c r="C150" s="6" t="s">
        <v>76</v>
      </c>
      <c r="D150" s="6" t="s">
        <v>123</v>
      </c>
      <c r="E150" s="6" t="s">
        <v>124</v>
      </c>
      <c r="F150" s="6"/>
      <c r="G150" s="6" t="s">
        <v>1362</v>
      </c>
      <c r="H150" s="6" t="s">
        <v>1330</v>
      </c>
      <c r="I150" s="6" t="s">
        <v>81</v>
      </c>
      <c r="J150" s="6" t="s">
        <v>621</v>
      </c>
      <c r="K150" s="6" t="s">
        <v>1419</v>
      </c>
      <c r="L150" s="6" t="s">
        <v>1420</v>
      </c>
      <c r="M150" s="6" t="s">
        <v>1421</v>
      </c>
      <c r="N150" s="6"/>
      <c r="O150" s="6"/>
      <c r="P150" s="6" t="s">
        <v>1422</v>
      </c>
      <c r="Q150" s="6"/>
      <c r="R150" s="6" t="s">
        <v>636</v>
      </c>
      <c r="S150" s="6"/>
      <c r="T150" s="6"/>
      <c r="U150" s="6"/>
      <c r="V150" s="6"/>
      <c r="W150" s="6"/>
      <c r="X150" s="6"/>
      <c r="Y150" s="6"/>
      <c r="Z150" s="6"/>
      <c r="AA150" s="6" t="s">
        <v>89</v>
      </c>
      <c r="AB150" s="6" t="s">
        <v>1439</v>
      </c>
      <c r="AC150" s="6" t="s">
        <v>1370</v>
      </c>
      <c r="AD150" s="6" t="s">
        <v>1371</v>
      </c>
      <c r="AE150" s="6" t="s">
        <v>1372</v>
      </c>
      <c r="AF150" s="6" t="s">
        <v>1437</v>
      </c>
      <c r="AG150" s="6"/>
      <c r="AH150" s="6"/>
      <c r="AI150" s="7"/>
      <c r="AJ150" s="7"/>
      <c r="AK150" s="7"/>
      <c r="AL150" s="7"/>
      <c r="AM150" s="7"/>
      <c r="AN150" s="7"/>
      <c r="AO150" s="7"/>
      <c r="AP150" s="7"/>
      <c r="AQ150" s="7"/>
      <c r="AR150" s="7"/>
      <c r="AS150" s="7"/>
      <c r="AT150" s="7"/>
      <c r="AU150" s="7"/>
      <c r="AV150" s="7"/>
      <c r="AW150" s="7"/>
      <c r="AX150" s="7"/>
      <c r="AY150" s="7"/>
      <c r="AZ150" s="7"/>
    </row>
    <row r="151" customFormat="false" ht="150" hidden="false" customHeight="true" outlineLevel="0" collapsed="false">
      <c r="A151" s="6" t="s">
        <v>1440</v>
      </c>
      <c r="B151" s="6" t="s">
        <v>1329</v>
      </c>
      <c r="C151" s="6" t="s">
        <v>76</v>
      </c>
      <c r="D151" s="6" t="s">
        <v>77</v>
      </c>
      <c r="E151" s="6" t="s">
        <v>78</v>
      </c>
      <c r="F151" s="6"/>
      <c r="G151" s="6" t="s">
        <v>79</v>
      </c>
      <c r="H151" s="6" t="s">
        <v>1330</v>
      </c>
      <c r="I151" s="6" t="s">
        <v>81</v>
      </c>
      <c r="J151" s="6" t="s">
        <v>595</v>
      </c>
      <c r="K151" s="6" t="s">
        <v>1441</v>
      </c>
      <c r="L151" s="6" t="s">
        <v>1442</v>
      </c>
      <c r="M151" s="6" t="s">
        <v>1443</v>
      </c>
      <c r="N151" s="6"/>
      <c r="O151" s="6"/>
      <c r="P151" s="6" t="s">
        <v>1444</v>
      </c>
      <c r="Q151" s="6"/>
      <c r="R151" s="6"/>
      <c r="S151" s="6"/>
      <c r="T151" s="6"/>
      <c r="U151" s="6"/>
      <c r="V151" s="6"/>
      <c r="W151" s="6"/>
      <c r="X151" s="6"/>
      <c r="Y151" s="6"/>
      <c r="Z151" s="6"/>
      <c r="AA151" s="6" t="s">
        <v>89</v>
      </c>
      <c r="AB151" s="6" t="s">
        <v>1445</v>
      </c>
      <c r="AC151" s="6" t="s">
        <v>1335</v>
      </c>
      <c r="AD151" s="6" t="s">
        <v>1336</v>
      </c>
      <c r="AE151" s="6" t="s">
        <v>1337</v>
      </c>
      <c r="AF151" s="6" t="s">
        <v>1446</v>
      </c>
      <c r="AG151" s="6"/>
      <c r="AH151" s="6"/>
      <c r="AI151" s="7"/>
      <c r="AJ151" s="7"/>
      <c r="AK151" s="7"/>
      <c r="AL151" s="7"/>
      <c r="AM151" s="7"/>
      <c r="AN151" s="7"/>
      <c r="AO151" s="7"/>
      <c r="AP151" s="7"/>
      <c r="AQ151" s="7"/>
      <c r="AR151" s="7"/>
      <c r="AS151" s="7"/>
      <c r="AT151" s="7"/>
      <c r="AU151" s="7"/>
      <c r="AV151" s="7"/>
      <c r="AW151" s="7"/>
      <c r="AX151" s="7"/>
      <c r="AY151" s="7"/>
      <c r="AZ151" s="7"/>
    </row>
    <row r="152" customFormat="false" ht="150" hidden="false" customHeight="true" outlineLevel="0" collapsed="false">
      <c r="A152" s="6" t="s">
        <v>1447</v>
      </c>
      <c r="B152" s="6" t="s">
        <v>1329</v>
      </c>
      <c r="C152" s="6" t="s">
        <v>76</v>
      </c>
      <c r="D152" s="6" t="s">
        <v>77</v>
      </c>
      <c r="E152" s="6" t="s">
        <v>78</v>
      </c>
      <c r="F152" s="6"/>
      <c r="G152" s="6" t="s">
        <v>98</v>
      </c>
      <c r="H152" s="6" t="s">
        <v>1330</v>
      </c>
      <c r="I152" s="6" t="s">
        <v>81</v>
      </c>
      <c r="J152" s="6" t="s">
        <v>621</v>
      </c>
      <c r="K152" s="6" t="s">
        <v>1441</v>
      </c>
      <c r="L152" s="6" t="s">
        <v>1442</v>
      </c>
      <c r="M152" s="6" t="s">
        <v>1443</v>
      </c>
      <c r="N152" s="6"/>
      <c r="O152" s="6"/>
      <c r="P152" s="6" t="s">
        <v>1444</v>
      </c>
      <c r="Q152" s="6"/>
      <c r="R152" s="6"/>
      <c r="S152" s="6"/>
      <c r="T152" s="6"/>
      <c r="U152" s="6"/>
      <c r="V152" s="6"/>
      <c r="W152" s="6"/>
      <c r="X152" s="6"/>
      <c r="Y152" s="6"/>
      <c r="Z152" s="6"/>
      <c r="AA152" s="6" t="s">
        <v>89</v>
      </c>
      <c r="AB152" s="6" t="s">
        <v>1448</v>
      </c>
      <c r="AC152" s="6" t="s">
        <v>1341</v>
      </c>
      <c r="AD152" s="6" t="s">
        <v>1342</v>
      </c>
      <c r="AE152" s="6" t="s">
        <v>1343</v>
      </c>
      <c r="AF152" s="6" t="s">
        <v>1449</v>
      </c>
      <c r="AG152" s="6"/>
      <c r="AH152" s="6"/>
      <c r="AI152" s="7"/>
      <c r="AJ152" s="7"/>
      <c r="AK152" s="7"/>
      <c r="AL152" s="7"/>
      <c r="AM152" s="7"/>
      <c r="AN152" s="7"/>
      <c r="AO152" s="7"/>
      <c r="AP152" s="7"/>
      <c r="AQ152" s="7"/>
      <c r="AR152" s="7"/>
      <c r="AS152" s="7"/>
      <c r="AT152" s="7"/>
      <c r="AU152" s="7"/>
      <c r="AV152" s="7"/>
      <c r="AW152" s="7"/>
      <c r="AX152" s="7"/>
      <c r="AY152" s="7"/>
      <c r="AZ152" s="7"/>
    </row>
    <row r="153" customFormat="false" ht="150" hidden="false" customHeight="true" outlineLevel="0" collapsed="false">
      <c r="A153" s="6" t="s">
        <v>1450</v>
      </c>
      <c r="B153" s="6" t="s">
        <v>1329</v>
      </c>
      <c r="C153" s="6" t="s">
        <v>76</v>
      </c>
      <c r="D153" s="6" t="s">
        <v>77</v>
      </c>
      <c r="E153" s="6" t="s">
        <v>78</v>
      </c>
      <c r="F153" s="6"/>
      <c r="G153" s="6" t="s">
        <v>98</v>
      </c>
      <c r="H153" s="6" t="s">
        <v>1330</v>
      </c>
      <c r="I153" s="6" t="s">
        <v>81</v>
      </c>
      <c r="J153" s="6" t="s">
        <v>621</v>
      </c>
      <c r="K153" s="6" t="s">
        <v>1441</v>
      </c>
      <c r="L153" s="6" t="s">
        <v>1442</v>
      </c>
      <c r="M153" s="6" t="s">
        <v>1443</v>
      </c>
      <c r="N153" s="6"/>
      <c r="O153" s="6"/>
      <c r="P153" s="6" t="s">
        <v>1444</v>
      </c>
      <c r="Q153" s="6"/>
      <c r="R153" s="6"/>
      <c r="S153" s="6"/>
      <c r="T153" s="6"/>
      <c r="U153" s="6"/>
      <c r="V153" s="6"/>
      <c r="W153" s="6"/>
      <c r="X153" s="6"/>
      <c r="Y153" s="6"/>
      <c r="Z153" s="6"/>
      <c r="AA153" s="6" t="s">
        <v>89</v>
      </c>
      <c r="AB153" s="6" t="s">
        <v>1451</v>
      </c>
      <c r="AC153" s="6" t="s">
        <v>1347</v>
      </c>
      <c r="AD153" s="6" t="s">
        <v>1348</v>
      </c>
      <c r="AE153" s="6" t="s">
        <v>1349</v>
      </c>
      <c r="AF153" s="6" t="s">
        <v>1449</v>
      </c>
      <c r="AG153" s="6"/>
      <c r="AH153" s="6"/>
      <c r="AI153" s="7"/>
      <c r="AJ153" s="7"/>
      <c r="AK153" s="7"/>
      <c r="AL153" s="7"/>
      <c r="AM153" s="7"/>
      <c r="AN153" s="7"/>
      <c r="AO153" s="7"/>
      <c r="AP153" s="7"/>
      <c r="AQ153" s="7"/>
      <c r="AR153" s="7"/>
      <c r="AS153" s="7"/>
      <c r="AT153" s="7"/>
      <c r="AU153" s="7"/>
      <c r="AV153" s="7"/>
      <c r="AW153" s="7"/>
      <c r="AX153" s="7"/>
      <c r="AY153" s="7"/>
      <c r="AZ153" s="7"/>
    </row>
    <row r="154" customFormat="false" ht="150" hidden="false" customHeight="true" outlineLevel="0" collapsed="false">
      <c r="A154" s="6" t="s">
        <v>1452</v>
      </c>
      <c r="B154" s="6" t="s">
        <v>1329</v>
      </c>
      <c r="C154" s="6" t="s">
        <v>76</v>
      </c>
      <c r="D154" s="6" t="s">
        <v>77</v>
      </c>
      <c r="E154" s="6" t="s">
        <v>78</v>
      </c>
      <c r="F154" s="6"/>
      <c r="G154" s="6" t="s">
        <v>165</v>
      </c>
      <c r="H154" s="6" t="s">
        <v>1330</v>
      </c>
      <c r="I154" s="6" t="s">
        <v>81</v>
      </c>
      <c r="J154" s="6" t="s">
        <v>621</v>
      </c>
      <c r="K154" s="6" t="s">
        <v>1441</v>
      </c>
      <c r="L154" s="6" t="s">
        <v>1442</v>
      </c>
      <c r="M154" s="6" t="s">
        <v>1443</v>
      </c>
      <c r="N154" s="6"/>
      <c r="O154" s="6"/>
      <c r="P154" s="6" t="s">
        <v>1444</v>
      </c>
      <c r="Q154" s="6"/>
      <c r="R154" s="6"/>
      <c r="S154" s="6"/>
      <c r="T154" s="6"/>
      <c r="U154" s="6"/>
      <c r="V154" s="6"/>
      <c r="W154" s="6"/>
      <c r="X154" s="6"/>
      <c r="Y154" s="6"/>
      <c r="Z154" s="6"/>
      <c r="AA154" s="6" t="s">
        <v>89</v>
      </c>
      <c r="AB154" s="6" t="s">
        <v>1453</v>
      </c>
      <c r="AC154" s="6" t="s">
        <v>1352</v>
      </c>
      <c r="AD154" s="6" t="s">
        <v>1353</v>
      </c>
      <c r="AE154" s="6" t="s">
        <v>1354</v>
      </c>
      <c r="AF154" s="6" t="s">
        <v>1454</v>
      </c>
      <c r="AG154" s="6"/>
      <c r="AH154" s="6"/>
      <c r="AI154" s="7"/>
      <c r="AJ154" s="7"/>
      <c r="AK154" s="7"/>
      <c r="AL154" s="7"/>
      <c r="AM154" s="7"/>
      <c r="AN154" s="7"/>
      <c r="AO154" s="7"/>
      <c r="AP154" s="7"/>
      <c r="AQ154" s="7"/>
      <c r="AR154" s="7"/>
      <c r="AS154" s="7"/>
      <c r="AT154" s="7"/>
      <c r="AU154" s="7"/>
      <c r="AV154" s="7"/>
      <c r="AW154" s="7"/>
      <c r="AX154" s="7"/>
      <c r="AY154" s="7"/>
      <c r="AZ154" s="7"/>
    </row>
    <row r="155" customFormat="false" ht="150" hidden="false" customHeight="true" outlineLevel="0" collapsed="false">
      <c r="A155" s="6" t="s">
        <v>1455</v>
      </c>
      <c r="B155" s="6" t="s">
        <v>1329</v>
      </c>
      <c r="C155" s="6" t="s">
        <v>76</v>
      </c>
      <c r="D155" s="6" t="s">
        <v>77</v>
      </c>
      <c r="E155" s="6" t="s">
        <v>78</v>
      </c>
      <c r="F155" s="6"/>
      <c r="G155" s="6" t="s">
        <v>165</v>
      </c>
      <c r="H155" s="6" t="s">
        <v>1330</v>
      </c>
      <c r="I155" s="6" t="s">
        <v>81</v>
      </c>
      <c r="J155" s="6" t="s">
        <v>621</v>
      </c>
      <c r="K155" s="6" t="s">
        <v>1441</v>
      </c>
      <c r="L155" s="6" t="s">
        <v>1442</v>
      </c>
      <c r="M155" s="6" t="s">
        <v>1443</v>
      </c>
      <c r="N155" s="6"/>
      <c r="O155" s="6"/>
      <c r="P155" s="6" t="s">
        <v>1444</v>
      </c>
      <c r="Q155" s="6"/>
      <c r="R155" s="6"/>
      <c r="S155" s="6"/>
      <c r="T155" s="6"/>
      <c r="U155" s="6"/>
      <c r="V155" s="6"/>
      <c r="W155" s="6"/>
      <c r="X155" s="6"/>
      <c r="Y155" s="6"/>
      <c r="Z155" s="6"/>
      <c r="AA155" s="6" t="s">
        <v>89</v>
      </c>
      <c r="AB155" s="6" t="s">
        <v>1456</v>
      </c>
      <c r="AC155" s="6" t="s">
        <v>1358</v>
      </c>
      <c r="AD155" s="6" t="s">
        <v>1359</v>
      </c>
      <c r="AE155" s="6" t="s">
        <v>1360</v>
      </c>
      <c r="AF155" s="6" t="s">
        <v>1454</v>
      </c>
      <c r="AG155" s="6"/>
      <c r="AH155" s="6"/>
      <c r="AI155" s="7"/>
      <c r="AJ155" s="7"/>
      <c r="AK155" s="7"/>
      <c r="AL155" s="7"/>
      <c r="AM155" s="7"/>
      <c r="AN155" s="7"/>
      <c r="AO155" s="7"/>
      <c r="AP155" s="7"/>
      <c r="AQ155" s="7"/>
      <c r="AR155" s="7"/>
      <c r="AS155" s="7"/>
      <c r="AT155" s="7"/>
      <c r="AU155" s="7"/>
      <c r="AV155" s="7"/>
      <c r="AW155" s="7"/>
      <c r="AX155" s="7"/>
      <c r="AY155" s="7"/>
      <c r="AZ155" s="7"/>
    </row>
    <row r="156" customFormat="false" ht="150" hidden="false" customHeight="true" outlineLevel="0" collapsed="false">
      <c r="A156" s="6" t="s">
        <v>1457</v>
      </c>
      <c r="B156" s="6" t="s">
        <v>1329</v>
      </c>
      <c r="C156" s="6" t="s">
        <v>76</v>
      </c>
      <c r="D156" s="6" t="s">
        <v>77</v>
      </c>
      <c r="E156" s="6" t="s">
        <v>78</v>
      </c>
      <c r="F156" s="6"/>
      <c r="G156" s="6" t="s">
        <v>1362</v>
      </c>
      <c r="H156" s="6" t="s">
        <v>1330</v>
      </c>
      <c r="I156" s="6" t="s">
        <v>81</v>
      </c>
      <c r="J156" s="6" t="s">
        <v>621</v>
      </c>
      <c r="K156" s="6" t="s">
        <v>1441</v>
      </c>
      <c r="L156" s="6" t="s">
        <v>1442</v>
      </c>
      <c r="M156" s="6" t="s">
        <v>1443</v>
      </c>
      <c r="N156" s="6"/>
      <c r="O156" s="6"/>
      <c r="P156" s="6" t="s">
        <v>1444</v>
      </c>
      <c r="Q156" s="6"/>
      <c r="R156" s="6"/>
      <c r="S156" s="6"/>
      <c r="T156" s="6"/>
      <c r="U156" s="6"/>
      <c r="V156" s="6"/>
      <c r="W156" s="6"/>
      <c r="X156" s="6"/>
      <c r="Y156" s="6"/>
      <c r="Z156" s="6"/>
      <c r="AA156" s="6" t="s">
        <v>89</v>
      </c>
      <c r="AB156" s="6" t="s">
        <v>1458</v>
      </c>
      <c r="AC156" s="6" t="s">
        <v>1364</v>
      </c>
      <c r="AD156" s="6" t="s">
        <v>1365</v>
      </c>
      <c r="AE156" s="6" t="s">
        <v>1366</v>
      </c>
      <c r="AF156" s="6" t="s">
        <v>1459</v>
      </c>
      <c r="AG156" s="6"/>
      <c r="AH156" s="6"/>
      <c r="AI156" s="7"/>
      <c r="AJ156" s="7"/>
      <c r="AK156" s="7"/>
      <c r="AL156" s="7"/>
      <c r="AM156" s="7"/>
      <c r="AN156" s="7"/>
      <c r="AO156" s="7"/>
      <c r="AP156" s="7"/>
      <c r="AQ156" s="7"/>
      <c r="AR156" s="7"/>
      <c r="AS156" s="7"/>
      <c r="AT156" s="7"/>
      <c r="AU156" s="7"/>
      <c r="AV156" s="7"/>
      <c r="AW156" s="7"/>
      <c r="AX156" s="7"/>
      <c r="AY156" s="7"/>
      <c r="AZ156" s="7"/>
    </row>
    <row r="157" customFormat="false" ht="150" hidden="false" customHeight="true" outlineLevel="0" collapsed="false">
      <c r="A157" s="6" t="s">
        <v>1460</v>
      </c>
      <c r="B157" s="6" t="s">
        <v>1329</v>
      </c>
      <c r="C157" s="6" t="s">
        <v>76</v>
      </c>
      <c r="D157" s="6" t="s">
        <v>77</v>
      </c>
      <c r="E157" s="6" t="s">
        <v>78</v>
      </c>
      <c r="F157" s="6"/>
      <c r="G157" s="6" t="s">
        <v>1362</v>
      </c>
      <c r="H157" s="6" t="s">
        <v>1330</v>
      </c>
      <c r="I157" s="6" t="s">
        <v>81</v>
      </c>
      <c r="J157" s="6" t="s">
        <v>621</v>
      </c>
      <c r="K157" s="6" t="s">
        <v>1441</v>
      </c>
      <c r="L157" s="6" t="s">
        <v>1442</v>
      </c>
      <c r="M157" s="6" t="s">
        <v>1443</v>
      </c>
      <c r="N157" s="6"/>
      <c r="O157" s="6"/>
      <c r="P157" s="6" t="s">
        <v>1444</v>
      </c>
      <c r="Q157" s="6"/>
      <c r="R157" s="6"/>
      <c r="S157" s="6"/>
      <c r="T157" s="6"/>
      <c r="U157" s="6"/>
      <c r="V157" s="6"/>
      <c r="W157" s="6"/>
      <c r="X157" s="6"/>
      <c r="Y157" s="6"/>
      <c r="Z157" s="6"/>
      <c r="AA157" s="6" t="s">
        <v>89</v>
      </c>
      <c r="AB157" s="6" t="s">
        <v>1461</v>
      </c>
      <c r="AC157" s="6" t="s">
        <v>1370</v>
      </c>
      <c r="AD157" s="6" t="s">
        <v>1371</v>
      </c>
      <c r="AE157" s="6" t="s">
        <v>1372</v>
      </c>
      <c r="AF157" s="6" t="s">
        <v>1459</v>
      </c>
      <c r="AG157" s="6"/>
      <c r="AH157" s="6"/>
      <c r="AI157" s="7"/>
      <c r="AJ157" s="7"/>
      <c r="AK157" s="7"/>
      <c r="AL157" s="7"/>
      <c r="AM157" s="7"/>
      <c r="AN157" s="7"/>
      <c r="AO157" s="7"/>
      <c r="AP157" s="7"/>
      <c r="AQ157" s="7"/>
      <c r="AR157" s="7"/>
      <c r="AS157" s="7"/>
      <c r="AT157" s="7"/>
      <c r="AU157" s="7"/>
      <c r="AV157" s="7"/>
      <c r="AW157" s="7"/>
      <c r="AX157" s="7"/>
      <c r="AY157" s="7"/>
      <c r="AZ157" s="7"/>
    </row>
    <row r="158" customFormat="false" ht="150" hidden="false" customHeight="true" outlineLevel="0" collapsed="false">
      <c r="A158" s="6" t="s">
        <v>1462</v>
      </c>
      <c r="B158" s="6" t="s">
        <v>1329</v>
      </c>
      <c r="C158" s="6" t="s">
        <v>76</v>
      </c>
      <c r="D158" s="6" t="s">
        <v>77</v>
      </c>
      <c r="E158" s="6" t="s">
        <v>78</v>
      </c>
      <c r="F158" s="6"/>
      <c r="G158" s="6" t="s">
        <v>79</v>
      </c>
      <c r="H158" s="6" t="s">
        <v>1330</v>
      </c>
      <c r="I158" s="6" t="s">
        <v>81</v>
      </c>
      <c r="J158" s="6" t="s">
        <v>595</v>
      </c>
      <c r="K158" s="6" t="s">
        <v>177</v>
      </c>
      <c r="L158" s="6" t="s">
        <v>178</v>
      </c>
      <c r="M158" s="6" t="s">
        <v>1463</v>
      </c>
      <c r="N158" s="6"/>
      <c r="O158" s="6"/>
      <c r="P158" s="6" t="s">
        <v>179</v>
      </c>
      <c r="Q158" s="6"/>
      <c r="R158" s="6" t="s">
        <v>180</v>
      </c>
      <c r="S158" s="6"/>
      <c r="T158" s="6"/>
      <c r="U158" s="6"/>
      <c r="V158" s="6"/>
      <c r="W158" s="6"/>
      <c r="X158" s="6"/>
      <c r="Y158" s="6"/>
      <c r="Z158" s="6"/>
      <c r="AA158" s="6" t="s">
        <v>89</v>
      </c>
      <c r="AB158" s="6" t="s">
        <v>1464</v>
      </c>
      <c r="AC158" s="6" t="s">
        <v>1335</v>
      </c>
      <c r="AD158" s="6" t="s">
        <v>1336</v>
      </c>
      <c r="AE158" s="6" t="s">
        <v>1337</v>
      </c>
      <c r="AF158" s="6" t="s">
        <v>1465</v>
      </c>
      <c r="AG158" s="6"/>
      <c r="AH158" s="6"/>
      <c r="AI158" s="7"/>
      <c r="AJ158" s="7"/>
      <c r="AK158" s="7"/>
      <c r="AL158" s="7"/>
      <c r="AM158" s="7"/>
      <c r="AN158" s="7"/>
      <c r="AO158" s="7"/>
      <c r="AP158" s="7"/>
      <c r="AQ158" s="7"/>
      <c r="AR158" s="7"/>
      <c r="AS158" s="7"/>
      <c r="AT158" s="7"/>
      <c r="AU158" s="7"/>
      <c r="AV158" s="7"/>
      <c r="AW158" s="7"/>
      <c r="AX158" s="7"/>
      <c r="AY158" s="7"/>
      <c r="AZ158" s="7"/>
    </row>
    <row r="159" customFormat="false" ht="150" hidden="false" customHeight="true" outlineLevel="0" collapsed="false">
      <c r="A159" s="6" t="s">
        <v>1466</v>
      </c>
      <c r="B159" s="6" t="s">
        <v>1329</v>
      </c>
      <c r="C159" s="6" t="s">
        <v>76</v>
      </c>
      <c r="D159" s="6" t="s">
        <v>77</v>
      </c>
      <c r="E159" s="6" t="s">
        <v>78</v>
      </c>
      <c r="F159" s="6"/>
      <c r="G159" s="6" t="s">
        <v>98</v>
      </c>
      <c r="H159" s="6" t="s">
        <v>1330</v>
      </c>
      <c r="I159" s="6" t="s">
        <v>81</v>
      </c>
      <c r="J159" s="6" t="s">
        <v>621</v>
      </c>
      <c r="K159" s="6" t="s">
        <v>177</v>
      </c>
      <c r="L159" s="6" t="s">
        <v>178</v>
      </c>
      <c r="M159" s="6" t="s">
        <v>1463</v>
      </c>
      <c r="N159" s="6"/>
      <c r="O159" s="6"/>
      <c r="P159" s="6" t="s">
        <v>179</v>
      </c>
      <c r="Q159" s="6"/>
      <c r="R159" s="6" t="s">
        <v>180</v>
      </c>
      <c r="S159" s="6"/>
      <c r="T159" s="6"/>
      <c r="U159" s="6"/>
      <c r="V159" s="6"/>
      <c r="W159" s="6"/>
      <c r="X159" s="6"/>
      <c r="Y159" s="6"/>
      <c r="Z159" s="6"/>
      <c r="AA159" s="6" t="s">
        <v>89</v>
      </c>
      <c r="AB159" s="6" t="s">
        <v>1467</v>
      </c>
      <c r="AC159" s="6" t="s">
        <v>1341</v>
      </c>
      <c r="AD159" s="6" t="s">
        <v>1342</v>
      </c>
      <c r="AE159" s="6" t="s">
        <v>1343</v>
      </c>
      <c r="AF159" s="6" t="s">
        <v>1468</v>
      </c>
      <c r="AG159" s="6"/>
      <c r="AH159" s="6"/>
      <c r="AI159" s="7"/>
      <c r="AJ159" s="7"/>
      <c r="AK159" s="7"/>
      <c r="AL159" s="7"/>
      <c r="AM159" s="7"/>
      <c r="AN159" s="7"/>
      <c r="AO159" s="7"/>
      <c r="AP159" s="7"/>
      <c r="AQ159" s="7"/>
      <c r="AR159" s="7"/>
      <c r="AS159" s="7"/>
      <c r="AT159" s="7"/>
      <c r="AU159" s="7"/>
      <c r="AV159" s="7"/>
      <c r="AW159" s="7"/>
      <c r="AX159" s="7"/>
      <c r="AY159" s="7"/>
      <c r="AZ159" s="7"/>
    </row>
    <row r="160" customFormat="false" ht="150" hidden="false" customHeight="true" outlineLevel="0" collapsed="false">
      <c r="A160" s="6" t="s">
        <v>1469</v>
      </c>
      <c r="B160" s="6" t="s">
        <v>1329</v>
      </c>
      <c r="C160" s="6" t="s">
        <v>76</v>
      </c>
      <c r="D160" s="6" t="s">
        <v>77</v>
      </c>
      <c r="E160" s="6" t="s">
        <v>78</v>
      </c>
      <c r="F160" s="6"/>
      <c r="G160" s="6" t="s">
        <v>98</v>
      </c>
      <c r="H160" s="6" t="s">
        <v>1330</v>
      </c>
      <c r="I160" s="6" t="s">
        <v>81</v>
      </c>
      <c r="J160" s="6" t="s">
        <v>621</v>
      </c>
      <c r="K160" s="6" t="s">
        <v>177</v>
      </c>
      <c r="L160" s="6" t="s">
        <v>178</v>
      </c>
      <c r="M160" s="6" t="s">
        <v>1463</v>
      </c>
      <c r="N160" s="6"/>
      <c r="O160" s="6"/>
      <c r="P160" s="6" t="s">
        <v>179</v>
      </c>
      <c r="Q160" s="6"/>
      <c r="R160" s="6" t="s">
        <v>180</v>
      </c>
      <c r="S160" s="6"/>
      <c r="T160" s="6"/>
      <c r="U160" s="6"/>
      <c r="V160" s="6"/>
      <c r="W160" s="6"/>
      <c r="X160" s="6"/>
      <c r="Y160" s="6"/>
      <c r="Z160" s="6"/>
      <c r="AA160" s="6" t="s">
        <v>89</v>
      </c>
      <c r="AB160" s="6" t="s">
        <v>1470</v>
      </c>
      <c r="AC160" s="6" t="s">
        <v>1347</v>
      </c>
      <c r="AD160" s="6" t="s">
        <v>1348</v>
      </c>
      <c r="AE160" s="6" t="s">
        <v>1349</v>
      </c>
      <c r="AF160" s="6" t="s">
        <v>1468</v>
      </c>
      <c r="AG160" s="6"/>
      <c r="AH160" s="6"/>
      <c r="AI160" s="7"/>
      <c r="AJ160" s="7"/>
      <c r="AK160" s="7"/>
      <c r="AL160" s="7"/>
      <c r="AM160" s="7"/>
      <c r="AN160" s="7"/>
      <c r="AO160" s="7"/>
      <c r="AP160" s="7"/>
      <c r="AQ160" s="7"/>
      <c r="AR160" s="7"/>
      <c r="AS160" s="7"/>
      <c r="AT160" s="7"/>
      <c r="AU160" s="7"/>
      <c r="AV160" s="7"/>
      <c r="AW160" s="7"/>
      <c r="AX160" s="7"/>
      <c r="AY160" s="7"/>
      <c r="AZ160" s="7"/>
    </row>
    <row r="161" customFormat="false" ht="150" hidden="false" customHeight="true" outlineLevel="0" collapsed="false">
      <c r="A161" s="6" t="s">
        <v>1471</v>
      </c>
      <c r="B161" s="6" t="s">
        <v>1329</v>
      </c>
      <c r="C161" s="6" t="s">
        <v>76</v>
      </c>
      <c r="D161" s="6" t="s">
        <v>77</v>
      </c>
      <c r="E161" s="6" t="s">
        <v>78</v>
      </c>
      <c r="F161" s="6"/>
      <c r="G161" s="6" t="s">
        <v>165</v>
      </c>
      <c r="H161" s="6" t="s">
        <v>1330</v>
      </c>
      <c r="I161" s="6" t="s">
        <v>81</v>
      </c>
      <c r="J161" s="6" t="s">
        <v>621</v>
      </c>
      <c r="K161" s="6" t="s">
        <v>177</v>
      </c>
      <c r="L161" s="6" t="s">
        <v>178</v>
      </c>
      <c r="M161" s="6" t="s">
        <v>1463</v>
      </c>
      <c r="N161" s="6"/>
      <c r="O161" s="6"/>
      <c r="P161" s="6" t="s">
        <v>179</v>
      </c>
      <c r="Q161" s="6"/>
      <c r="R161" s="6" t="s">
        <v>180</v>
      </c>
      <c r="S161" s="6"/>
      <c r="T161" s="6"/>
      <c r="U161" s="6"/>
      <c r="V161" s="6"/>
      <c r="W161" s="6"/>
      <c r="X161" s="6"/>
      <c r="Y161" s="6"/>
      <c r="Z161" s="6"/>
      <c r="AA161" s="6" t="s">
        <v>89</v>
      </c>
      <c r="AB161" s="6" t="s">
        <v>1472</v>
      </c>
      <c r="AC161" s="6" t="s">
        <v>1352</v>
      </c>
      <c r="AD161" s="6" t="s">
        <v>1353</v>
      </c>
      <c r="AE161" s="6" t="s">
        <v>1354</v>
      </c>
      <c r="AF161" s="6" t="s">
        <v>1473</v>
      </c>
      <c r="AG161" s="6"/>
      <c r="AH161" s="6"/>
      <c r="AI161" s="7"/>
      <c r="AJ161" s="7"/>
      <c r="AK161" s="7"/>
      <c r="AL161" s="7"/>
      <c r="AM161" s="7"/>
      <c r="AN161" s="7"/>
      <c r="AO161" s="7"/>
      <c r="AP161" s="7"/>
      <c r="AQ161" s="7"/>
      <c r="AR161" s="7"/>
      <c r="AS161" s="7"/>
      <c r="AT161" s="7"/>
      <c r="AU161" s="7"/>
      <c r="AV161" s="7"/>
      <c r="AW161" s="7"/>
      <c r="AX161" s="7"/>
      <c r="AY161" s="7"/>
      <c r="AZ161" s="7"/>
    </row>
    <row r="162" customFormat="false" ht="150" hidden="false" customHeight="true" outlineLevel="0" collapsed="false">
      <c r="A162" s="6" t="s">
        <v>1474</v>
      </c>
      <c r="B162" s="6" t="s">
        <v>1329</v>
      </c>
      <c r="C162" s="6" t="s">
        <v>76</v>
      </c>
      <c r="D162" s="6" t="s">
        <v>77</v>
      </c>
      <c r="E162" s="6" t="s">
        <v>78</v>
      </c>
      <c r="F162" s="6"/>
      <c r="G162" s="6" t="s">
        <v>165</v>
      </c>
      <c r="H162" s="6" t="s">
        <v>1330</v>
      </c>
      <c r="I162" s="6" t="s">
        <v>81</v>
      </c>
      <c r="J162" s="6" t="s">
        <v>621</v>
      </c>
      <c r="K162" s="6" t="s">
        <v>177</v>
      </c>
      <c r="L162" s="6" t="s">
        <v>178</v>
      </c>
      <c r="M162" s="6" t="s">
        <v>1463</v>
      </c>
      <c r="N162" s="6"/>
      <c r="O162" s="6"/>
      <c r="P162" s="6" t="s">
        <v>179</v>
      </c>
      <c r="Q162" s="6"/>
      <c r="R162" s="6" t="s">
        <v>180</v>
      </c>
      <c r="S162" s="6"/>
      <c r="T162" s="6"/>
      <c r="U162" s="6"/>
      <c r="V162" s="6"/>
      <c r="W162" s="6"/>
      <c r="X162" s="6"/>
      <c r="Y162" s="6"/>
      <c r="Z162" s="6"/>
      <c r="AA162" s="6" t="s">
        <v>89</v>
      </c>
      <c r="AB162" s="6" t="s">
        <v>1475</v>
      </c>
      <c r="AC162" s="6" t="s">
        <v>1358</v>
      </c>
      <c r="AD162" s="6" t="s">
        <v>1359</v>
      </c>
      <c r="AE162" s="6" t="s">
        <v>1360</v>
      </c>
      <c r="AF162" s="6" t="s">
        <v>1473</v>
      </c>
      <c r="AG162" s="6"/>
      <c r="AH162" s="6"/>
      <c r="AI162" s="7"/>
      <c r="AJ162" s="7"/>
      <c r="AK162" s="7"/>
      <c r="AL162" s="7"/>
      <c r="AM162" s="7"/>
      <c r="AN162" s="7"/>
      <c r="AO162" s="7"/>
      <c r="AP162" s="7"/>
      <c r="AQ162" s="7"/>
      <c r="AR162" s="7"/>
      <c r="AS162" s="7"/>
      <c r="AT162" s="7"/>
      <c r="AU162" s="7"/>
      <c r="AV162" s="7"/>
      <c r="AW162" s="7"/>
      <c r="AX162" s="7"/>
      <c r="AY162" s="7"/>
      <c r="AZ162" s="7"/>
    </row>
    <row r="163" customFormat="false" ht="150" hidden="false" customHeight="true" outlineLevel="0" collapsed="false">
      <c r="A163" s="6" t="s">
        <v>1476</v>
      </c>
      <c r="B163" s="6" t="s">
        <v>1329</v>
      </c>
      <c r="C163" s="6" t="s">
        <v>76</v>
      </c>
      <c r="D163" s="6" t="s">
        <v>77</v>
      </c>
      <c r="E163" s="6" t="s">
        <v>78</v>
      </c>
      <c r="F163" s="6"/>
      <c r="G163" s="6" t="s">
        <v>1362</v>
      </c>
      <c r="H163" s="6" t="s">
        <v>1330</v>
      </c>
      <c r="I163" s="6" t="s">
        <v>81</v>
      </c>
      <c r="J163" s="6" t="s">
        <v>621</v>
      </c>
      <c r="K163" s="6" t="s">
        <v>177</v>
      </c>
      <c r="L163" s="6" t="s">
        <v>178</v>
      </c>
      <c r="M163" s="6" t="s">
        <v>1463</v>
      </c>
      <c r="N163" s="6"/>
      <c r="O163" s="6"/>
      <c r="P163" s="6" t="s">
        <v>179</v>
      </c>
      <c r="Q163" s="6"/>
      <c r="R163" s="6" t="s">
        <v>180</v>
      </c>
      <c r="S163" s="6"/>
      <c r="T163" s="6"/>
      <c r="U163" s="6"/>
      <c r="V163" s="6"/>
      <c r="W163" s="6"/>
      <c r="X163" s="6"/>
      <c r="Y163" s="6"/>
      <c r="Z163" s="6"/>
      <c r="AA163" s="6" t="s">
        <v>89</v>
      </c>
      <c r="AB163" s="6" t="s">
        <v>1477</v>
      </c>
      <c r="AC163" s="6" t="s">
        <v>1364</v>
      </c>
      <c r="AD163" s="6" t="s">
        <v>1365</v>
      </c>
      <c r="AE163" s="6" t="s">
        <v>1366</v>
      </c>
      <c r="AF163" s="6" t="s">
        <v>1478</v>
      </c>
      <c r="AG163" s="6"/>
      <c r="AH163" s="6"/>
      <c r="AI163" s="7"/>
      <c r="AJ163" s="7"/>
      <c r="AK163" s="7"/>
      <c r="AL163" s="7"/>
      <c r="AM163" s="7"/>
      <c r="AN163" s="7"/>
      <c r="AO163" s="7"/>
      <c r="AP163" s="7"/>
      <c r="AQ163" s="7"/>
      <c r="AR163" s="7"/>
      <c r="AS163" s="7"/>
      <c r="AT163" s="7"/>
      <c r="AU163" s="7"/>
      <c r="AV163" s="7"/>
      <c r="AW163" s="7"/>
      <c r="AX163" s="7"/>
      <c r="AY163" s="7"/>
      <c r="AZ163" s="7"/>
    </row>
    <row r="164" customFormat="false" ht="150" hidden="false" customHeight="true" outlineLevel="0" collapsed="false">
      <c r="A164" s="6" t="s">
        <v>1479</v>
      </c>
      <c r="B164" s="6" t="s">
        <v>1329</v>
      </c>
      <c r="C164" s="6" t="s">
        <v>76</v>
      </c>
      <c r="D164" s="6" t="s">
        <v>77</v>
      </c>
      <c r="E164" s="6" t="s">
        <v>78</v>
      </c>
      <c r="F164" s="6"/>
      <c r="G164" s="6" t="s">
        <v>1362</v>
      </c>
      <c r="H164" s="6" t="s">
        <v>1330</v>
      </c>
      <c r="I164" s="6" t="s">
        <v>81</v>
      </c>
      <c r="J164" s="6" t="s">
        <v>621</v>
      </c>
      <c r="K164" s="6" t="s">
        <v>177</v>
      </c>
      <c r="L164" s="6" t="s">
        <v>178</v>
      </c>
      <c r="M164" s="6" t="s">
        <v>1463</v>
      </c>
      <c r="N164" s="6"/>
      <c r="O164" s="6"/>
      <c r="P164" s="6" t="s">
        <v>179</v>
      </c>
      <c r="Q164" s="6"/>
      <c r="R164" s="6" t="s">
        <v>180</v>
      </c>
      <c r="S164" s="6"/>
      <c r="T164" s="6"/>
      <c r="U164" s="6"/>
      <c r="V164" s="6"/>
      <c r="W164" s="6"/>
      <c r="X164" s="6"/>
      <c r="Y164" s="6"/>
      <c r="Z164" s="6"/>
      <c r="AA164" s="6" t="s">
        <v>89</v>
      </c>
      <c r="AB164" s="6" t="s">
        <v>1480</v>
      </c>
      <c r="AC164" s="6" t="s">
        <v>1370</v>
      </c>
      <c r="AD164" s="6" t="s">
        <v>1371</v>
      </c>
      <c r="AE164" s="6" t="s">
        <v>1372</v>
      </c>
      <c r="AF164" s="6" t="s">
        <v>1478</v>
      </c>
      <c r="AG164" s="6"/>
      <c r="AH164" s="6"/>
      <c r="AI164" s="7"/>
      <c r="AJ164" s="7"/>
      <c r="AK164" s="7"/>
      <c r="AL164" s="7"/>
      <c r="AM164" s="7"/>
      <c r="AN164" s="7"/>
      <c r="AO164" s="7"/>
      <c r="AP164" s="7"/>
      <c r="AQ164" s="7"/>
      <c r="AR164" s="7"/>
      <c r="AS164" s="7"/>
      <c r="AT164" s="7"/>
      <c r="AU164" s="7"/>
      <c r="AV164" s="7"/>
      <c r="AW164" s="7"/>
      <c r="AX164" s="7"/>
      <c r="AY164" s="7"/>
      <c r="AZ164" s="7"/>
    </row>
    <row r="165" customFormat="false" ht="150" hidden="false" customHeight="true" outlineLevel="0" collapsed="false">
      <c r="A165" s="6" t="s">
        <v>1481</v>
      </c>
      <c r="B165" s="6" t="s">
        <v>1329</v>
      </c>
      <c r="C165" s="6" t="s">
        <v>76</v>
      </c>
      <c r="D165" s="6" t="s">
        <v>77</v>
      </c>
      <c r="E165" s="6" t="s">
        <v>78</v>
      </c>
      <c r="F165" s="6"/>
      <c r="G165" s="6" t="s">
        <v>79</v>
      </c>
      <c r="H165" s="6" t="s">
        <v>1330</v>
      </c>
      <c r="I165" s="6" t="s">
        <v>81</v>
      </c>
      <c r="J165" s="6" t="s">
        <v>595</v>
      </c>
      <c r="K165" s="6" t="s">
        <v>1482</v>
      </c>
      <c r="L165" s="6" t="s">
        <v>1483</v>
      </c>
      <c r="M165" s="6" t="s">
        <v>1484</v>
      </c>
      <c r="N165" s="6"/>
      <c r="O165" s="6"/>
      <c r="P165" s="6" t="s">
        <v>1485</v>
      </c>
      <c r="Q165" s="6"/>
      <c r="R165" s="6" t="s">
        <v>259</v>
      </c>
      <c r="S165" s="6"/>
      <c r="T165" s="6"/>
      <c r="U165" s="6"/>
      <c r="V165" s="6"/>
      <c r="W165" s="6"/>
      <c r="X165" s="6"/>
      <c r="Y165" s="6"/>
      <c r="Z165" s="6"/>
      <c r="AA165" s="6" t="s">
        <v>89</v>
      </c>
      <c r="AB165" s="6" t="s">
        <v>1486</v>
      </c>
      <c r="AC165" s="6" t="s">
        <v>1335</v>
      </c>
      <c r="AD165" s="6" t="s">
        <v>1336</v>
      </c>
      <c r="AE165" s="6" t="s">
        <v>1337</v>
      </c>
      <c r="AF165" s="6" t="s">
        <v>1487</v>
      </c>
      <c r="AG165" s="6"/>
      <c r="AH165" s="6"/>
      <c r="AI165" s="7"/>
      <c r="AJ165" s="7"/>
      <c r="AK165" s="7"/>
      <c r="AL165" s="7"/>
      <c r="AM165" s="7"/>
      <c r="AN165" s="7"/>
      <c r="AO165" s="7"/>
      <c r="AP165" s="7"/>
      <c r="AQ165" s="7"/>
      <c r="AR165" s="7"/>
      <c r="AS165" s="7"/>
      <c r="AT165" s="7"/>
      <c r="AU165" s="7"/>
      <c r="AV165" s="7"/>
      <c r="AW165" s="7"/>
      <c r="AX165" s="7"/>
      <c r="AY165" s="7"/>
      <c r="AZ165" s="7"/>
    </row>
    <row r="166" customFormat="false" ht="150" hidden="false" customHeight="true" outlineLevel="0" collapsed="false">
      <c r="A166" s="6" t="s">
        <v>1488</v>
      </c>
      <c r="B166" s="6" t="s">
        <v>1329</v>
      </c>
      <c r="C166" s="6" t="s">
        <v>76</v>
      </c>
      <c r="D166" s="6" t="s">
        <v>77</v>
      </c>
      <c r="E166" s="6" t="s">
        <v>78</v>
      </c>
      <c r="F166" s="6"/>
      <c r="G166" s="6" t="s">
        <v>98</v>
      </c>
      <c r="H166" s="6" t="s">
        <v>1330</v>
      </c>
      <c r="I166" s="6" t="s">
        <v>81</v>
      </c>
      <c r="J166" s="6" t="s">
        <v>621</v>
      </c>
      <c r="K166" s="6" t="s">
        <v>1482</v>
      </c>
      <c r="L166" s="6" t="s">
        <v>1483</v>
      </c>
      <c r="M166" s="6" t="s">
        <v>1484</v>
      </c>
      <c r="N166" s="6"/>
      <c r="O166" s="6"/>
      <c r="P166" s="6" t="s">
        <v>1485</v>
      </c>
      <c r="Q166" s="6"/>
      <c r="R166" s="6" t="s">
        <v>259</v>
      </c>
      <c r="S166" s="6"/>
      <c r="T166" s="6"/>
      <c r="U166" s="6"/>
      <c r="V166" s="6"/>
      <c r="W166" s="6"/>
      <c r="X166" s="6"/>
      <c r="Y166" s="6"/>
      <c r="Z166" s="6"/>
      <c r="AA166" s="6" t="s">
        <v>89</v>
      </c>
      <c r="AB166" s="6" t="s">
        <v>1489</v>
      </c>
      <c r="AC166" s="6" t="s">
        <v>1341</v>
      </c>
      <c r="AD166" s="6" t="s">
        <v>1342</v>
      </c>
      <c r="AE166" s="6" t="s">
        <v>1343</v>
      </c>
      <c r="AF166" s="6" t="s">
        <v>1490</v>
      </c>
      <c r="AG166" s="6"/>
      <c r="AH166" s="6"/>
      <c r="AI166" s="7"/>
      <c r="AJ166" s="7"/>
      <c r="AK166" s="7"/>
      <c r="AL166" s="7"/>
      <c r="AM166" s="7"/>
      <c r="AN166" s="7"/>
      <c r="AO166" s="7"/>
      <c r="AP166" s="7"/>
      <c r="AQ166" s="7"/>
      <c r="AR166" s="7"/>
      <c r="AS166" s="7"/>
      <c r="AT166" s="7"/>
      <c r="AU166" s="7"/>
      <c r="AV166" s="7"/>
      <c r="AW166" s="7"/>
      <c r="AX166" s="7"/>
      <c r="AY166" s="7"/>
      <c r="AZ166" s="7"/>
    </row>
    <row r="167" customFormat="false" ht="150" hidden="false" customHeight="true" outlineLevel="0" collapsed="false">
      <c r="A167" s="6" t="s">
        <v>1491</v>
      </c>
      <c r="B167" s="6" t="s">
        <v>1329</v>
      </c>
      <c r="C167" s="6" t="s">
        <v>76</v>
      </c>
      <c r="D167" s="6" t="s">
        <v>77</v>
      </c>
      <c r="E167" s="6" t="s">
        <v>78</v>
      </c>
      <c r="F167" s="6"/>
      <c r="G167" s="6" t="s">
        <v>98</v>
      </c>
      <c r="H167" s="6" t="s">
        <v>1330</v>
      </c>
      <c r="I167" s="6" t="s">
        <v>81</v>
      </c>
      <c r="J167" s="6" t="s">
        <v>621</v>
      </c>
      <c r="K167" s="6" t="s">
        <v>1482</v>
      </c>
      <c r="L167" s="6" t="s">
        <v>1483</v>
      </c>
      <c r="M167" s="6" t="s">
        <v>1484</v>
      </c>
      <c r="N167" s="6"/>
      <c r="O167" s="6"/>
      <c r="P167" s="6" t="s">
        <v>1485</v>
      </c>
      <c r="Q167" s="6"/>
      <c r="R167" s="6" t="s">
        <v>259</v>
      </c>
      <c r="S167" s="6"/>
      <c r="T167" s="6"/>
      <c r="U167" s="6"/>
      <c r="V167" s="6"/>
      <c r="W167" s="6"/>
      <c r="X167" s="6"/>
      <c r="Y167" s="6"/>
      <c r="Z167" s="6"/>
      <c r="AA167" s="6" t="s">
        <v>89</v>
      </c>
      <c r="AB167" s="6" t="s">
        <v>1492</v>
      </c>
      <c r="AC167" s="6" t="s">
        <v>1347</v>
      </c>
      <c r="AD167" s="6" t="s">
        <v>1348</v>
      </c>
      <c r="AE167" s="6" t="s">
        <v>1349</v>
      </c>
      <c r="AF167" s="6" t="s">
        <v>1490</v>
      </c>
      <c r="AG167" s="6"/>
      <c r="AH167" s="6"/>
      <c r="AI167" s="7"/>
      <c r="AJ167" s="7"/>
      <c r="AK167" s="7"/>
      <c r="AL167" s="7"/>
      <c r="AM167" s="7"/>
      <c r="AN167" s="7"/>
      <c r="AO167" s="7"/>
      <c r="AP167" s="7"/>
      <c r="AQ167" s="7"/>
      <c r="AR167" s="7"/>
      <c r="AS167" s="7"/>
      <c r="AT167" s="7"/>
      <c r="AU167" s="7"/>
      <c r="AV167" s="7"/>
      <c r="AW167" s="7"/>
      <c r="AX167" s="7"/>
      <c r="AY167" s="7"/>
      <c r="AZ167" s="7"/>
    </row>
    <row r="168" customFormat="false" ht="150" hidden="false" customHeight="true" outlineLevel="0" collapsed="false">
      <c r="A168" s="6" t="s">
        <v>1493</v>
      </c>
      <c r="B168" s="6" t="s">
        <v>1329</v>
      </c>
      <c r="C168" s="6" t="s">
        <v>76</v>
      </c>
      <c r="D168" s="6" t="s">
        <v>77</v>
      </c>
      <c r="E168" s="6" t="s">
        <v>78</v>
      </c>
      <c r="F168" s="6"/>
      <c r="G168" s="6" t="s">
        <v>165</v>
      </c>
      <c r="H168" s="6" t="s">
        <v>1330</v>
      </c>
      <c r="I168" s="6" t="s">
        <v>81</v>
      </c>
      <c r="J168" s="6" t="s">
        <v>621</v>
      </c>
      <c r="K168" s="6" t="s">
        <v>1482</v>
      </c>
      <c r="L168" s="6" t="s">
        <v>1483</v>
      </c>
      <c r="M168" s="6" t="s">
        <v>1484</v>
      </c>
      <c r="N168" s="6"/>
      <c r="O168" s="6"/>
      <c r="P168" s="6" t="s">
        <v>1485</v>
      </c>
      <c r="Q168" s="6"/>
      <c r="R168" s="6" t="s">
        <v>259</v>
      </c>
      <c r="S168" s="6"/>
      <c r="T168" s="6"/>
      <c r="U168" s="6"/>
      <c r="V168" s="6"/>
      <c r="W168" s="6"/>
      <c r="X168" s="6"/>
      <c r="Y168" s="6"/>
      <c r="Z168" s="6"/>
      <c r="AA168" s="6" t="s">
        <v>89</v>
      </c>
      <c r="AB168" s="6" t="s">
        <v>1494</v>
      </c>
      <c r="AC168" s="6" t="s">
        <v>1352</v>
      </c>
      <c r="AD168" s="6" t="s">
        <v>1353</v>
      </c>
      <c r="AE168" s="6" t="s">
        <v>1354</v>
      </c>
      <c r="AF168" s="6" t="s">
        <v>1495</v>
      </c>
      <c r="AG168" s="6"/>
      <c r="AH168" s="6"/>
      <c r="AI168" s="7"/>
      <c r="AJ168" s="7"/>
      <c r="AK168" s="7"/>
      <c r="AL168" s="7"/>
      <c r="AM168" s="7"/>
      <c r="AN168" s="7"/>
      <c r="AO168" s="7"/>
      <c r="AP168" s="7"/>
      <c r="AQ168" s="7"/>
      <c r="AR168" s="7"/>
      <c r="AS168" s="7"/>
      <c r="AT168" s="7"/>
      <c r="AU168" s="7"/>
      <c r="AV168" s="7"/>
      <c r="AW168" s="7"/>
      <c r="AX168" s="7"/>
      <c r="AY168" s="7"/>
      <c r="AZ168" s="7"/>
    </row>
    <row r="169" customFormat="false" ht="150" hidden="false" customHeight="true" outlineLevel="0" collapsed="false">
      <c r="A169" s="6" t="s">
        <v>1496</v>
      </c>
      <c r="B169" s="6" t="s">
        <v>1329</v>
      </c>
      <c r="C169" s="6" t="s">
        <v>76</v>
      </c>
      <c r="D169" s="6" t="s">
        <v>77</v>
      </c>
      <c r="E169" s="6" t="s">
        <v>78</v>
      </c>
      <c r="F169" s="6"/>
      <c r="G169" s="6" t="s">
        <v>165</v>
      </c>
      <c r="H169" s="6" t="s">
        <v>1330</v>
      </c>
      <c r="I169" s="6" t="s">
        <v>81</v>
      </c>
      <c r="J169" s="6" t="s">
        <v>621</v>
      </c>
      <c r="K169" s="6" t="s">
        <v>1482</v>
      </c>
      <c r="L169" s="6" t="s">
        <v>1483</v>
      </c>
      <c r="M169" s="6" t="s">
        <v>1484</v>
      </c>
      <c r="N169" s="6"/>
      <c r="O169" s="6"/>
      <c r="P169" s="6" t="s">
        <v>1485</v>
      </c>
      <c r="Q169" s="6"/>
      <c r="R169" s="6" t="s">
        <v>259</v>
      </c>
      <c r="S169" s="6"/>
      <c r="T169" s="6"/>
      <c r="U169" s="6"/>
      <c r="V169" s="6"/>
      <c r="W169" s="6"/>
      <c r="X169" s="6"/>
      <c r="Y169" s="6"/>
      <c r="Z169" s="6"/>
      <c r="AA169" s="6" t="s">
        <v>89</v>
      </c>
      <c r="AB169" s="6" t="s">
        <v>1497</v>
      </c>
      <c r="AC169" s="6" t="s">
        <v>1358</v>
      </c>
      <c r="AD169" s="6" t="s">
        <v>1359</v>
      </c>
      <c r="AE169" s="6" t="s">
        <v>1360</v>
      </c>
      <c r="AF169" s="6" t="s">
        <v>1495</v>
      </c>
      <c r="AG169" s="6"/>
      <c r="AH169" s="6"/>
      <c r="AI169" s="7"/>
      <c r="AJ169" s="7"/>
      <c r="AK169" s="7"/>
      <c r="AL169" s="7"/>
      <c r="AM169" s="7"/>
      <c r="AN169" s="7"/>
      <c r="AO169" s="7"/>
      <c r="AP169" s="7"/>
      <c r="AQ169" s="7"/>
      <c r="AR169" s="7"/>
      <c r="AS169" s="7"/>
      <c r="AT169" s="7"/>
      <c r="AU169" s="7"/>
      <c r="AV169" s="7"/>
      <c r="AW169" s="7"/>
      <c r="AX169" s="7"/>
      <c r="AY169" s="7"/>
      <c r="AZ169" s="7"/>
    </row>
    <row r="170" customFormat="false" ht="150" hidden="false" customHeight="true" outlineLevel="0" collapsed="false">
      <c r="A170" s="6" t="s">
        <v>1498</v>
      </c>
      <c r="B170" s="6" t="s">
        <v>1329</v>
      </c>
      <c r="C170" s="6" t="s">
        <v>76</v>
      </c>
      <c r="D170" s="6" t="s">
        <v>77</v>
      </c>
      <c r="E170" s="6" t="s">
        <v>78</v>
      </c>
      <c r="F170" s="6"/>
      <c r="G170" s="6" t="s">
        <v>1362</v>
      </c>
      <c r="H170" s="6" t="s">
        <v>1330</v>
      </c>
      <c r="I170" s="6" t="s">
        <v>81</v>
      </c>
      <c r="J170" s="6" t="s">
        <v>621</v>
      </c>
      <c r="K170" s="6" t="s">
        <v>1482</v>
      </c>
      <c r="L170" s="6" t="s">
        <v>1483</v>
      </c>
      <c r="M170" s="6" t="s">
        <v>1484</v>
      </c>
      <c r="N170" s="6"/>
      <c r="O170" s="6"/>
      <c r="P170" s="6" t="s">
        <v>1485</v>
      </c>
      <c r="Q170" s="6"/>
      <c r="R170" s="6" t="s">
        <v>259</v>
      </c>
      <c r="S170" s="6"/>
      <c r="T170" s="6"/>
      <c r="U170" s="6"/>
      <c r="V170" s="6"/>
      <c r="W170" s="6"/>
      <c r="X170" s="6"/>
      <c r="Y170" s="6"/>
      <c r="Z170" s="6"/>
      <c r="AA170" s="6" t="s">
        <v>89</v>
      </c>
      <c r="AB170" s="6" t="s">
        <v>1499</v>
      </c>
      <c r="AC170" s="6" t="s">
        <v>1364</v>
      </c>
      <c r="AD170" s="6" t="s">
        <v>1365</v>
      </c>
      <c r="AE170" s="6" t="s">
        <v>1366</v>
      </c>
      <c r="AF170" s="6" t="s">
        <v>1500</v>
      </c>
      <c r="AG170" s="6"/>
      <c r="AH170" s="6"/>
      <c r="AI170" s="7"/>
      <c r="AJ170" s="7"/>
      <c r="AK170" s="7"/>
      <c r="AL170" s="7"/>
      <c r="AM170" s="7"/>
      <c r="AN170" s="7"/>
      <c r="AO170" s="7"/>
      <c r="AP170" s="7"/>
      <c r="AQ170" s="7"/>
      <c r="AR170" s="7"/>
      <c r="AS170" s="7"/>
      <c r="AT170" s="7"/>
      <c r="AU170" s="7"/>
      <c r="AV170" s="7"/>
      <c r="AW170" s="7"/>
      <c r="AX170" s="7"/>
      <c r="AY170" s="7"/>
      <c r="AZ170" s="7"/>
    </row>
    <row r="171" customFormat="false" ht="150" hidden="false" customHeight="true" outlineLevel="0" collapsed="false">
      <c r="A171" s="6" t="s">
        <v>1501</v>
      </c>
      <c r="B171" s="6" t="s">
        <v>1329</v>
      </c>
      <c r="C171" s="6" t="s">
        <v>76</v>
      </c>
      <c r="D171" s="6" t="s">
        <v>77</v>
      </c>
      <c r="E171" s="6" t="s">
        <v>78</v>
      </c>
      <c r="F171" s="6"/>
      <c r="G171" s="6" t="s">
        <v>1362</v>
      </c>
      <c r="H171" s="6" t="s">
        <v>1330</v>
      </c>
      <c r="I171" s="6" t="s">
        <v>81</v>
      </c>
      <c r="J171" s="6" t="s">
        <v>621</v>
      </c>
      <c r="K171" s="6" t="s">
        <v>1482</v>
      </c>
      <c r="L171" s="6" t="s">
        <v>1483</v>
      </c>
      <c r="M171" s="6" t="s">
        <v>1484</v>
      </c>
      <c r="N171" s="6"/>
      <c r="O171" s="6"/>
      <c r="P171" s="6" t="s">
        <v>1485</v>
      </c>
      <c r="Q171" s="6"/>
      <c r="R171" s="6" t="s">
        <v>259</v>
      </c>
      <c r="S171" s="6"/>
      <c r="T171" s="6"/>
      <c r="U171" s="6"/>
      <c r="V171" s="6"/>
      <c r="W171" s="6"/>
      <c r="X171" s="6"/>
      <c r="Y171" s="6"/>
      <c r="Z171" s="6"/>
      <c r="AA171" s="6" t="s">
        <v>89</v>
      </c>
      <c r="AB171" s="6" t="s">
        <v>1502</v>
      </c>
      <c r="AC171" s="6" t="s">
        <v>1370</v>
      </c>
      <c r="AD171" s="6" t="s">
        <v>1371</v>
      </c>
      <c r="AE171" s="6" t="s">
        <v>1372</v>
      </c>
      <c r="AF171" s="6" t="s">
        <v>1500</v>
      </c>
      <c r="AG171" s="6"/>
      <c r="AH171" s="6"/>
      <c r="AI171" s="7"/>
      <c r="AJ171" s="7"/>
      <c r="AK171" s="7"/>
      <c r="AL171" s="7"/>
      <c r="AM171" s="7"/>
      <c r="AN171" s="7"/>
      <c r="AO171" s="7"/>
      <c r="AP171" s="7"/>
      <c r="AQ171" s="7"/>
      <c r="AR171" s="7"/>
      <c r="AS171" s="7"/>
      <c r="AT171" s="7"/>
      <c r="AU171" s="7"/>
      <c r="AV171" s="7"/>
      <c r="AW171" s="7"/>
      <c r="AX171" s="7"/>
      <c r="AY171" s="7"/>
      <c r="AZ171" s="7"/>
    </row>
    <row r="172" customFormat="false" ht="150" hidden="false" customHeight="true" outlineLevel="0" collapsed="false">
      <c r="A172" s="6" t="s">
        <v>1503</v>
      </c>
      <c r="B172" s="6" t="s">
        <v>1329</v>
      </c>
      <c r="C172" s="6" t="s">
        <v>76</v>
      </c>
      <c r="D172" s="6" t="s">
        <v>77</v>
      </c>
      <c r="E172" s="6" t="s">
        <v>78</v>
      </c>
      <c r="F172" s="6"/>
      <c r="G172" s="6" t="s">
        <v>79</v>
      </c>
      <c r="H172" s="6" t="s">
        <v>1330</v>
      </c>
      <c r="I172" s="6" t="s">
        <v>81</v>
      </c>
      <c r="J172" s="6" t="s">
        <v>595</v>
      </c>
      <c r="K172" s="6" t="s">
        <v>226</v>
      </c>
      <c r="L172" s="6" t="s">
        <v>227</v>
      </c>
      <c r="M172" s="6" t="s">
        <v>1504</v>
      </c>
      <c r="N172" s="6"/>
      <c r="O172" s="6"/>
      <c r="P172" s="6" t="s">
        <v>228</v>
      </c>
      <c r="Q172" s="6"/>
      <c r="R172" s="6" t="s">
        <v>229</v>
      </c>
      <c r="S172" s="6"/>
      <c r="T172" s="6"/>
      <c r="U172" s="6"/>
      <c r="V172" s="6"/>
      <c r="W172" s="6"/>
      <c r="X172" s="6"/>
      <c r="Y172" s="6"/>
      <c r="Z172" s="6"/>
      <c r="AA172" s="6" t="s">
        <v>89</v>
      </c>
      <c r="AB172" s="6" t="s">
        <v>1505</v>
      </c>
      <c r="AC172" s="6" t="s">
        <v>1335</v>
      </c>
      <c r="AD172" s="6" t="s">
        <v>1336</v>
      </c>
      <c r="AE172" s="6" t="s">
        <v>1337</v>
      </c>
      <c r="AF172" s="6" t="s">
        <v>1506</v>
      </c>
      <c r="AG172" s="6"/>
      <c r="AH172" s="6"/>
      <c r="AI172" s="7"/>
      <c r="AJ172" s="7"/>
      <c r="AK172" s="7"/>
      <c r="AL172" s="7"/>
      <c r="AM172" s="7"/>
      <c r="AN172" s="7"/>
      <c r="AO172" s="7"/>
      <c r="AP172" s="7"/>
      <c r="AQ172" s="7"/>
      <c r="AR172" s="7"/>
      <c r="AS172" s="7"/>
      <c r="AT172" s="7"/>
      <c r="AU172" s="7"/>
      <c r="AV172" s="7"/>
      <c r="AW172" s="7"/>
      <c r="AX172" s="7"/>
      <c r="AY172" s="7"/>
      <c r="AZ172" s="7"/>
    </row>
    <row r="173" customFormat="false" ht="150" hidden="false" customHeight="true" outlineLevel="0" collapsed="false">
      <c r="A173" s="6" t="s">
        <v>1507</v>
      </c>
      <c r="B173" s="6" t="s">
        <v>1329</v>
      </c>
      <c r="C173" s="6" t="s">
        <v>76</v>
      </c>
      <c r="D173" s="6" t="s">
        <v>77</v>
      </c>
      <c r="E173" s="6" t="s">
        <v>78</v>
      </c>
      <c r="F173" s="6"/>
      <c r="G173" s="6" t="s">
        <v>98</v>
      </c>
      <c r="H173" s="6" t="s">
        <v>1330</v>
      </c>
      <c r="I173" s="6" t="s">
        <v>81</v>
      </c>
      <c r="J173" s="6" t="s">
        <v>621</v>
      </c>
      <c r="K173" s="6" t="s">
        <v>226</v>
      </c>
      <c r="L173" s="6" t="s">
        <v>227</v>
      </c>
      <c r="M173" s="6" t="s">
        <v>1504</v>
      </c>
      <c r="N173" s="6"/>
      <c r="O173" s="6"/>
      <c r="P173" s="6" t="s">
        <v>228</v>
      </c>
      <c r="Q173" s="6"/>
      <c r="R173" s="6" t="s">
        <v>229</v>
      </c>
      <c r="S173" s="6"/>
      <c r="T173" s="6"/>
      <c r="U173" s="6"/>
      <c r="V173" s="6"/>
      <c r="W173" s="6"/>
      <c r="X173" s="6"/>
      <c r="Y173" s="6"/>
      <c r="Z173" s="6"/>
      <c r="AA173" s="6" t="s">
        <v>89</v>
      </c>
      <c r="AB173" s="6" t="s">
        <v>1508</v>
      </c>
      <c r="AC173" s="6" t="s">
        <v>1341</v>
      </c>
      <c r="AD173" s="6" t="s">
        <v>1342</v>
      </c>
      <c r="AE173" s="6" t="s">
        <v>1343</v>
      </c>
      <c r="AF173" s="6" t="s">
        <v>1509</v>
      </c>
      <c r="AG173" s="6"/>
      <c r="AH173" s="6"/>
      <c r="AI173" s="7"/>
      <c r="AJ173" s="7"/>
      <c r="AK173" s="7"/>
      <c r="AL173" s="7"/>
      <c r="AM173" s="7"/>
      <c r="AN173" s="7"/>
      <c r="AO173" s="7"/>
      <c r="AP173" s="7"/>
      <c r="AQ173" s="7"/>
      <c r="AR173" s="7"/>
      <c r="AS173" s="7"/>
      <c r="AT173" s="7"/>
      <c r="AU173" s="7"/>
      <c r="AV173" s="7"/>
      <c r="AW173" s="7"/>
      <c r="AX173" s="7"/>
      <c r="AY173" s="7"/>
      <c r="AZ173" s="7"/>
    </row>
    <row r="174" customFormat="false" ht="150" hidden="false" customHeight="true" outlineLevel="0" collapsed="false">
      <c r="A174" s="6" t="s">
        <v>1510</v>
      </c>
      <c r="B174" s="6" t="s">
        <v>1329</v>
      </c>
      <c r="C174" s="6" t="s">
        <v>76</v>
      </c>
      <c r="D174" s="6" t="s">
        <v>77</v>
      </c>
      <c r="E174" s="6" t="s">
        <v>78</v>
      </c>
      <c r="F174" s="6"/>
      <c r="G174" s="6" t="s">
        <v>98</v>
      </c>
      <c r="H174" s="6" t="s">
        <v>1330</v>
      </c>
      <c r="I174" s="6" t="s">
        <v>81</v>
      </c>
      <c r="J174" s="6" t="s">
        <v>621</v>
      </c>
      <c r="K174" s="6" t="s">
        <v>226</v>
      </c>
      <c r="L174" s="6" t="s">
        <v>227</v>
      </c>
      <c r="M174" s="6" t="s">
        <v>1504</v>
      </c>
      <c r="N174" s="6"/>
      <c r="O174" s="6"/>
      <c r="P174" s="6" t="s">
        <v>228</v>
      </c>
      <c r="Q174" s="6"/>
      <c r="R174" s="6" t="s">
        <v>229</v>
      </c>
      <c r="S174" s="6"/>
      <c r="T174" s="6"/>
      <c r="U174" s="6"/>
      <c r="V174" s="6"/>
      <c r="W174" s="6"/>
      <c r="X174" s="6"/>
      <c r="Y174" s="6"/>
      <c r="Z174" s="6"/>
      <c r="AA174" s="6" t="s">
        <v>89</v>
      </c>
      <c r="AB174" s="6" t="s">
        <v>1511</v>
      </c>
      <c r="AC174" s="6" t="s">
        <v>1347</v>
      </c>
      <c r="AD174" s="6" t="s">
        <v>1348</v>
      </c>
      <c r="AE174" s="6" t="s">
        <v>1349</v>
      </c>
      <c r="AF174" s="6" t="s">
        <v>1509</v>
      </c>
      <c r="AG174" s="6"/>
      <c r="AH174" s="6"/>
      <c r="AI174" s="7"/>
      <c r="AJ174" s="7"/>
      <c r="AK174" s="7"/>
      <c r="AL174" s="7"/>
      <c r="AM174" s="7"/>
      <c r="AN174" s="7"/>
      <c r="AO174" s="7"/>
      <c r="AP174" s="7"/>
      <c r="AQ174" s="7"/>
      <c r="AR174" s="7"/>
      <c r="AS174" s="7"/>
      <c r="AT174" s="7"/>
      <c r="AU174" s="7"/>
      <c r="AV174" s="7"/>
      <c r="AW174" s="7"/>
      <c r="AX174" s="7"/>
      <c r="AY174" s="7"/>
      <c r="AZ174" s="7"/>
    </row>
    <row r="175" customFormat="false" ht="150" hidden="false" customHeight="true" outlineLevel="0" collapsed="false">
      <c r="A175" s="6" t="s">
        <v>1512</v>
      </c>
      <c r="B175" s="6" t="s">
        <v>1329</v>
      </c>
      <c r="C175" s="6" t="s">
        <v>76</v>
      </c>
      <c r="D175" s="6" t="s">
        <v>77</v>
      </c>
      <c r="E175" s="6" t="s">
        <v>78</v>
      </c>
      <c r="F175" s="6"/>
      <c r="G175" s="6" t="s">
        <v>165</v>
      </c>
      <c r="H175" s="6" t="s">
        <v>1330</v>
      </c>
      <c r="I175" s="6" t="s">
        <v>81</v>
      </c>
      <c r="J175" s="6" t="s">
        <v>621</v>
      </c>
      <c r="K175" s="6" t="s">
        <v>226</v>
      </c>
      <c r="L175" s="6" t="s">
        <v>227</v>
      </c>
      <c r="M175" s="6" t="s">
        <v>1504</v>
      </c>
      <c r="N175" s="6"/>
      <c r="O175" s="6"/>
      <c r="P175" s="6" t="s">
        <v>228</v>
      </c>
      <c r="Q175" s="6"/>
      <c r="R175" s="6" t="s">
        <v>229</v>
      </c>
      <c r="S175" s="6"/>
      <c r="T175" s="6"/>
      <c r="U175" s="6"/>
      <c r="V175" s="6"/>
      <c r="W175" s="6"/>
      <c r="X175" s="6"/>
      <c r="Y175" s="6"/>
      <c r="Z175" s="6"/>
      <c r="AA175" s="6" t="s">
        <v>89</v>
      </c>
      <c r="AB175" s="6" t="s">
        <v>1513</v>
      </c>
      <c r="AC175" s="6" t="s">
        <v>1352</v>
      </c>
      <c r="AD175" s="6" t="s">
        <v>1353</v>
      </c>
      <c r="AE175" s="6" t="s">
        <v>1354</v>
      </c>
      <c r="AF175" s="6" t="s">
        <v>1514</v>
      </c>
      <c r="AG175" s="6"/>
      <c r="AH175" s="6"/>
      <c r="AI175" s="7"/>
      <c r="AJ175" s="7"/>
      <c r="AK175" s="7"/>
      <c r="AL175" s="7"/>
      <c r="AM175" s="7"/>
      <c r="AN175" s="7"/>
      <c r="AO175" s="7"/>
      <c r="AP175" s="7"/>
      <c r="AQ175" s="7"/>
      <c r="AR175" s="7"/>
      <c r="AS175" s="7"/>
      <c r="AT175" s="7"/>
      <c r="AU175" s="7"/>
      <c r="AV175" s="7"/>
      <c r="AW175" s="7"/>
      <c r="AX175" s="7"/>
      <c r="AY175" s="7"/>
      <c r="AZ175" s="7"/>
    </row>
    <row r="176" customFormat="false" ht="150" hidden="false" customHeight="true" outlineLevel="0" collapsed="false">
      <c r="A176" s="6" t="s">
        <v>1515</v>
      </c>
      <c r="B176" s="6" t="s">
        <v>1329</v>
      </c>
      <c r="C176" s="6" t="s">
        <v>76</v>
      </c>
      <c r="D176" s="6" t="s">
        <v>77</v>
      </c>
      <c r="E176" s="6" t="s">
        <v>78</v>
      </c>
      <c r="F176" s="6"/>
      <c r="G176" s="6" t="s">
        <v>165</v>
      </c>
      <c r="H176" s="6" t="s">
        <v>1330</v>
      </c>
      <c r="I176" s="6" t="s">
        <v>81</v>
      </c>
      <c r="J176" s="6" t="s">
        <v>621</v>
      </c>
      <c r="K176" s="6" t="s">
        <v>226</v>
      </c>
      <c r="L176" s="6" t="s">
        <v>227</v>
      </c>
      <c r="M176" s="6" t="s">
        <v>1504</v>
      </c>
      <c r="N176" s="6"/>
      <c r="O176" s="6"/>
      <c r="P176" s="6" t="s">
        <v>228</v>
      </c>
      <c r="Q176" s="6"/>
      <c r="R176" s="6" t="s">
        <v>229</v>
      </c>
      <c r="S176" s="6"/>
      <c r="T176" s="6"/>
      <c r="U176" s="6"/>
      <c r="V176" s="6"/>
      <c r="W176" s="6"/>
      <c r="X176" s="6"/>
      <c r="Y176" s="6"/>
      <c r="Z176" s="6"/>
      <c r="AA176" s="6" t="s">
        <v>89</v>
      </c>
      <c r="AB176" s="6" t="s">
        <v>1516</v>
      </c>
      <c r="AC176" s="6" t="s">
        <v>1358</v>
      </c>
      <c r="AD176" s="6" t="s">
        <v>1359</v>
      </c>
      <c r="AE176" s="6" t="s">
        <v>1360</v>
      </c>
      <c r="AF176" s="6" t="s">
        <v>1514</v>
      </c>
      <c r="AG176" s="6"/>
      <c r="AH176" s="6"/>
      <c r="AI176" s="7"/>
      <c r="AJ176" s="7"/>
      <c r="AK176" s="7"/>
      <c r="AL176" s="7"/>
      <c r="AM176" s="7"/>
      <c r="AN176" s="7"/>
      <c r="AO176" s="7"/>
      <c r="AP176" s="7"/>
      <c r="AQ176" s="7"/>
      <c r="AR176" s="7"/>
      <c r="AS176" s="7"/>
      <c r="AT176" s="7"/>
      <c r="AU176" s="7"/>
      <c r="AV176" s="7"/>
      <c r="AW176" s="7"/>
      <c r="AX176" s="7"/>
      <c r="AY176" s="7"/>
      <c r="AZ176" s="7"/>
    </row>
    <row r="177" customFormat="false" ht="150" hidden="false" customHeight="true" outlineLevel="0" collapsed="false">
      <c r="A177" s="6" t="s">
        <v>1517</v>
      </c>
      <c r="B177" s="6" t="s">
        <v>1329</v>
      </c>
      <c r="C177" s="6" t="s">
        <v>76</v>
      </c>
      <c r="D177" s="6" t="s">
        <v>77</v>
      </c>
      <c r="E177" s="6" t="s">
        <v>78</v>
      </c>
      <c r="F177" s="6"/>
      <c r="G177" s="6" t="s">
        <v>1362</v>
      </c>
      <c r="H177" s="6" t="s">
        <v>1330</v>
      </c>
      <c r="I177" s="6" t="s">
        <v>81</v>
      </c>
      <c r="J177" s="6" t="s">
        <v>621</v>
      </c>
      <c r="K177" s="6" t="s">
        <v>226</v>
      </c>
      <c r="L177" s="6" t="s">
        <v>227</v>
      </c>
      <c r="M177" s="6" t="s">
        <v>1504</v>
      </c>
      <c r="N177" s="6"/>
      <c r="O177" s="6"/>
      <c r="P177" s="6" t="s">
        <v>228</v>
      </c>
      <c r="Q177" s="6"/>
      <c r="R177" s="6" t="s">
        <v>229</v>
      </c>
      <c r="S177" s="6"/>
      <c r="T177" s="6"/>
      <c r="U177" s="6"/>
      <c r="V177" s="6"/>
      <c r="W177" s="6"/>
      <c r="X177" s="6"/>
      <c r="Y177" s="6"/>
      <c r="Z177" s="6"/>
      <c r="AA177" s="6" t="s">
        <v>89</v>
      </c>
      <c r="AB177" s="6" t="s">
        <v>1518</v>
      </c>
      <c r="AC177" s="6" t="s">
        <v>1364</v>
      </c>
      <c r="AD177" s="6" t="s">
        <v>1365</v>
      </c>
      <c r="AE177" s="6" t="s">
        <v>1366</v>
      </c>
      <c r="AF177" s="6" t="s">
        <v>1519</v>
      </c>
      <c r="AG177" s="6"/>
      <c r="AH177" s="6"/>
      <c r="AI177" s="7"/>
      <c r="AJ177" s="7"/>
      <c r="AK177" s="7"/>
      <c r="AL177" s="7"/>
      <c r="AM177" s="7"/>
      <c r="AN177" s="7"/>
      <c r="AO177" s="7"/>
      <c r="AP177" s="7"/>
      <c r="AQ177" s="7"/>
      <c r="AR177" s="7"/>
      <c r="AS177" s="7"/>
      <c r="AT177" s="7"/>
      <c r="AU177" s="7"/>
      <c r="AV177" s="7"/>
      <c r="AW177" s="7"/>
      <c r="AX177" s="7"/>
      <c r="AY177" s="7"/>
      <c r="AZ177" s="7"/>
    </row>
    <row r="178" customFormat="false" ht="150" hidden="false" customHeight="true" outlineLevel="0" collapsed="false">
      <c r="A178" s="6" t="s">
        <v>1520</v>
      </c>
      <c r="B178" s="6" t="s">
        <v>1329</v>
      </c>
      <c r="C178" s="6" t="s">
        <v>76</v>
      </c>
      <c r="D178" s="6" t="s">
        <v>77</v>
      </c>
      <c r="E178" s="6" t="s">
        <v>78</v>
      </c>
      <c r="F178" s="6"/>
      <c r="G178" s="6" t="s">
        <v>1362</v>
      </c>
      <c r="H178" s="6" t="s">
        <v>1330</v>
      </c>
      <c r="I178" s="6" t="s">
        <v>81</v>
      </c>
      <c r="J178" s="6" t="s">
        <v>621</v>
      </c>
      <c r="K178" s="6" t="s">
        <v>226</v>
      </c>
      <c r="L178" s="6" t="s">
        <v>227</v>
      </c>
      <c r="M178" s="6" t="s">
        <v>1504</v>
      </c>
      <c r="N178" s="6"/>
      <c r="O178" s="6"/>
      <c r="P178" s="6" t="s">
        <v>228</v>
      </c>
      <c r="Q178" s="6"/>
      <c r="R178" s="6" t="s">
        <v>229</v>
      </c>
      <c r="S178" s="6"/>
      <c r="T178" s="6"/>
      <c r="U178" s="6"/>
      <c r="V178" s="6"/>
      <c r="W178" s="6"/>
      <c r="X178" s="6"/>
      <c r="Y178" s="6"/>
      <c r="Z178" s="6"/>
      <c r="AA178" s="6" t="s">
        <v>89</v>
      </c>
      <c r="AB178" s="6" t="s">
        <v>1521</v>
      </c>
      <c r="AC178" s="6" t="s">
        <v>1370</v>
      </c>
      <c r="AD178" s="6" t="s">
        <v>1371</v>
      </c>
      <c r="AE178" s="6" t="s">
        <v>1372</v>
      </c>
      <c r="AF178" s="6" t="s">
        <v>1519</v>
      </c>
      <c r="AG178" s="6"/>
      <c r="AH178" s="6"/>
      <c r="AI178" s="7"/>
      <c r="AJ178" s="7"/>
      <c r="AK178" s="7"/>
      <c r="AL178" s="7"/>
      <c r="AM178" s="7"/>
      <c r="AN178" s="7"/>
      <c r="AO178" s="7"/>
      <c r="AP178" s="7"/>
      <c r="AQ178" s="7"/>
      <c r="AR178" s="7"/>
      <c r="AS178" s="7"/>
      <c r="AT178" s="7"/>
      <c r="AU178" s="7"/>
      <c r="AV178" s="7"/>
      <c r="AW178" s="7"/>
      <c r="AX178" s="7"/>
      <c r="AY178" s="7"/>
      <c r="AZ178" s="7"/>
    </row>
    <row r="179" customFormat="false" ht="150" hidden="false" customHeight="true" outlineLevel="0" collapsed="false">
      <c r="A179" s="6" t="s">
        <v>1522</v>
      </c>
      <c r="B179" s="6" t="s">
        <v>1329</v>
      </c>
      <c r="C179" s="6" t="s">
        <v>76</v>
      </c>
      <c r="D179" s="6" t="s">
        <v>96</v>
      </c>
      <c r="E179" s="6" t="s">
        <v>97</v>
      </c>
      <c r="F179" s="6"/>
      <c r="G179" s="6" t="s">
        <v>79</v>
      </c>
      <c r="H179" s="6" t="s">
        <v>1330</v>
      </c>
      <c r="I179" s="6" t="s">
        <v>81</v>
      </c>
      <c r="J179" s="6" t="s">
        <v>595</v>
      </c>
      <c r="K179" s="6" t="s">
        <v>1523</v>
      </c>
      <c r="L179" s="6" t="s">
        <v>1524</v>
      </c>
      <c r="M179" s="6" t="s">
        <v>1525</v>
      </c>
      <c r="N179" s="6"/>
      <c r="O179" s="6"/>
      <c r="P179" s="6" t="s">
        <v>237</v>
      </c>
      <c r="Q179" s="6"/>
      <c r="R179" s="6" t="s">
        <v>339</v>
      </c>
      <c r="S179" s="6"/>
      <c r="T179" s="6"/>
      <c r="U179" s="6"/>
      <c r="V179" s="6"/>
      <c r="W179" s="6"/>
      <c r="X179" s="6"/>
      <c r="Y179" s="6"/>
      <c r="Z179" s="6"/>
      <c r="AA179" s="6" t="s">
        <v>89</v>
      </c>
      <c r="AB179" s="6" t="s">
        <v>1526</v>
      </c>
      <c r="AC179" s="6" t="s">
        <v>1335</v>
      </c>
      <c r="AD179" s="6" t="s">
        <v>1336</v>
      </c>
      <c r="AE179" s="6" t="s">
        <v>1337</v>
      </c>
      <c r="AF179" s="6" t="s">
        <v>1527</v>
      </c>
      <c r="AG179" s="6"/>
      <c r="AH179" s="6"/>
      <c r="AI179" s="7"/>
      <c r="AJ179" s="7"/>
      <c r="AK179" s="7"/>
      <c r="AL179" s="7"/>
      <c r="AM179" s="7"/>
      <c r="AN179" s="7"/>
      <c r="AO179" s="7"/>
      <c r="AP179" s="7"/>
      <c r="AQ179" s="7"/>
      <c r="AR179" s="7"/>
      <c r="AS179" s="7"/>
      <c r="AT179" s="7"/>
      <c r="AU179" s="7"/>
      <c r="AV179" s="7"/>
      <c r="AW179" s="7"/>
      <c r="AX179" s="7"/>
      <c r="AY179" s="7"/>
      <c r="AZ179" s="7"/>
    </row>
    <row r="180" customFormat="false" ht="150" hidden="false" customHeight="true" outlineLevel="0" collapsed="false">
      <c r="A180" s="6" t="s">
        <v>1528</v>
      </c>
      <c r="B180" s="6" t="s">
        <v>1329</v>
      </c>
      <c r="C180" s="6" t="s">
        <v>76</v>
      </c>
      <c r="D180" s="6" t="s">
        <v>96</v>
      </c>
      <c r="E180" s="6" t="s">
        <v>97</v>
      </c>
      <c r="F180" s="6"/>
      <c r="G180" s="6" t="s">
        <v>98</v>
      </c>
      <c r="H180" s="6" t="s">
        <v>1330</v>
      </c>
      <c r="I180" s="6" t="s">
        <v>81</v>
      </c>
      <c r="J180" s="6" t="s">
        <v>621</v>
      </c>
      <c r="K180" s="6" t="s">
        <v>1523</v>
      </c>
      <c r="L180" s="6" t="s">
        <v>1524</v>
      </c>
      <c r="M180" s="6" t="s">
        <v>1525</v>
      </c>
      <c r="N180" s="6"/>
      <c r="O180" s="6"/>
      <c r="P180" s="6" t="s">
        <v>237</v>
      </c>
      <c r="Q180" s="6"/>
      <c r="R180" s="6" t="s">
        <v>339</v>
      </c>
      <c r="S180" s="6"/>
      <c r="T180" s="6"/>
      <c r="U180" s="6"/>
      <c r="V180" s="6"/>
      <c r="W180" s="6"/>
      <c r="X180" s="6"/>
      <c r="Y180" s="6"/>
      <c r="Z180" s="6"/>
      <c r="AA180" s="6" t="s">
        <v>89</v>
      </c>
      <c r="AB180" s="6" t="s">
        <v>1529</v>
      </c>
      <c r="AC180" s="6" t="s">
        <v>1341</v>
      </c>
      <c r="AD180" s="6" t="s">
        <v>1342</v>
      </c>
      <c r="AE180" s="6" t="s">
        <v>1343</v>
      </c>
      <c r="AF180" s="6" t="s">
        <v>1530</v>
      </c>
      <c r="AG180" s="6"/>
      <c r="AH180" s="6"/>
      <c r="AI180" s="7"/>
      <c r="AJ180" s="7"/>
      <c r="AK180" s="7"/>
      <c r="AL180" s="7"/>
      <c r="AM180" s="7"/>
      <c r="AN180" s="7"/>
      <c r="AO180" s="7"/>
      <c r="AP180" s="7"/>
      <c r="AQ180" s="7"/>
      <c r="AR180" s="7"/>
      <c r="AS180" s="7"/>
      <c r="AT180" s="7"/>
      <c r="AU180" s="7"/>
      <c r="AV180" s="7"/>
      <c r="AW180" s="7"/>
      <c r="AX180" s="7"/>
      <c r="AY180" s="7"/>
      <c r="AZ180" s="7"/>
    </row>
    <row r="181" customFormat="false" ht="150" hidden="false" customHeight="true" outlineLevel="0" collapsed="false">
      <c r="A181" s="6" t="s">
        <v>1531</v>
      </c>
      <c r="B181" s="6" t="s">
        <v>1329</v>
      </c>
      <c r="C181" s="6" t="s">
        <v>76</v>
      </c>
      <c r="D181" s="6" t="s">
        <v>96</v>
      </c>
      <c r="E181" s="6" t="s">
        <v>97</v>
      </c>
      <c r="F181" s="6"/>
      <c r="G181" s="6" t="s">
        <v>98</v>
      </c>
      <c r="H181" s="6" t="s">
        <v>1330</v>
      </c>
      <c r="I181" s="6" t="s">
        <v>81</v>
      </c>
      <c r="J181" s="6" t="s">
        <v>621</v>
      </c>
      <c r="K181" s="6" t="s">
        <v>1523</v>
      </c>
      <c r="L181" s="6" t="s">
        <v>1524</v>
      </c>
      <c r="M181" s="6" t="s">
        <v>1525</v>
      </c>
      <c r="N181" s="6"/>
      <c r="O181" s="6"/>
      <c r="P181" s="6" t="s">
        <v>237</v>
      </c>
      <c r="Q181" s="6"/>
      <c r="R181" s="6" t="s">
        <v>339</v>
      </c>
      <c r="S181" s="6"/>
      <c r="T181" s="6"/>
      <c r="U181" s="6"/>
      <c r="V181" s="6"/>
      <c r="W181" s="6"/>
      <c r="X181" s="6"/>
      <c r="Y181" s="6"/>
      <c r="Z181" s="6"/>
      <c r="AA181" s="6" t="s">
        <v>89</v>
      </c>
      <c r="AB181" s="6" t="s">
        <v>1532</v>
      </c>
      <c r="AC181" s="6" t="s">
        <v>1347</v>
      </c>
      <c r="AD181" s="6" t="s">
        <v>1348</v>
      </c>
      <c r="AE181" s="6" t="s">
        <v>1349</v>
      </c>
      <c r="AF181" s="6" t="s">
        <v>1530</v>
      </c>
      <c r="AG181" s="6"/>
      <c r="AH181" s="6"/>
      <c r="AI181" s="7"/>
      <c r="AJ181" s="7"/>
      <c r="AK181" s="7"/>
      <c r="AL181" s="7"/>
      <c r="AM181" s="7"/>
      <c r="AN181" s="7"/>
      <c r="AO181" s="7"/>
      <c r="AP181" s="7"/>
      <c r="AQ181" s="7"/>
      <c r="AR181" s="7"/>
      <c r="AS181" s="7"/>
      <c r="AT181" s="7"/>
      <c r="AU181" s="7"/>
      <c r="AV181" s="7"/>
      <c r="AW181" s="7"/>
      <c r="AX181" s="7"/>
      <c r="AY181" s="7"/>
      <c r="AZ181" s="7"/>
    </row>
    <row r="182" customFormat="false" ht="150" hidden="false" customHeight="true" outlineLevel="0" collapsed="false">
      <c r="A182" s="6" t="s">
        <v>1533</v>
      </c>
      <c r="B182" s="6" t="s">
        <v>1329</v>
      </c>
      <c r="C182" s="6" t="s">
        <v>76</v>
      </c>
      <c r="D182" s="6" t="s">
        <v>96</v>
      </c>
      <c r="E182" s="6" t="s">
        <v>97</v>
      </c>
      <c r="F182" s="6"/>
      <c r="G182" s="6" t="s">
        <v>165</v>
      </c>
      <c r="H182" s="6" t="s">
        <v>1330</v>
      </c>
      <c r="I182" s="6" t="s">
        <v>81</v>
      </c>
      <c r="J182" s="6" t="s">
        <v>621</v>
      </c>
      <c r="K182" s="6" t="s">
        <v>1523</v>
      </c>
      <c r="L182" s="6" t="s">
        <v>1524</v>
      </c>
      <c r="M182" s="6" t="s">
        <v>1525</v>
      </c>
      <c r="N182" s="6"/>
      <c r="O182" s="6"/>
      <c r="P182" s="6" t="s">
        <v>237</v>
      </c>
      <c r="Q182" s="6"/>
      <c r="R182" s="6" t="s">
        <v>339</v>
      </c>
      <c r="S182" s="6"/>
      <c r="T182" s="6"/>
      <c r="U182" s="6"/>
      <c r="V182" s="6"/>
      <c r="W182" s="6"/>
      <c r="X182" s="6"/>
      <c r="Y182" s="6"/>
      <c r="Z182" s="6"/>
      <c r="AA182" s="6" t="s">
        <v>89</v>
      </c>
      <c r="AB182" s="6" t="s">
        <v>1534</v>
      </c>
      <c r="AC182" s="6" t="s">
        <v>1352</v>
      </c>
      <c r="AD182" s="6" t="s">
        <v>1353</v>
      </c>
      <c r="AE182" s="6" t="s">
        <v>1354</v>
      </c>
      <c r="AF182" s="6" t="s">
        <v>1535</v>
      </c>
      <c r="AG182" s="6"/>
      <c r="AH182" s="6"/>
      <c r="AI182" s="7"/>
      <c r="AJ182" s="7"/>
      <c r="AK182" s="7"/>
      <c r="AL182" s="7"/>
      <c r="AM182" s="7"/>
      <c r="AN182" s="7"/>
      <c r="AO182" s="7"/>
      <c r="AP182" s="7"/>
      <c r="AQ182" s="7"/>
      <c r="AR182" s="7"/>
      <c r="AS182" s="7"/>
      <c r="AT182" s="7"/>
      <c r="AU182" s="7"/>
      <c r="AV182" s="7"/>
      <c r="AW182" s="7"/>
      <c r="AX182" s="7"/>
      <c r="AY182" s="7"/>
      <c r="AZ182" s="7"/>
    </row>
    <row r="183" customFormat="false" ht="150" hidden="false" customHeight="true" outlineLevel="0" collapsed="false">
      <c r="A183" s="6" t="s">
        <v>1536</v>
      </c>
      <c r="B183" s="6" t="s">
        <v>1329</v>
      </c>
      <c r="C183" s="6" t="s">
        <v>76</v>
      </c>
      <c r="D183" s="6" t="s">
        <v>96</v>
      </c>
      <c r="E183" s="6" t="s">
        <v>97</v>
      </c>
      <c r="F183" s="6"/>
      <c r="G183" s="6" t="s">
        <v>165</v>
      </c>
      <c r="H183" s="6" t="s">
        <v>1330</v>
      </c>
      <c r="I183" s="6" t="s">
        <v>81</v>
      </c>
      <c r="J183" s="6" t="s">
        <v>621</v>
      </c>
      <c r="K183" s="6" t="s">
        <v>1523</v>
      </c>
      <c r="L183" s="6" t="s">
        <v>1524</v>
      </c>
      <c r="M183" s="6" t="s">
        <v>1525</v>
      </c>
      <c r="N183" s="6"/>
      <c r="O183" s="6"/>
      <c r="P183" s="6" t="s">
        <v>237</v>
      </c>
      <c r="Q183" s="6"/>
      <c r="R183" s="6" t="s">
        <v>339</v>
      </c>
      <c r="S183" s="6"/>
      <c r="T183" s="6"/>
      <c r="U183" s="6"/>
      <c r="V183" s="6"/>
      <c r="W183" s="6"/>
      <c r="X183" s="6"/>
      <c r="Y183" s="6"/>
      <c r="Z183" s="6"/>
      <c r="AA183" s="6" t="s">
        <v>89</v>
      </c>
      <c r="AB183" s="6" t="s">
        <v>1537</v>
      </c>
      <c r="AC183" s="6" t="s">
        <v>1358</v>
      </c>
      <c r="AD183" s="6" t="s">
        <v>1359</v>
      </c>
      <c r="AE183" s="6" t="s">
        <v>1360</v>
      </c>
      <c r="AF183" s="6" t="s">
        <v>1535</v>
      </c>
      <c r="AG183" s="6"/>
      <c r="AH183" s="6"/>
      <c r="AI183" s="7"/>
      <c r="AJ183" s="7"/>
      <c r="AK183" s="7"/>
      <c r="AL183" s="7"/>
      <c r="AM183" s="7"/>
      <c r="AN183" s="7"/>
      <c r="AO183" s="7"/>
      <c r="AP183" s="7"/>
      <c r="AQ183" s="7"/>
      <c r="AR183" s="7"/>
      <c r="AS183" s="7"/>
      <c r="AT183" s="7"/>
      <c r="AU183" s="7"/>
      <c r="AV183" s="7"/>
      <c r="AW183" s="7"/>
      <c r="AX183" s="7"/>
      <c r="AY183" s="7"/>
      <c r="AZ183" s="7"/>
    </row>
    <row r="184" customFormat="false" ht="150" hidden="false" customHeight="true" outlineLevel="0" collapsed="false">
      <c r="A184" s="6" t="s">
        <v>1538</v>
      </c>
      <c r="B184" s="6" t="s">
        <v>1329</v>
      </c>
      <c r="C184" s="6" t="s">
        <v>76</v>
      </c>
      <c r="D184" s="6" t="s">
        <v>96</v>
      </c>
      <c r="E184" s="6" t="s">
        <v>97</v>
      </c>
      <c r="F184" s="6"/>
      <c r="G184" s="6" t="s">
        <v>1362</v>
      </c>
      <c r="H184" s="6" t="s">
        <v>1330</v>
      </c>
      <c r="I184" s="6" t="s">
        <v>81</v>
      </c>
      <c r="J184" s="6" t="s">
        <v>621</v>
      </c>
      <c r="K184" s="6" t="s">
        <v>1523</v>
      </c>
      <c r="L184" s="6" t="s">
        <v>1524</v>
      </c>
      <c r="M184" s="6" t="s">
        <v>1525</v>
      </c>
      <c r="N184" s="6"/>
      <c r="O184" s="6"/>
      <c r="P184" s="6" t="s">
        <v>237</v>
      </c>
      <c r="Q184" s="6"/>
      <c r="R184" s="6" t="s">
        <v>339</v>
      </c>
      <c r="S184" s="6"/>
      <c r="T184" s="6"/>
      <c r="U184" s="6"/>
      <c r="V184" s="6"/>
      <c r="W184" s="6"/>
      <c r="X184" s="6"/>
      <c r="Y184" s="6"/>
      <c r="Z184" s="6"/>
      <c r="AA184" s="6" t="s">
        <v>89</v>
      </c>
      <c r="AB184" s="6" t="s">
        <v>1539</v>
      </c>
      <c r="AC184" s="6" t="s">
        <v>1364</v>
      </c>
      <c r="AD184" s="6" t="s">
        <v>1365</v>
      </c>
      <c r="AE184" s="6" t="s">
        <v>1366</v>
      </c>
      <c r="AF184" s="6" t="s">
        <v>1540</v>
      </c>
      <c r="AG184" s="6"/>
      <c r="AH184" s="6"/>
      <c r="AI184" s="7"/>
      <c r="AJ184" s="7"/>
      <c r="AK184" s="7"/>
      <c r="AL184" s="7"/>
      <c r="AM184" s="7"/>
      <c r="AN184" s="7"/>
      <c r="AO184" s="7"/>
      <c r="AP184" s="7"/>
      <c r="AQ184" s="7"/>
      <c r="AR184" s="7"/>
      <c r="AS184" s="7"/>
      <c r="AT184" s="7"/>
      <c r="AU184" s="7"/>
      <c r="AV184" s="7"/>
      <c r="AW184" s="7"/>
      <c r="AX184" s="7"/>
      <c r="AY184" s="7"/>
      <c r="AZ184" s="7"/>
    </row>
    <row r="185" customFormat="false" ht="150" hidden="false" customHeight="true" outlineLevel="0" collapsed="false">
      <c r="A185" s="6" t="s">
        <v>1541</v>
      </c>
      <c r="B185" s="6" t="s">
        <v>1329</v>
      </c>
      <c r="C185" s="6" t="s">
        <v>76</v>
      </c>
      <c r="D185" s="6" t="s">
        <v>96</v>
      </c>
      <c r="E185" s="6" t="s">
        <v>97</v>
      </c>
      <c r="F185" s="6"/>
      <c r="G185" s="6" t="s">
        <v>1362</v>
      </c>
      <c r="H185" s="6" t="s">
        <v>1330</v>
      </c>
      <c r="I185" s="6" t="s">
        <v>81</v>
      </c>
      <c r="J185" s="6" t="s">
        <v>621</v>
      </c>
      <c r="K185" s="6" t="s">
        <v>1523</v>
      </c>
      <c r="L185" s="6" t="s">
        <v>1524</v>
      </c>
      <c r="M185" s="6" t="s">
        <v>1525</v>
      </c>
      <c r="N185" s="6"/>
      <c r="O185" s="6"/>
      <c r="P185" s="6" t="s">
        <v>237</v>
      </c>
      <c r="Q185" s="6"/>
      <c r="R185" s="6" t="s">
        <v>339</v>
      </c>
      <c r="S185" s="6"/>
      <c r="T185" s="6"/>
      <c r="U185" s="6"/>
      <c r="V185" s="6"/>
      <c r="W185" s="6"/>
      <c r="X185" s="6"/>
      <c r="Y185" s="6"/>
      <c r="Z185" s="6"/>
      <c r="AA185" s="6" t="s">
        <v>89</v>
      </c>
      <c r="AB185" s="6" t="s">
        <v>1542</v>
      </c>
      <c r="AC185" s="6" t="s">
        <v>1370</v>
      </c>
      <c r="AD185" s="6" t="s">
        <v>1371</v>
      </c>
      <c r="AE185" s="6" t="s">
        <v>1372</v>
      </c>
      <c r="AF185" s="6" t="s">
        <v>1540</v>
      </c>
      <c r="AG185" s="6"/>
      <c r="AH185" s="6"/>
      <c r="AI185" s="7"/>
      <c r="AJ185" s="7"/>
      <c r="AK185" s="7"/>
      <c r="AL185" s="7"/>
      <c r="AM185" s="7"/>
      <c r="AN185" s="7"/>
      <c r="AO185" s="7"/>
      <c r="AP185" s="7"/>
      <c r="AQ185" s="7"/>
      <c r="AR185" s="7"/>
      <c r="AS185" s="7"/>
      <c r="AT185" s="7"/>
      <c r="AU185" s="7"/>
      <c r="AV185" s="7"/>
      <c r="AW185" s="7"/>
      <c r="AX185" s="7"/>
      <c r="AY185" s="7"/>
      <c r="AZ185" s="7"/>
    </row>
    <row r="186" customFormat="false" ht="150" hidden="false" customHeight="true" outlineLevel="0" collapsed="false">
      <c r="A186" s="6" t="s">
        <v>1543</v>
      </c>
      <c r="B186" s="6" t="s">
        <v>1329</v>
      </c>
      <c r="C186" s="6" t="s">
        <v>76</v>
      </c>
      <c r="D186" s="6" t="s">
        <v>96</v>
      </c>
      <c r="E186" s="6" t="s">
        <v>97</v>
      </c>
      <c r="F186" s="6"/>
      <c r="G186" s="6" t="s">
        <v>79</v>
      </c>
      <c r="H186" s="6" t="s">
        <v>1330</v>
      </c>
      <c r="I186" s="6" t="s">
        <v>81</v>
      </c>
      <c r="J186" s="6" t="s">
        <v>595</v>
      </c>
      <c r="K186" s="6" t="s">
        <v>1544</v>
      </c>
      <c r="L186" s="6" t="s">
        <v>1545</v>
      </c>
      <c r="M186" s="6" t="s">
        <v>1546</v>
      </c>
      <c r="N186" s="6"/>
      <c r="O186" s="6"/>
      <c r="P186" s="6" t="s">
        <v>1422</v>
      </c>
      <c r="Q186" s="6"/>
      <c r="R186" s="6" t="s">
        <v>1547</v>
      </c>
      <c r="S186" s="6"/>
      <c r="T186" s="6"/>
      <c r="U186" s="6"/>
      <c r="V186" s="6"/>
      <c r="W186" s="6"/>
      <c r="X186" s="6"/>
      <c r="Y186" s="6"/>
      <c r="Z186" s="6"/>
      <c r="AA186" s="6" t="s">
        <v>89</v>
      </c>
      <c r="AB186" s="6" t="s">
        <v>1548</v>
      </c>
      <c r="AC186" s="6" t="s">
        <v>1335</v>
      </c>
      <c r="AD186" s="6" t="s">
        <v>1336</v>
      </c>
      <c r="AE186" s="6" t="s">
        <v>1337</v>
      </c>
      <c r="AF186" s="6" t="s">
        <v>1549</v>
      </c>
      <c r="AG186" s="6"/>
      <c r="AH186" s="6"/>
      <c r="AI186" s="7"/>
      <c r="AJ186" s="7"/>
      <c r="AK186" s="7"/>
      <c r="AL186" s="7"/>
      <c r="AM186" s="7"/>
      <c r="AN186" s="7"/>
      <c r="AO186" s="7"/>
      <c r="AP186" s="7"/>
      <c r="AQ186" s="7"/>
      <c r="AR186" s="7"/>
      <c r="AS186" s="7"/>
      <c r="AT186" s="7"/>
      <c r="AU186" s="7"/>
      <c r="AV186" s="7"/>
      <c r="AW186" s="7"/>
      <c r="AX186" s="7"/>
      <c r="AY186" s="7"/>
      <c r="AZ186" s="7"/>
    </row>
    <row r="187" customFormat="false" ht="150" hidden="false" customHeight="true" outlineLevel="0" collapsed="false">
      <c r="A187" s="6" t="s">
        <v>1550</v>
      </c>
      <c r="B187" s="6" t="s">
        <v>1329</v>
      </c>
      <c r="C187" s="6" t="s">
        <v>76</v>
      </c>
      <c r="D187" s="6" t="s">
        <v>96</v>
      </c>
      <c r="E187" s="6" t="s">
        <v>97</v>
      </c>
      <c r="F187" s="6"/>
      <c r="G187" s="6" t="s">
        <v>98</v>
      </c>
      <c r="H187" s="6" t="s">
        <v>1330</v>
      </c>
      <c r="I187" s="6" t="s">
        <v>81</v>
      </c>
      <c r="J187" s="6" t="s">
        <v>621</v>
      </c>
      <c r="K187" s="6" t="s">
        <v>1544</v>
      </c>
      <c r="L187" s="6" t="s">
        <v>1545</v>
      </c>
      <c r="M187" s="6" t="s">
        <v>1546</v>
      </c>
      <c r="N187" s="6"/>
      <c r="O187" s="6"/>
      <c r="P187" s="6" t="s">
        <v>1422</v>
      </c>
      <c r="Q187" s="6"/>
      <c r="R187" s="6" t="s">
        <v>1547</v>
      </c>
      <c r="S187" s="6"/>
      <c r="T187" s="6"/>
      <c r="U187" s="6"/>
      <c r="V187" s="6"/>
      <c r="W187" s="6"/>
      <c r="X187" s="6"/>
      <c r="Y187" s="6"/>
      <c r="Z187" s="6"/>
      <c r="AA187" s="6" t="s">
        <v>89</v>
      </c>
      <c r="AB187" s="6" t="s">
        <v>1551</v>
      </c>
      <c r="AC187" s="6" t="s">
        <v>1341</v>
      </c>
      <c r="AD187" s="6" t="s">
        <v>1342</v>
      </c>
      <c r="AE187" s="6" t="s">
        <v>1343</v>
      </c>
      <c r="AF187" s="6" t="s">
        <v>1552</v>
      </c>
      <c r="AG187" s="6"/>
      <c r="AH187" s="6"/>
      <c r="AI187" s="7"/>
      <c r="AJ187" s="7"/>
      <c r="AK187" s="7"/>
      <c r="AL187" s="7"/>
      <c r="AM187" s="7"/>
      <c r="AN187" s="7"/>
      <c r="AO187" s="7"/>
      <c r="AP187" s="7"/>
      <c r="AQ187" s="7"/>
      <c r="AR187" s="7"/>
      <c r="AS187" s="7"/>
      <c r="AT187" s="7"/>
      <c r="AU187" s="7"/>
      <c r="AV187" s="7"/>
      <c r="AW187" s="7"/>
      <c r="AX187" s="7"/>
      <c r="AY187" s="7"/>
      <c r="AZ187" s="7"/>
    </row>
    <row r="188" customFormat="false" ht="150" hidden="false" customHeight="true" outlineLevel="0" collapsed="false">
      <c r="A188" s="6" t="s">
        <v>1553</v>
      </c>
      <c r="B188" s="6" t="s">
        <v>1329</v>
      </c>
      <c r="C188" s="6" t="s">
        <v>76</v>
      </c>
      <c r="D188" s="6" t="s">
        <v>96</v>
      </c>
      <c r="E188" s="6" t="s">
        <v>97</v>
      </c>
      <c r="F188" s="6"/>
      <c r="G188" s="6" t="s">
        <v>98</v>
      </c>
      <c r="H188" s="6" t="s">
        <v>1330</v>
      </c>
      <c r="I188" s="6" t="s">
        <v>81</v>
      </c>
      <c r="J188" s="6" t="s">
        <v>621</v>
      </c>
      <c r="K188" s="6" t="s">
        <v>1544</v>
      </c>
      <c r="L188" s="6" t="s">
        <v>1545</v>
      </c>
      <c r="M188" s="6" t="s">
        <v>1546</v>
      </c>
      <c r="N188" s="6"/>
      <c r="O188" s="6"/>
      <c r="P188" s="6" t="s">
        <v>1422</v>
      </c>
      <c r="Q188" s="6"/>
      <c r="R188" s="6" t="s">
        <v>1547</v>
      </c>
      <c r="S188" s="6"/>
      <c r="T188" s="6"/>
      <c r="U188" s="6"/>
      <c r="V188" s="6"/>
      <c r="W188" s="6"/>
      <c r="X188" s="6"/>
      <c r="Y188" s="6"/>
      <c r="Z188" s="6"/>
      <c r="AA188" s="6" t="s">
        <v>89</v>
      </c>
      <c r="AB188" s="6" t="s">
        <v>1554</v>
      </c>
      <c r="AC188" s="6" t="s">
        <v>1347</v>
      </c>
      <c r="AD188" s="6" t="s">
        <v>1348</v>
      </c>
      <c r="AE188" s="6" t="s">
        <v>1349</v>
      </c>
      <c r="AF188" s="6" t="s">
        <v>1552</v>
      </c>
      <c r="AG188" s="6"/>
      <c r="AH188" s="6"/>
      <c r="AI188" s="7"/>
      <c r="AJ188" s="7"/>
      <c r="AK188" s="7"/>
      <c r="AL188" s="7"/>
      <c r="AM188" s="7"/>
      <c r="AN188" s="7"/>
      <c r="AO188" s="7"/>
      <c r="AP188" s="7"/>
      <c r="AQ188" s="7"/>
      <c r="AR188" s="7"/>
      <c r="AS188" s="7"/>
      <c r="AT188" s="7"/>
      <c r="AU188" s="7"/>
      <c r="AV188" s="7"/>
      <c r="AW188" s="7"/>
      <c r="AX188" s="7"/>
      <c r="AY188" s="7"/>
      <c r="AZ188" s="7"/>
    </row>
    <row r="189" customFormat="false" ht="150" hidden="false" customHeight="true" outlineLevel="0" collapsed="false">
      <c r="A189" s="6" t="s">
        <v>1555</v>
      </c>
      <c r="B189" s="6" t="s">
        <v>1329</v>
      </c>
      <c r="C189" s="6" t="s">
        <v>76</v>
      </c>
      <c r="D189" s="6" t="s">
        <v>96</v>
      </c>
      <c r="E189" s="6" t="s">
        <v>97</v>
      </c>
      <c r="F189" s="6"/>
      <c r="G189" s="6" t="s">
        <v>165</v>
      </c>
      <c r="H189" s="6" t="s">
        <v>1330</v>
      </c>
      <c r="I189" s="6" t="s">
        <v>81</v>
      </c>
      <c r="J189" s="6" t="s">
        <v>621</v>
      </c>
      <c r="K189" s="6" t="s">
        <v>1544</v>
      </c>
      <c r="L189" s="6" t="s">
        <v>1545</v>
      </c>
      <c r="M189" s="6" t="s">
        <v>1546</v>
      </c>
      <c r="N189" s="6"/>
      <c r="O189" s="6"/>
      <c r="P189" s="6" t="s">
        <v>1422</v>
      </c>
      <c r="Q189" s="6"/>
      <c r="R189" s="6" t="s">
        <v>1547</v>
      </c>
      <c r="S189" s="6"/>
      <c r="T189" s="6"/>
      <c r="U189" s="6"/>
      <c r="V189" s="6"/>
      <c r="W189" s="6"/>
      <c r="X189" s="6"/>
      <c r="Y189" s="6"/>
      <c r="Z189" s="6"/>
      <c r="AA189" s="6" t="s">
        <v>89</v>
      </c>
      <c r="AB189" s="6" t="s">
        <v>1556</v>
      </c>
      <c r="AC189" s="6" t="s">
        <v>1352</v>
      </c>
      <c r="AD189" s="6" t="s">
        <v>1353</v>
      </c>
      <c r="AE189" s="6" t="s">
        <v>1354</v>
      </c>
      <c r="AF189" s="6" t="s">
        <v>1557</v>
      </c>
      <c r="AG189" s="6"/>
      <c r="AH189" s="6"/>
      <c r="AI189" s="7"/>
      <c r="AJ189" s="7"/>
      <c r="AK189" s="7"/>
      <c r="AL189" s="7"/>
      <c r="AM189" s="7"/>
      <c r="AN189" s="7"/>
      <c r="AO189" s="7"/>
      <c r="AP189" s="7"/>
      <c r="AQ189" s="7"/>
      <c r="AR189" s="7"/>
      <c r="AS189" s="7"/>
      <c r="AT189" s="7"/>
      <c r="AU189" s="7"/>
      <c r="AV189" s="7"/>
      <c r="AW189" s="7"/>
      <c r="AX189" s="7"/>
      <c r="AY189" s="7"/>
      <c r="AZ189" s="7"/>
    </row>
    <row r="190" customFormat="false" ht="150" hidden="false" customHeight="true" outlineLevel="0" collapsed="false">
      <c r="A190" s="6" t="s">
        <v>1558</v>
      </c>
      <c r="B190" s="6" t="s">
        <v>1329</v>
      </c>
      <c r="C190" s="6" t="s">
        <v>76</v>
      </c>
      <c r="D190" s="6" t="s">
        <v>96</v>
      </c>
      <c r="E190" s="6" t="s">
        <v>97</v>
      </c>
      <c r="F190" s="6"/>
      <c r="G190" s="6" t="s">
        <v>165</v>
      </c>
      <c r="H190" s="6" t="s">
        <v>1330</v>
      </c>
      <c r="I190" s="6" t="s">
        <v>81</v>
      </c>
      <c r="J190" s="6" t="s">
        <v>621</v>
      </c>
      <c r="K190" s="6" t="s">
        <v>1544</v>
      </c>
      <c r="L190" s="6" t="s">
        <v>1545</v>
      </c>
      <c r="M190" s="6" t="s">
        <v>1546</v>
      </c>
      <c r="N190" s="6"/>
      <c r="O190" s="6"/>
      <c r="P190" s="6" t="s">
        <v>1422</v>
      </c>
      <c r="Q190" s="6"/>
      <c r="R190" s="6" t="s">
        <v>1547</v>
      </c>
      <c r="S190" s="6"/>
      <c r="T190" s="6"/>
      <c r="U190" s="6"/>
      <c r="V190" s="6"/>
      <c r="W190" s="6"/>
      <c r="X190" s="6"/>
      <c r="Y190" s="6"/>
      <c r="Z190" s="6"/>
      <c r="AA190" s="6" t="s">
        <v>89</v>
      </c>
      <c r="AB190" s="6" t="s">
        <v>1559</v>
      </c>
      <c r="AC190" s="6" t="s">
        <v>1358</v>
      </c>
      <c r="AD190" s="6" t="s">
        <v>1359</v>
      </c>
      <c r="AE190" s="6" t="s">
        <v>1360</v>
      </c>
      <c r="AF190" s="6" t="s">
        <v>1557</v>
      </c>
      <c r="AG190" s="6"/>
      <c r="AH190" s="6"/>
      <c r="AI190" s="7"/>
      <c r="AJ190" s="7"/>
      <c r="AK190" s="7"/>
      <c r="AL190" s="7"/>
      <c r="AM190" s="7"/>
      <c r="AN190" s="7"/>
      <c r="AO190" s="7"/>
      <c r="AP190" s="7"/>
      <c r="AQ190" s="7"/>
      <c r="AR190" s="7"/>
      <c r="AS190" s="7"/>
      <c r="AT190" s="7"/>
      <c r="AU190" s="7"/>
      <c r="AV190" s="7"/>
      <c r="AW190" s="7"/>
      <c r="AX190" s="7"/>
      <c r="AY190" s="7"/>
      <c r="AZ190" s="7"/>
    </row>
    <row r="191" customFormat="false" ht="150" hidden="false" customHeight="true" outlineLevel="0" collapsed="false">
      <c r="A191" s="6" t="s">
        <v>1560</v>
      </c>
      <c r="B191" s="6" t="s">
        <v>1329</v>
      </c>
      <c r="C191" s="6" t="s">
        <v>76</v>
      </c>
      <c r="D191" s="6" t="s">
        <v>96</v>
      </c>
      <c r="E191" s="6" t="s">
        <v>97</v>
      </c>
      <c r="F191" s="6"/>
      <c r="G191" s="6" t="s">
        <v>1362</v>
      </c>
      <c r="H191" s="6" t="s">
        <v>1330</v>
      </c>
      <c r="I191" s="6" t="s">
        <v>81</v>
      </c>
      <c r="J191" s="6" t="s">
        <v>621</v>
      </c>
      <c r="K191" s="6" t="s">
        <v>1544</v>
      </c>
      <c r="L191" s="6" t="s">
        <v>1545</v>
      </c>
      <c r="M191" s="6" t="s">
        <v>1546</v>
      </c>
      <c r="N191" s="6"/>
      <c r="O191" s="6"/>
      <c r="P191" s="6" t="s">
        <v>1422</v>
      </c>
      <c r="Q191" s="6"/>
      <c r="R191" s="6" t="s">
        <v>1547</v>
      </c>
      <c r="S191" s="6"/>
      <c r="T191" s="6"/>
      <c r="U191" s="6"/>
      <c r="V191" s="6"/>
      <c r="W191" s="6"/>
      <c r="X191" s="6"/>
      <c r="Y191" s="6"/>
      <c r="Z191" s="6"/>
      <c r="AA191" s="6" t="s">
        <v>89</v>
      </c>
      <c r="AB191" s="6" t="s">
        <v>1561</v>
      </c>
      <c r="AC191" s="6" t="s">
        <v>1364</v>
      </c>
      <c r="AD191" s="6" t="s">
        <v>1365</v>
      </c>
      <c r="AE191" s="6" t="s">
        <v>1366</v>
      </c>
      <c r="AF191" s="6" t="s">
        <v>1562</v>
      </c>
      <c r="AG191" s="6"/>
      <c r="AH191" s="6"/>
      <c r="AI191" s="7"/>
      <c r="AJ191" s="7"/>
      <c r="AK191" s="7"/>
      <c r="AL191" s="7"/>
      <c r="AM191" s="7"/>
      <c r="AN191" s="7"/>
      <c r="AO191" s="7"/>
      <c r="AP191" s="7"/>
      <c r="AQ191" s="7"/>
      <c r="AR191" s="7"/>
      <c r="AS191" s="7"/>
      <c r="AT191" s="7"/>
      <c r="AU191" s="7"/>
      <c r="AV191" s="7"/>
      <c r="AW191" s="7"/>
      <c r="AX191" s="7"/>
      <c r="AY191" s="7"/>
      <c r="AZ191" s="7"/>
    </row>
    <row r="192" customFormat="false" ht="150" hidden="false" customHeight="true" outlineLevel="0" collapsed="false">
      <c r="A192" s="6" t="s">
        <v>1563</v>
      </c>
      <c r="B192" s="6" t="s">
        <v>1329</v>
      </c>
      <c r="C192" s="6" t="s">
        <v>76</v>
      </c>
      <c r="D192" s="6" t="s">
        <v>96</v>
      </c>
      <c r="E192" s="6" t="s">
        <v>97</v>
      </c>
      <c r="F192" s="6"/>
      <c r="G192" s="6" t="s">
        <v>1362</v>
      </c>
      <c r="H192" s="6" t="s">
        <v>1330</v>
      </c>
      <c r="I192" s="6" t="s">
        <v>81</v>
      </c>
      <c r="J192" s="6" t="s">
        <v>621</v>
      </c>
      <c r="K192" s="6" t="s">
        <v>1544</v>
      </c>
      <c r="L192" s="6" t="s">
        <v>1545</v>
      </c>
      <c r="M192" s="6" t="s">
        <v>1546</v>
      </c>
      <c r="N192" s="6"/>
      <c r="O192" s="6"/>
      <c r="P192" s="6" t="s">
        <v>1422</v>
      </c>
      <c r="Q192" s="6"/>
      <c r="R192" s="6" t="s">
        <v>1547</v>
      </c>
      <c r="S192" s="6"/>
      <c r="T192" s="6"/>
      <c r="U192" s="6"/>
      <c r="V192" s="6"/>
      <c r="W192" s="6"/>
      <c r="X192" s="6"/>
      <c r="Y192" s="6"/>
      <c r="Z192" s="6"/>
      <c r="AA192" s="6" t="s">
        <v>89</v>
      </c>
      <c r="AB192" s="6" t="s">
        <v>1564</v>
      </c>
      <c r="AC192" s="6" t="s">
        <v>1370</v>
      </c>
      <c r="AD192" s="6" t="s">
        <v>1371</v>
      </c>
      <c r="AE192" s="6" t="s">
        <v>1372</v>
      </c>
      <c r="AF192" s="6" t="s">
        <v>1562</v>
      </c>
      <c r="AG192" s="6"/>
      <c r="AH192" s="6"/>
      <c r="AI192" s="7"/>
      <c r="AJ192" s="7"/>
      <c r="AK192" s="7"/>
      <c r="AL192" s="7"/>
      <c r="AM192" s="7"/>
      <c r="AN192" s="7"/>
      <c r="AO192" s="7"/>
      <c r="AP192" s="7"/>
      <c r="AQ192" s="7"/>
      <c r="AR192" s="7"/>
      <c r="AS192" s="7"/>
      <c r="AT192" s="7"/>
      <c r="AU192" s="7"/>
      <c r="AV192" s="7"/>
      <c r="AW192" s="7"/>
      <c r="AX192" s="7"/>
      <c r="AY192" s="7"/>
      <c r="AZ192" s="7"/>
    </row>
    <row r="193" customFormat="false" ht="150" hidden="false" customHeight="true" outlineLevel="0" collapsed="false">
      <c r="A193" s="6" t="s">
        <v>1565</v>
      </c>
      <c r="B193" s="6" t="s">
        <v>1329</v>
      </c>
      <c r="C193" s="6" t="s">
        <v>76</v>
      </c>
      <c r="D193" s="6" t="s">
        <v>96</v>
      </c>
      <c r="E193" s="6" t="s">
        <v>97</v>
      </c>
      <c r="F193" s="6"/>
      <c r="G193" s="6" t="s">
        <v>79</v>
      </c>
      <c r="H193" s="6" t="s">
        <v>1330</v>
      </c>
      <c r="I193" s="6" t="s">
        <v>81</v>
      </c>
      <c r="J193" s="6" t="s">
        <v>595</v>
      </c>
      <c r="K193" s="6" t="s">
        <v>1566</v>
      </c>
      <c r="L193" s="6" t="s">
        <v>1567</v>
      </c>
      <c r="M193" s="6" t="s">
        <v>1568</v>
      </c>
      <c r="N193" s="6"/>
      <c r="O193" s="6"/>
      <c r="P193" s="6" t="s">
        <v>397</v>
      </c>
      <c r="Q193" s="6" t="s">
        <v>338</v>
      </c>
      <c r="R193" s="6"/>
      <c r="S193" s="6"/>
      <c r="T193" s="6"/>
      <c r="U193" s="6"/>
      <c r="V193" s="6"/>
      <c r="W193" s="6"/>
      <c r="X193" s="6"/>
      <c r="Y193" s="6"/>
      <c r="Z193" s="6"/>
      <c r="AA193" s="6" t="s">
        <v>89</v>
      </c>
      <c r="AB193" s="6" t="s">
        <v>1569</v>
      </c>
      <c r="AC193" s="6" t="s">
        <v>1335</v>
      </c>
      <c r="AD193" s="6" t="s">
        <v>1336</v>
      </c>
      <c r="AE193" s="6" t="s">
        <v>1337</v>
      </c>
      <c r="AF193" s="6" t="s">
        <v>1570</v>
      </c>
      <c r="AG193" s="6"/>
      <c r="AH193" s="6"/>
      <c r="AI193" s="7"/>
      <c r="AJ193" s="7"/>
      <c r="AK193" s="7"/>
      <c r="AL193" s="7"/>
      <c r="AM193" s="7"/>
      <c r="AN193" s="7"/>
      <c r="AO193" s="7"/>
      <c r="AP193" s="7"/>
      <c r="AQ193" s="7"/>
      <c r="AR193" s="7"/>
      <c r="AS193" s="7"/>
      <c r="AT193" s="7"/>
      <c r="AU193" s="7"/>
      <c r="AV193" s="7"/>
      <c r="AW193" s="7"/>
      <c r="AX193" s="7"/>
      <c r="AY193" s="7"/>
      <c r="AZ193" s="7"/>
    </row>
    <row r="194" customFormat="false" ht="150" hidden="false" customHeight="true" outlineLevel="0" collapsed="false">
      <c r="A194" s="6" t="s">
        <v>1571</v>
      </c>
      <c r="B194" s="6" t="s">
        <v>1329</v>
      </c>
      <c r="C194" s="6" t="s">
        <v>76</v>
      </c>
      <c r="D194" s="6" t="s">
        <v>96</v>
      </c>
      <c r="E194" s="6" t="s">
        <v>97</v>
      </c>
      <c r="F194" s="6"/>
      <c r="G194" s="6" t="s">
        <v>98</v>
      </c>
      <c r="H194" s="6" t="s">
        <v>1330</v>
      </c>
      <c r="I194" s="6" t="s">
        <v>81</v>
      </c>
      <c r="J194" s="6" t="s">
        <v>621</v>
      </c>
      <c r="K194" s="6" t="s">
        <v>1566</v>
      </c>
      <c r="L194" s="6" t="s">
        <v>1567</v>
      </c>
      <c r="M194" s="6" t="s">
        <v>1568</v>
      </c>
      <c r="N194" s="6"/>
      <c r="O194" s="6"/>
      <c r="P194" s="6" t="s">
        <v>397</v>
      </c>
      <c r="Q194" s="6" t="s">
        <v>338</v>
      </c>
      <c r="R194" s="6"/>
      <c r="S194" s="6"/>
      <c r="T194" s="6"/>
      <c r="U194" s="6"/>
      <c r="V194" s="6"/>
      <c r="W194" s="6"/>
      <c r="X194" s="6"/>
      <c r="Y194" s="6"/>
      <c r="Z194" s="6"/>
      <c r="AA194" s="6" t="s">
        <v>89</v>
      </c>
      <c r="AB194" s="6" t="s">
        <v>1572</v>
      </c>
      <c r="AC194" s="6" t="s">
        <v>1341</v>
      </c>
      <c r="AD194" s="6" t="s">
        <v>1342</v>
      </c>
      <c r="AE194" s="6" t="s">
        <v>1343</v>
      </c>
      <c r="AF194" s="6" t="s">
        <v>1573</v>
      </c>
      <c r="AG194" s="6"/>
      <c r="AH194" s="6"/>
      <c r="AI194" s="7"/>
      <c r="AJ194" s="7"/>
      <c r="AK194" s="7"/>
      <c r="AL194" s="7"/>
      <c r="AM194" s="7"/>
      <c r="AN194" s="7"/>
      <c r="AO194" s="7"/>
      <c r="AP194" s="7"/>
      <c r="AQ194" s="7"/>
      <c r="AR194" s="7"/>
      <c r="AS194" s="7"/>
      <c r="AT194" s="7"/>
      <c r="AU194" s="7"/>
      <c r="AV194" s="7"/>
      <c r="AW194" s="7"/>
      <c r="AX194" s="7"/>
      <c r="AY194" s="7"/>
      <c r="AZ194" s="7"/>
    </row>
    <row r="195" customFormat="false" ht="150" hidden="false" customHeight="true" outlineLevel="0" collapsed="false">
      <c r="A195" s="6" t="s">
        <v>1574</v>
      </c>
      <c r="B195" s="6" t="s">
        <v>1329</v>
      </c>
      <c r="C195" s="6" t="s">
        <v>76</v>
      </c>
      <c r="D195" s="6" t="s">
        <v>96</v>
      </c>
      <c r="E195" s="6" t="s">
        <v>97</v>
      </c>
      <c r="F195" s="6"/>
      <c r="G195" s="6" t="s">
        <v>98</v>
      </c>
      <c r="H195" s="6" t="s">
        <v>1330</v>
      </c>
      <c r="I195" s="6" t="s">
        <v>81</v>
      </c>
      <c r="J195" s="6" t="s">
        <v>621</v>
      </c>
      <c r="K195" s="6" t="s">
        <v>1566</v>
      </c>
      <c r="L195" s="6" t="s">
        <v>1567</v>
      </c>
      <c r="M195" s="6" t="s">
        <v>1568</v>
      </c>
      <c r="N195" s="6"/>
      <c r="O195" s="6"/>
      <c r="P195" s="6" t="s">
        <v>397</v>
      </c>
      <c r="Q195" s="6" t="s">
        <v>338</v>
      </c>
      <c r="R195" s="6"/>
      <c r="S195" s="6"/>
      <c r="T195" s="6"/>
      <c r="U195" s="6"/>
      <c r="V195" s="6"/>
      <c r="W195" s="6"/>
      <c r="X195" s="6"/>
      <c r="Y195" s="6"/>
      <c r="Z195" s="6"/>
      <c r="AA195" s="6" t="s">
        <v>89</v>
      </c>
      <c r="AB195" s="6" t="s">
        <v>1575</v>
      </c>
      <c r="AC195" s="6" t="s">
        <v>1347</v>
      </c>
      <c r="AD195" s="6" t="s">
        <v>1348</v>
      </c>
      <c r="AE195" s="6" t="s">
        <v>1349</v>
      </c>
      <c r="AF195" s="6" t="s">
        <v>1573</v>
      </c>
      <c r="AG195" s="6"/>
      <c r="AH195" s="6"/>
      <c r="AI195" s="7"/>
      <c r="AJ195" s="7"/>
      <c r="AK195" s="7"/>
      <c r="AL195" s="7"/>
      <c r="AM195" s="7"/>
      <c r="AN195" s="7"/>
      <c r="AO195" s="7"/>
      <c r="AP195" s="7"/>
      <c r="AQ195" s="7"/>
      <c r="AR195" s="7"/>
      <c r="AS195" s="7"/>
      <c r="AT195" s="7"/>
      <c r="AU195" s="7"/>
      <c r="AV195" s="7"/>
      <c r="AW195" s="7"/>
      <c r="AX195" s="7"/>
      <c r="AY195" s="7"/>
      <c r="AZ195" s="7"/>
    </row>
    <row r="196" customFormat="false" ht="150" hidden="false" customHeight="true" outlineLevel="0" collapsed="false">
      <c r="A196" s="6" t="s">
        <v>1576</v>
      </c>
      <c r="B196" s="6" t="s">
        <v>1329</v>
      </c>
      <c r="C196" s="6" t="s">
        <v>76</v>
      </c>
      <c r="D196" s="6" t="s">
        <v>96</v>
      </c>
      <c r="E196" s="6" t="s">
        <v>97</v>
      </c>
      <c r="F196" s="6"/>
      <c r="G196" s="6" t="s">
        <v>165</v>
      </c>
      <c r="H196" s="6" t="s">
        <v>1330</v>
      </c>
      <c r="I196" s="6" t="s">
        <v>81</v>
      </c>
      <c r="J196" s="6" t="s">
        <v>621</v>
      </c>
      <c r="K196" s="6" t="s">
        <v>1566</v>
      </c>
      <c r="L196" s="6" t="s">
        <v>1567</v>
      </c>
      <c r="M196" s="6" t="s">
        <v>1568</v>
      </c>
      <c r="N196" s="6"/>
      <c r="O196" s="6"/>
      <c r="P196" s="6" t="s">
        <v>397</v>
      </c>
      <c r="Q196" s="6" t="s">
        <v>338</v>
      </c>
      <c r="R196" s="6"/>
      <c r="S196" s="6"/>
      <c r="T196" s="6"/>
      <c r="U196" s="6"/>
      <c r="V196" s="6"/>
      <c r="W196" s="6"/>
      <c r="X196" s="6"/>
      <c r="Y196" s="6"/>
      <c r="Z196" s="6"/>
      <c r="AA196" s="6" t="s">
        <v>89</v>
      </c>
      <c r="AB196" s="6" t="s">
        <v>1577</v>
      </c>
      <c r="AC196" s="6" t="s">
        <v>1352</v>
      </c>
      <c r="AD196" s="6" t="s">
        <v>1353</v>
      </c>
      <c r="AE196" s="6" t="s">
        <v>1354</v>
      </c>
      <c r="AF196" s="6" t="s">
        <v>1578</v>
      </c>
      <c r="AG196" s="6"/>
      <c r="AH196" s="6"/>
      <c r="AI196" s="7"/>
      <c r="AJ196" s="7"/>
      <c r="AK196" s="7"/>
      <c r="AL196" s="7"/>
      <c r="AM196" s="7"/>
      <c r="AN196" s="7"/>
      <c r="AO196" s="7"/>
      <c r="AP196" s="7"/>
      <c r="AQ196" s="7"/>
      <c r="AR196" s="7"/>
      <c r="AS196" s="7"/>
      <c r="AT196" s="7"/>
      <c r="AU196" s="7"/>
      <c r="AV196" s="7"/>
      <c r="AW196" s="7"/>
      <c r="AX196" s="7"/>
      <c r="AY196" s="7"/>
      <c r="AZ196" s="7"/>
    </row>
    <row r="197" customFormat="false" ht="150" hidden="false" customHeight="true" outlineLevel="0" collapsed="false">
      <c r="A197" s="6" t="s">
        <v>1579</v>
      </c>
      <c r="B197" s="6" t="s">
        <v>1329</v>
      </c>
      <c r="C197" s="6" t="s">
        <v>76</v>
      </c>
      <c r="D197" s="6" t="s">
        <v>96</v>
      </c>
      <c r="E197" s="6" t="s">
        <v>97</v>
      </c>
      <c r="F197" s="6"/>
      <c r="G197" s="6" t="s">
        <v>165</v>
      </c>
      <c r="H197" s="6" t="s">
        <v>1330</v>
      </c>
      <c r="I197" s="6" t="s">
        <v>81</v>
      </c>
      <c r="J197" s="6" t="s">
        <v>621</v>
      </c>
      <c r="K197" s="6" t="s">
        <v>1566</v>
      </c>
      <c r="L197" s="6" t="s">
        <v>1567</v>
      </c>
      <c r="M197" s="6" t="s">
        <v>1568</v>
      </c>
      <c r="N197" s="6"/>
      <c r="O197" s="6"/>
      <c r="P197" s="6" t="s">
        <v>397</v>
      </c>
      <c r="Q197" s="6" t="s">
        <v>338</v>
      </c>
      <c r="R197" s="6"/>
      <c r="S197" s="6"/>
      <c r="T197" s="6"/>
      <c r="U197" s="6"/>
      <c r="V197" s="6"/>
      <c r="W197" s="6"/>
      <c r="X197" s="6"/>
      <c r="Y197" s="6"/>
      <c r="Z197" s="6"/>
      <c r="AA197" s="6" t="s">
        <v>89</v>
      </c>
      <c r="AB197" s="6" t="s">
        <v>1580</v>
      </c>
      <c r="AC197" s="6" t="s">
        <v>1358</v>
      </c>
      <c r="AD197" s="6" t="s">
        <v>1359</v>
      </c>
      <c r="AE197" s="6" t="s">
        <v>1360</v>
      </c>
      <c r="AF197" s="6" t="s">
        <v>1578</v>
      </c>
      <c r="AG197" s="6"/>
      <c r="AH197" s="6"/>
      <c r="AI197" s="7"/>
      <c r="AJ197" s="7"/>
      <c r="AK197" s="7"/>
      <c r="AL197" s="7"/>
      <c r="AM197" s="7"/>
      <c r="AN197" s="7"/>
      <c r="AO197" s="7"/>
      <c r="AP197" s="7"/>
      <c r="AQ197" s="7"/>
      <c r="AR197" s="7"/>
      <c r="AS197" s="7"/>
      <c r="AT197" s="7"/>
      <c r="AU197" s="7"/>
      <c r="AV197" s="7"/>
      <c r="AW197" s="7"/>
      <c r="AX197" s="7"/>
      <c r="AY197" s="7"/>
      <c r="AZ197" s="7"/>
    </row>
    <row r="198" customFormat="false" ht="150" hidden="false" customHeight="true" outlineLevel="0" collapsed="false">
      <c r="A198" s="6" t="s">
        <v>1581</v>
      </c>
      <c r="B198" s="6" t="s">
        <v>1329</v>
      </c>
      <c r="C198" s="6" t="s">
        <v>76</v>
      </c>
      <c r="D198" s="6" t="s">
        <v>96</v>
      </c>
      <c r="E198" s="6" t="s">
        <v>97</v>
      </c>
      <c r="F198" s="6"/>
      <c r="G198" s="6" t="s">
        <v>1362</v>
      </c>
      <c r="H198" s="6" t="s">
        <v>1330</v>
      </c>
      <c r="I198" s="6" t="s">
        <v>81</v>
      </c>
      <c r="J198" s="6" t="s">
        <v>621</v>
      </c>
      <c r="K198" s="6" t="s">
        <v>1566</v>
      </c>
      <c r="L198" s="6" t="s">
        <v>1567</v>
      </c>
      <c r="M198" s="6" t="s">
        <v>1568</v>
      </c>
      <c r="N198" s="6"/>
      <c r="O198" s="6"/>
      <c r="P198" s="6" t="s">
        <v>397</v>
      </c>
      <c r="Q198" s="6" t="s">
        <v>338</v>
      </c>
      <c r="R198" s="6"/>
      <c r="S198" s="6"/>
      <c r="T198" s="6"/>
      <c r="U198" s="6"/>
      <c r="V198" s="6"/>
      <c r="W198" s="6"/>
      <c r="X198" s="6"/>
      <c r="Y198" s="6"/>
      <c r="Z198" s="6"/>
      <c r="AA198" s="6" t="s">
        <v>89</v>
      </c>
      <c r="AB198" s="6" t="s">
        <v>1582</v>
      </c>
      <c r="AC198" s="6" t="s">
        <v>1364</v>
      </c>
      <c r="AD198" s="6" t="s">
        <v>1365</v>
      </c>
      <c r="AE198" s="6" t="s">
        <v>1366</v>
      </c>
      <c r="AF198" s="6" t="s">
        <v>1583</v>
      </c>
      <c r="AG198" s="6"/>
      <c r="AH198" s="6"/>
      <c r="AI198" s="7"/>
      <c r="AJ198" s="7"/>
      <c r="AK198" s="7"/>
      <c r="AL198" s="7"/>
      <c r="AM198" s="7"/>
      <c r="AN198" s="7"/>
      <c r="AO198" s="7"/>
      <c r="AP198" s="7"/>
      <c r="AQ198" s="7"/>
      <c r="AR198" s="7"/>
      <c r="AS198" s="7"/>
      <c r="AT198" s="7"/>
      <c r="AU198" s="7"/>
      <c r="AV198" s="7"/>
      <c r="AW198" s="7"/>
      <c r="AX198" s="7"/>
      <c r="AY198" s="7"/>
      <c r="AZ198" s="7"/>
    </row>
    <row r="199" customFormat="false" ht="150" hidden="false" customHeight="true" outlineLevel="0" collapsed="false">
      <c r="A199" s="6" t="s">
        <v>1584</v>
      </c>
      <c r="B199" s="6" t="s">
        <v>1329</v>
      </c>
      <c r="C199" s="6" t="s">
        <v>76</v>
      </c>
      <c r="D199" s="6" t="s">
        <v>96</v>
      </c>
      <c r="E199" s="6" t="s">
        <v>97</v>
      </c>
      <c r="F199" s="6"/>
      <c r="G199" s="6" t="s">
        <v>1362</v>
      </c>
      <c r="H199" s="6" t="s">
        <v>1330</v>
      </c>
      <c r="I199" s="6" t="s">
        <v>81</v>
      </c>
      <c r="J199" s="6" t="s">
        <v>621</v>
      </c>
      <c r="K199" s="6" t="s">
        <v>1566</v>
      </c>
      <c r="L199" s="6" t="s">
        <v>1567</v>
      </c>
      <c r="M199" s="6" t="s">
        <v>1568</v>
      </c>
      <c r="N199" s="6"/>
      <c r="O199" s="6"/>
      <c r="P199" s="6" t="s">
        <v>397</v>
      </c>
      <c r="Q199" s="6" t="s">
        <v>338</v>
      </c>
      <c r="R199" s="6"/>
      <c r="S199" s="6"/>
      <c r="T199" s="6"/>
      <c r="U199" s="6"/>
      <c r="V199" s="6"/>
      <c r="W199" s="6"/>
      <c r="X199" s="6"/>
      <c r="Y199" s="6"/>
      <c r="Z199" s="6"/>
      <c r="AA199" s="6" t="s">
        <v>89</v>
      </c>
      <c r="AB199" s="6" t="s">
        <v>1585</v>
      </c>
      <c r="AC199" s="6" t="s">
        <v>1370</v>
      </c>
      <c r="AD199" s="6" t="s">
        <v>1371</v>
      </c>
      <c r="AE199" s="6" t="s">
        <v>1372</v>
      </c>
      <c r="AF199" s="6" t="s">
        <v>1583</v>
      </c>
      <c r="AG199" s="6"/>
      <c r="AH199" s="6"/>
      <c r="AI199" s="7"/>
      <c r="AJ199" s="7"/>
      <c r="AK199" s="7"/>
      <c r="AL199" s="7"/>
      <c r="AM199" s="7"/>
      <c r="AN199" s="7"/>
      <c r="AO199" s="7"/>
      <c r="AP199" s="7"/>
      <c r="AQ199" s="7"/>
      <c r="AR199" s="7"/>
      <c r="AS199" s="7"/>
      <c r="AT199" s="7"/>
      <c r="AU199" s="7"/>
      <c r="AV199" s="7"/>
      <c r="AW199" s="7"/>
      <c r="AX199" s="7"/>
      <c r="AY199" s="7"/>
      <c r="AZ199" s="7"/>
    </row>
    <row r="200" customFormat="false" ht="150" hidden="false" customHeight="true" outlineLevel="0" collapsed="false">
      <c r="A200" s="6" t="s">
        <v>1586</v>
      </c>
      <c r="B200" s="6" t="s">
        <v>1329</v>
      </c>
      <c r="C200" s="6" t="s">
        <v>76</v>
      </c>
      <c r="D200" s="6" t="s">
        <v>96</v>
      </c>
      <c r="E200" s="6" t="s">
        <v>97</v>
      </c>
      <c r="F200" s="6"/>
      <c r="G200" s="6" t="s">
        <v>79</v>
      </c>
      <c r="H200" s="6" t="s">
        <v>1330</v>
      </c>
      <c r="I200" s="6" t="s">
        <v>81</v>
      </c>
      <c r="J200" s="6" t="s">
        <v>595</v>
      </c>
      <c r="K200" s="6" t="s">
        <v>1587</v>
      </c>
      <c r="L200" s="6" t="s">
        <v>1588</v>
      </c>
      <c r="M200" s="6" t="s">
        <v>1589</v>
      </c>
      <c r="N200" s="6"/>
      <c r="O200" s="6"/>
      <c r="P200" s="6" t="s">
        <v>1590</v>
      </c>
      <c r="Q200" s="6" t="s">
        <v>771</v>
      </c>
      <c r="R200" s="6" t="s">
        <v>772</v>
      </c>
      <c r="S200" s="6"/>
      <c r="T200" s="6"/>
      <c r="U200" s="6"/>
      <c r="V200" s="6"/>
      <c r="W200" s="6"/>
      <c r="X200" s="6"/>
      <c r="Y200" s="6"/>
      <c r="Z200" s="6"/>
      <c r="AA200" s="6" t="s">
        <v>89</v>
      </c>
      <c r="AB200" s="6" t="s">
        <v>1591</v>
      </c>
      <c r="AC200" s="6" t="s">
        <v>1335</v>
      </c>
      <c r="AD200" s="6" t="s">
        <v>1336</v>
      </c>
      <c r="AE200" s="6" t="s">
        <v>1337</v>
      </c>
      <c r="AF200" s="6" t="s">
        <v>1592</v>
      </c>
      <c r="AG200" s="6"/>
      <c r="AH200" s="6"/>
      <c r="AI200" s="7"/>
      <c r="AJ200" s="7"/>
      <c r="AK200" s="7"/>
      <c r="AL200" s="7"/>
      <c r="AM200" s="7"/>
      <c r="AN200" s="7"/>
      <c r="AO200" s="7"/>
      <c r="AP200" s="7"/>
      <c r="AQ200" s="7"/>
      <c r="AR200" s="7"/>
      <c r="AS200" s="7"/>
      <c r="AT200" s="7"/>
      <c r="AU200" s="7"/>
      <c r="AV200" s="7"/>
      <c r="AW200" s="7"/>
      <c r="AX200" s="7"/>
      <c r="AY200" s="7"/>
      <c r="AZ200" s="7"/>
    </row>
    <row r="201" customFormat="false" ht="150" hidden="false" customHeight="true" outlineLevel="0" collapsed="false">
      <c r="A201" s="6" t="s">
        <v>1593</v>
      </c>
      <c r="B201" s="6" t="s">
        <v>1329</v>
      </c>
      <c r="C201" s="6" t="s">
        <v>76</v>
      </c>
      <c r="D201" s="6" t="s">
        <v>96</v>
      </c>
      <c r="E201" s="6" t="s">
        <v>97</v>
      </c>
      <c r="F201" s="6"/>
      <c r="G201" s="6" t="s">
        <v>98</v>
      </c>
      <c r="H201" s="6" t="s">
        <v>1330</v>
      </c>
      <c r="I201" s="6" t="s">
        <v>81</v>
      </c>
      <c r="J201" s="6" t="s">
        <v>621</v>
      </c>
      <c r="K201" s="6" t="s">
        <v>1587</v>
      </c>
      <c r="L201" s="6" t="s">
        <v>1588</v>
      </c>
      <c r="M201" s="6" t="s">
        <v>1589</v>
      </c>
      <c r="N201" s="6"/>
      <c r="O201" s="6"/>
      <c r="P201" s="6" t="s">
        <v>1590</v>
      </c>
      <c r="Q201" s="6" t="s">
        <v>771</v>
      </c>
      <c r="R201" s="6" t="s">
        <v>772</v>
      </c>
      <c r="S201" s="6"/>
      <c r="T201" s="6"/>
      <c r="U201" s="6"/>
      <c r="V201" s="6"/>
      <c r="W201" s="6"/>
      <c r="X201" s="6"/>
      <c r="Y201" s="6"/>
      <c r="Z201" s="6"/>
      <c r="AA201" s="6" t="s">
        <v>89</v>
      </c>
      <c r="AB201" s="6" t="s">
        <v>1594</v>
      </c>
      <c r="AC201" s="6" t="s">
        <v>1341</v>
      </c>
      <c r="AD201" s="6" t="s">
        <v>1342</v>
      </c>
      <c r="AE201" s="6" t="s">
        <v>1343</v>
      </c>
      <c r="AF201" s="6" t="s">
        <v>1595</v>
      </c>
      <c r="AG201" s="6"/>
      <c r="AH201" s="6"/>
      <c r="AI201" s="7"/>
      <c r="AJ201" s="7"/>
      <c r="AK201" s="7"/>
      <c r="AL201" s="7"/>
      <c r="AM201" s="7"/>
      <c r="AN201" s="7"/>
      <c r="AO201" s="7"/>
      <c r="AP201" s="7"/>
      <c r="AQ201" s="7"/>
      <c r="AR201" s="7"/>
      <c r="AS201" s="7"/>
      <c r="AT201" s="7"/>
      <c r="AU201" s="7"/>
      <c r="AV201" s="7"/>
      <c r="AW201" s="7"/>
      <c r="AX201" s="7"/>
      <c r="AY201" s="7"/>
      <c r="AZ201" s="7"/>
    </row>
    <row r="202" customFormat="false" ht="150" hidden="false" customHeight="true" outlineLevel="0" collapsed="false">
      <c r="A202" s="6" t="s">
        <v>1596</v>
      </c>
      <c r="B202" s="6" t="s">
        <v>1329</v>
      </c>
      <c r="C202" s="6" t="s">
        <v>76</v>
      </c>
      <c r="D202" s="6" t="s">
        <v>96</v>
      </c>
      <c r="E202" s="6" t="s">
        <v>97</v>
      </c>
      <c r="F202" s="6"/>
      <c r="G202" s="6" t="s">
        <v>98</v>
      </c>
      <c r="H202" s="6" t="s">
        <v>1330</v>
      </c>
      <c r="I202" s="6" t="s">
        <v>81</v>
      </c>
      <c r="J202" s="6" t="s">
        <v>621</v>
      </c>
      <c r="K202" s="6" t="s">
        <v>1587</v>
      </c>
      <c r="L202" s="6" t="s">
        <v>1588</v>
      </c>
      <c r="M202" s="6" t="s">
        <v>1589</v>
      </c>
      <c r="N202" s="6"/>
      <c r="O202" s="6"/>
      <c r="P202" s="6" t="s">
        <v>1590</v>
      </c>
      <c r="Q202" s="6" t="s">
        <v>771</v>
      </c>
      <c r="R202" s="6" t="s">
        <v>772</v>
      </c>
      <c r="S202" s="6"/>
      <c r="T202" s="6"/>
      <c r="U202" s="6"/>
      <c r="V202" s="6"/>
      <c r="W202" s="6"/>
      <c r="X202" s="6"/>
      <c r="Y202" s="6"/>
      <c r="Z202" s="6"/>
      <c r="AA202" s="6" t="s">
        <v>89</v>
      </c>
      <c r="AB202" s="6" t="s">
        <v>1597</v>
      </c>
      <c r="AC202" s="6" t="s">
        <v>1347</v>
      </c>
      <c r="AD202" s="6" t="s">
        <v>1348</v>
      </c>
      <c r="AE202" s="6" t="s">
        <v>1349</v>
      </c>
      <c r="AF202" s="6" t="s">
        <v>1595</v>
      </c>
      <c r="AG202" s="6"/>
      <c r="AH202" s="6"/>
      <c r="AI202" s="7"/>
      <c r="AJ202" s="7"/>
      <c r="AK202" s="7"/>
      <c r="AL202" s="7"/>
      <c r="AM202" s="7"/>
      <c r="AN202" s="7"/>
      <c r="AO202" s="7"/>
      <c r="AP202" s="7"/>
      <c r="AQ202" s="7"/>
      <c r="AR202" s="7"/>
      <c r="AS202" s="7"/>
      <c r="AT202" s="7"/>
      <c r="AU202" s="7"/>
      <c r="AV202" s="7"/>
      <c r="AW202" s="7"/>
      <c r="AX202" s="7"/>
      <c r="AY202" s="7"/>
      <c r="AZ202" s="7"/>
    </row>
    <row r="203" customFormat="false" ht="150" hidden="false" customHeight="true" outlineLevel="0" collapsed="false">
      <c r="A203" s="6" t="s">
        <v>1598</v>
      </c>
      <c r="B203" s="6" t="s">
        <v>1329</v>
      </c>
      <c r="C203" s="6" t="s">
        <v>76</v>
      </c>
      <c r="D203" s="6" t="s">
        <v>96</v>
      </c>
      <c r="E203" s="6" t="s">
        <v>97</v>
      </c>
      <c r="F203" s="6"/>
      <c r="G203" s="6" t="s">
        <v>165</v>
      </c>
      <c r="H203" s="6" t="s">
        <v>1330</v>
      </c>
      <c r="I203" s="6" t="s">
        <v>81</v>
      </c>
      <c r="J203" s="6" t="s">
        <v>621</v>
      </c>
      <c r="K203" s="6" t="s">
        <v>1587</v>
      </c>
      <c r="L203" s="6" t="s">
        <v>1588</v>
      </c>
      <c r="M203" s="6" t="s">
        <v>1589</v>
      </c>
      <c r="N203" s="6"/>
      <c r="O203" s="6"/>
      <c r="P203" s="6" t="s">
        <v>1590</v>
      </c>
      <c r="Q203" s="6" t="s">
        <v>771</v>
      </c>
      <c r="R203" s="6" t="s">
        <v>772</v>
      </c>
      <c r="S203" s="6"/>
      <c r="T203" s="6"/>
      <c r="U203" s="6"/>
      <c r="V203" s="6"/>
      <c r="W203" s="6"/>
      <c r="X203" s="6"/>
      <c r="Y203" s="6"/>
      <c r="Z203" s="6"/>
      <c r="AA203" s="6" t="s">
        <v>89</v>
      </c>
      <c r="AB203" s="6" t="s">
        <v>1599</v>
      </c>
      <c r="AC203" s="6" t="s">
        <v>1352</v>
      </c>
      <c r="AD203" s="6" t="s">
        <v>1353</v>
      </c>
      <c r="AE203" s="6" t="s">
        <v>1354</v>
      </c>
      <c r="AF203" s="6" t="s">
        <v>1600</v>
      </c>
      <c r="AG203" s="6"/>
      <c r="AH203" s="6"/>
      <c r="AI203" s="7"/>
      <c r="AJ203" s="7"/>
      <c r="AK203" s="7"/>
      <c r="AL203" s="7"/>
      <c r="AM203" s="7"/>
      <c r="AN203" s="7"/>
      <c r="AO203" s="7"/>
      <c r="AP203" s="7"/>
      <c r="AQ203" s="7"/>
      <c r="AR203" s="7"/>
      <c r="AS203" s="7"/>
      <c r="AT203" s="7"/>
      <c r="AU203" s="7"/>
      <c r="AV203" s="7"/>
      <c r="AW203" s="7"/>
      <c r="AX203" s="7"/>
      <c r="AY203" s="7"/>
      <c r="AZ203" s="7"/>
    </row>
    <row r="204" customFormat="false" ht="150" hidden="false" customHeight="true" outlineLevel="0" collapsed="false">
      <c r="A204" s="6" t="s">
        <v>1601</v>
      </c>
      <c r="B204" s="6" t="s">
        <v>1329</v>
      </c>
      <c r="C204" s="6" t="s">
        <v>76</v>
      </c>
      <c r="D204" s="6" t="s">
        <v>96</v>
      </c>
      <c r="E204" s="6" t="s">
        <v>97</v>
      </c>
      <c r="F204" s="6"/>
      <c r="G204" s="6" t="s">
        <v>165</v>
      </c>
      <c r="H204" s="6" t="s">
        <v>1330</v>
      </c>
      <c r="I204" s="6" t="s">
        <v>81</v>
      </c>
      <c r="J204" s="6" t="s">
        <v>621</v>
      </c>
      <c r="K204" s="6" t="s">
        <v>1587</v>
      </c>
      <c r="L204" s="6" t="s">
        <v>1588</v>
      </c>
      <c r="M204" s="6" t="s">
        <v>1589</v>
      </c>
      <c r="N204" s="6"/>
      <c r="O204" s="6"/>
      <c r="P204" s="6" t="s">
        <v>1590</v>
      </c>
      <c r="Q204" s="6" t="s">
        <v>771</v>
      </c>
      <c r="R204" s="6" t="s">
        <v>772</v>
      </c>
      <c r="S204" s="6"/>
      <c r="T204" s="6"/>
      <c r="U204" s="6"/>
      <c r="V204" s="6"/>
      <c r="W204" s="6"/>
      <c r="X204" s="6"/>
      <c r="Y204" s="6"/>
      <c r="Z204" s="6"/>
      <c r="AA204" s="6" t="s">
        <v>89</v>
      </c>
      <c r="AB204" s="6" t="s">
        <v>1602</v>
      </c>
      <c r="AC204" s="6" t="s">
        <v>1358</v>
      </c>
      <c r="AD204" s="6" t="s">
        <v>1359</v>
      </c>
      <c r="AE204" s="6" t="s">
        <v>1360</v>
      </c>
      <c r="AF204" s="6" t="s">
        <v>1600</v>
      </c>
      <c r="AG204" s="6"/>
      <c r="AH204" s="6"/>
      <c r="AI204" s="7"/>
      <c r="AJ204" s="7"/>
      <c r="AK204" s="7"/>
      <c r="AL204" s="7"/>
      <c r="AM204" s="7"/>
      <c r="AN204" s="7"/>
      <c r="AO204" s="7"/>
      <c r="AP204" s="7"/>
      <c r="AQ204" s="7"/>
      <c r="AR204" s="7"/>
      <c r="AS204" s="7"/>
      <c r="AT204" s="7"/>
      <c r="AU204" s="7"/>
      <c r="AV204" s="7"/>
      <c r="AW204" s="7"/>
      <c r="AX204" s="7"/>
      <c r="AY204" s="7"/>
      <c r="AZ204" s="7"/>
    </row>
    <row r="205" customFormat="false" ht="150" hidden="false" customHeight="true" outlineLevel="0" collapsed="false">
      <c r="A205" s="6" t="s">
        <v>1603</v>
      </c>
      <c r="B205" s="6" t="s">
        <v>1329</v>
      </c>
      <c r="C205" s="6" t="s">
        <v>76</v>
      </c>
      <c r="D205" s="6" t="s">
        <v>96</v>
      </c>
      <c r="E205" s="6" t="s">
        <v>97</v>
      </c>
      <c r="F205" s="6"/>
      <c r="G205" s="6" t="s">
        <v>1362</v>
      </c>
      <c r="H205" s="6" t="s">
        <v>1330</v>
      </c>
      <c r="I205" s="6" t="s">
        <v>81</v>
      </c>
      <c r="J205" s="6" t="s">
        <v>621</v>
      </c>
      <c r="K205" s="6" t="s">
        <v>1587</v>
      </c>
      <c r="L205" s="6" t="s">
        <v>1588</v>
      </c>
      <c r="M205" s="6" t="s">
        <v>1589</v>
      </c>
      <c r="N205" s="6"/>
      <c r="O205" s="6"/>
      <c r="P205" s="6" t="s">
        <v>1590</v>
      </c>
      <c r="Q205" s="6" t="s">
        <v>771</v>
      </c>
      <c r="R205" s="6" t="s">
        <v>772</v>
      </c>
      <c r="S205" s="6"/>
      <c r="T205" s="6"/>
      <c r="U205" s="6"/>
      <c r="V205" s="6"/>
      <c r="W205" s="6"/>
      <c r="X205" s="6"/>
      <c r="Y205" s="6"/>
      <c r="Z205" s="6"/>
      <c r="AA205" s="6" t="s">
        <v>89</v>
      </c>
      <c r="AB205" s="6" t="s">
        <v>1604</v>
      </c>
      <c r="AC205" s="6" t="s">
        <v>1364</v>
      </c>
      <c r="AD205" s="6" t="s">
        <v>1365</v>
      </c>
      <c r="AE205" s="6" t="s">
        <v>1366</v>
      </c>
      <c r="AF205" s="6" t="s">
        <v>1605</v>
      </c>
      <c r="AG205" s="6"/>
      <c r="AH205" s="6"/>
      <c r="AI205" s="7"/>
      <c r="AJ205" s="7"/>
      <c r="AK205" s="7"/>
      <c r="AL205" s="7"/>
      <c r="AM205" s="7"/>
      <c r="AN205" s="7"/>
      <c r="AO205" s="7"/>
      <c r="AP205" s="7"/>
      <c r="AQ205" s="7"/>
      <c r="AR205" s="7"/>
      <c r="AS205" s="7"/>
      <c r="AT205" s="7"/>
      <c r="AU205" s="7"/>
      <c r="AV205" s="7"/>
      <c r="AW205" s="7"/>
      <c r="AX205" s="7"/>
      <c r="AY205" s="7"/>
      <c r="AZ205" s="7"/>
    </row>
    <row r="206" customFormat="false" ht="150" hidden="false" customHeight="true" outlineLevel="0" collapsed="false">
      <c r="A206" s="6" t="s">
        <v>1606</v>
      </c>
      <c r="B206" s="6" t="s">
        <v>1329</v>
      </c>
      <c r="C206" s="6" t="s">
        <v>76</v>
      </c>
      <c r="D206" s="6" t="s">
        <v>96</v>
      </c>
      <c r="E206" s="6" t="s">
        <v>97</v>
      </c>
      <c r="F206" s="6"/>
      <c r="G206" s="6" t="s">
        <v>1362</v>
      </c>
      <c r="H206" s="6" t="s">
        <v>1330</v>
      </c>
      <c r="I206" s="6" t="s">
        <v>81</v>
      </c>
      <c r="J206" s="6" t="s">
        <v>621</v>
      </c>
      <c r="K206" s="6" t="s">
        <v>1587</v>
      </c>
      <c r="L206" s="6" t="s">
        <v>1588</v>
      </c>
      <c r="M206" s="6" t="s">
        <v>1589</v>
      </c>
      <c r="N206" s="6"/>
      <c r="O206" s="6"/>
      <c r="P206" s="6" t="s">
        <v>1590</v>
      </c>
      <c r="Q206" s="6" t="s">
        <v>771</v>
      </c>
      <c r="R206" s="6" t="s">
        <v>772</v>
      </c>
      <c r="S206" s="6"/>
      <c r="T206" s="6"/>
      <c r="U206" s="6"/>
      <c r="V206" s="6"/>
      <c r="W206" s="6"/>
      <c r="X206" s="6"/>
      <c r="Y206" s="6"/>
      <c r="Z206" s="6"/>
      <c r="AA206" s="6" t="s">
        <v>89</v>
      </c>
      <c r="AB206" s="6" t="s">
        <v>1607</v>
      </c>
      <c r="AC206" s="6" t="s">
        <v>1370</v>
      </c>
      <c r="AD206" s="6" t="s">
        <v>1371</v>
      </c>
      <c r="AE206" s="6" t="s">
        <v>1372</v>
      </c>
      <c r="AF206" s="6" t="s">
        <v>1605</v>
      </c>
      <c r="AG206" s="6"/>
      <c r="AH206" s="6"/>
      <c r="AI206" s="7"/>
      <c r="AJ206" s="7"/>
      <c r="AK206" s="7"/>
      <c r="AL206" s="7"/>
      <c r="AM206" s="7"/>
      <c r="AN206" s="7"/>
      <c r="AO206" s="7"/>
      <c r="AP206" s="7"/>
      <c r="AQ206" s="7"/>
      <c r="AR206" s="7"/>
      <c r="AS206" s="7"/>
      <c r="AT206" s="7"/>
      <c r="AU206" s="7"/>
      <c r="AV206" s="7"/>
      <c r="AW206" s="7"/>
      <c r="AX206" s="7"/>
      <c r="AY206" s="7"/>
      <c r="AZ206" s="7"/>
    </row>
    <row r="207" customFormat="false" ht="150" hidden="false" customHeight="true" outlineLevel="0" collapsed="false">
      <c r="A207" s="6" t="s">
        <v>1608</v>
      </c>
      <c r="B207" s="6" t="s">
        <v>1329</v>
      </c>
      <c r="C207" s="6" t="s">
        <v>76</v>
      </c>
      <c r="D207" s="6" t="s">
        <v>110</v>
      </c>
      <c r="E207" s="6" t="s">
        <v>111</v>
      </c>
      <c r="F207" s="6"/>
      <c r="G207" s="6" t="s">
        <v>79</v>
      </c>
      <c r="H207" s="6" t="s">
        <v>1330</v>
      </c>
      <c r="I207" s="6" t="s">
        <v>81</v>
      </c>
      <c r="J207" s="6" t="s">
        <v>595</v>
      </c>
      <c r="K207" s="6" t="s">
        <v>1609</v>
      </c>
      <c r="L207" s="6" t="s">
        <v>1610</v>
      </c>
      <c r="M207" s="6" t="s">
        <v>1611</v>
      </c>
      <c r="N207" s="6"/>
      <c r="O207" s="6"/>
      <c r="P207" s="6" t="s">
        <v>211</v>
      </c>
      <c r="Q207" s="6" t="s">
        <v>212</v>
      </c>
      <c r="R207" s="6" t="s">
        <v>1612</v>
      </c>
      <c r="S207" s="6"/>
      <c r="T207" s="6"/>
      <c r="U207" s="6"/>
      <c r="V207" s="6"/>
      <c r="W207" s="6"/>
      <c r="X207" s="6"/>
      <c r="Y207" s="6"/>
      <c r="Z207" s="6"/>
      <c r="AA207" s="6" t="s">
        <v>89</v>
      </c>
      <c r="AB207" s="6" t="s">
        <v>1613</v>
      </c>
      <c r="AC207" s="6" t="s">
        <v>1335</v>
      </c>
      <c r="AD207" s="6" t="s">
        <v>1336</v>
      </c>
      <c r="AE207" s="6" t="s">
        <v>1337</v>
      </c>
      <c r="AF207" s="6" t="s">
        <v>1614</v>
      </c>
      <c r="AG207" s="6"/>
      <c r="AH207" s="6"/>
      <c r="AI207" s="7"/>
      <c r="AJ207" s="7"/>
      <c r="AK207" s="7"/>
      <c r="AL207" s="7"/>
      <c r="AM207" s="7"/>
      <c r="AN207" s="7"/>
      <c r="AO207" s="7"/>
      <c r="AP207" s="7"/>
      <c r="AQ207" s="7"/>
      <c r="AR207" s="7"/>
      <c r="AS207" s="7"/>
      <c r="AT207" s="7"/>
      <c r="AU207" s="7"/>
      <c r="AV207" s="7"/>
      <c r="AW207" s="7"/>
      <c r="AX207" s="7"/>
      <c r="AY207" s="7"/>
      <c r="AZ207" s="7"/>
    </row>
    <row r="208" customFormat="false" ht="150" hidden="false" customHeight="true" outlineLevel="0" collapsed="false">
      <c r="A208" s="6" t="s">
        <v>1615</v>
      </c>
      <c r="B208" s="6" t="s">
        <v>1329</v>
      </c>
      <c r="C208" s="6" t="s">
        <v>76</v>
      </c>
      <c r="D208" s="6" t="s">
        <v>110</v>
      </c>
      <c r="E208" s="6" t="s">
        <v>111</v>
      </c>
      <c r="F208" s="6"/>
      <c r="G208" s="6" t="s">
        <v>98</v>
      </c>
      <c r="H208" s="6" t="s">
        <v>1330</v>
      </c>
      <c r="I208" s="6" t="s">
        <v>81</v>
      </c>
      <c r="J208" s="6" t="s">
        <v>621</v>
      </c>
      <c r="K208" s="6" t="s">
        <v>1609</v>
      </c>
      <c r="L208" s="6" t="s">
        <v>1610</v>
      </c>
      <c r="M208" s="6" t="s">
        <v>1611</v>
      </c>
      <c r="N208" s="6"/>
      <c r="O208" s="6"/>
      <c r="P208" s="6" t="s">
        <v>211</v>
      </c>
      <c r="Q208" s="6" t="s">
        <v>212</v>
      </c>
      <c r="R208" s="6" t="s">
        <v>1612</v>
      </c>
      <c r="S208" s="6"/>
      <c r="T208" s="6"/>
      <c r="U208" s="6"/>
      <c r="V208" s="6"/>
      <c r="W208" s="6"/>
      <c r="X208" s="6"/>
      <c r="Y208" s="6"/>
      <c r="Z208" s="6"/>
      <c r="AA208" s="6" t="s">
        <v>89</v>
      </c>
      <c r="AB208" s="6" t="s">
        <v>1616</v>
      </c>
      <c r="AC208" s="6" t="s">
        <v>1341</v>
      </c>
      <c r="AD208" s="6" t="s">
        <v>1342</v>
      </c>
      <c r="AE208" s="6" t="s">
        <v>1343</v>
      </c>
      <c r="AF208" s="6" t="s">
        <v>1617</v>
      </c>
      <c r="AG208" s="6"/>
      <c r="AH208" s="6"/>
      <c r="AI208" s="7"/>
      <c r="AJ208" s="7"/>
      <c r="AK208" s="7"/>
      <c r="AL208" s="7"/>
      <c r="AM208" s="7"/>
      <c r="AN208" s="7"/>
      <c r="AO208" s="7"/>
      <c r="AP208" s="7"/>
      <c r="AQ208" s="7"/>
      <c r="AR208" s="7"/>
      <c r="AS208" s="7"/>
      <c r="AT208" s="7"/>
      <c r="AU208" s="7"/>
      <c r="AV208" s="7"/>
      <c r="AW208" s="7"/>
      <c r="AX208" s="7"/>
      <c r="AY208" s="7"/>
      <c r="AZ208" s="7"/>
    </row>
    <row r="209" customFormat="false" ht="150" hidden="false" customHeight="true" outlineLevel="0" collapsed="false">
      <c r="A209" s="6" t="s">
        <v>1618</v>
      </c>
      <c r="B209" s="6" t="s">
        <v>1329</v>
      </c>
      <c r="C209" s="6" t="s">
        <v>76</v>
      </c>
      <c r="D209" s="6" t="s">
        <v>110</v>
      </c>
      <c r="E209" s="6" t="s">
        <v>111</v>
      </c>
      <c r="F209" s="6"/>
      <c r="G209" s="6" t="s">
        <v>98</v>
      </c>
      <c r="H209" s="6" t="s">
        <v>1330</v>
      </c>
      <c r="I209" s="6" t="s">
        <v>81</v>
      </c>
      <c r="J209" s="6" t="s">
        <v>621</v>
      </c>
      <c r="K209" s="6" t="s">
        <v>1609</v>
      </c>
      <c r="L209" s="6" t="s">
        <v>1610</v>
      </c>
      <c r="M209" s="6" t="s">
        <v>1611</v>
      </c>
      <c r="N209" s="6"/>
      <c r="O209" s="6"/>
      <c r="P209" s="6" t="s">
        <v>211</v>
      </c>
      <c r="Q209" s="6" t="s">
        <v>212</v>
      </c>
      <c r="R209" s="6" t="s">
        <v>1612</v>
      </c>
      <c r="S209" s="6"/>
      <c r="T209" s="6"/>
      <c r="U209" s="6"/>
      <c r="V209" s="6"/>
      <c r="W209" s="6"/>
      <c r="X209" s="6"/>
      <c r="Y209" s="6"/>
      <c r="Z209" s="6"/>
      <c r="AA209" s="6" t="s">
        <v>89</v>
      </c>
      <c r="AB209" s="6" t="s">
        <v>1619</v>
      </c>
      <c r="AC209" s="6" t="s">
        <v>1347</v>
      </c>
      <c r="AD209" s="6" t="s">
        <v>1348</v>
      </c>
      <c r="AE209" s="6" t="s">
        <v>1349</v>
      </c>
      <c r="AF209" s="6" t="s">
        <v>1617</v>
      </c>
      <c r="AG209" s="6"/>
      <c r="AH209" s="6"/>
      <c r="AI209" s="7"/>
      <c r="AJ209" s="7"/>
      <c r="AK209" s="7"/>
      <c r="AL209" s="7"/>
      <c r="AM209" s="7"/>
      <c r="AN209" s="7"/>
      <c r="AO209" s="7"/>
      <c r="AP209" s="7"/>
      <c r="AQ209" s="7"/>
      <c r="AR209" s="7"/>
      <c r="AS209" s="7"/>
      <c r="AT209" s="7"/>
      <c r="AU209" s="7"/>
      <c r="AV209" s="7"/>
      <c r="AW209" s="7"/>
      <c r="AX209" s="7"/>
      <c r="AY209" s="7"/>
      <c r="AZ209" s="7"/>
    </row>
    <row r="210" customFormat="false" ht="150" hidden="false" customHeight="true" outlineLevel="0" collapsed="false">
      <c r="A210" s="6" t="s">
        <v>1620</v>
      </c>
      <c r="B210" s="6" t="s">
        <v>1329</v>
      </c>
      <c r="C210" s="6" t="s">
        <v>76</v>
      </c>
      <c r="D210" s="6" t="s">
        <v>110</v>
      </c>
      <c r="E210" s="6" t="s">
        <v>111</v>
      </c>
      <c r="F210" s="6"/>
      <c r="G210" s="6" t="s">
        <v>165</v>
      </c>
      <c r="H210" s="6" t="s">
        <v>1330</v>
      </c>
      <c r="I210" s="6" t="s">
        <v>81</v>
      </c>
      <c r="J210" s="6" t="s">
        <v>621</v>
      </c>
      <c r="K210" s="6" t="s">
        <v>1609</v>
      </c>
      <c r="L210" s="6" t="s">
        <v>1610</v>
      </c>
      <c r="M210" s="6" t="s">
        <v>1611</v>
      </c>
      <c r="N210" s="6"/>
      <c r="O210" s="6"/>
      <c r="P210" s="6" t="s">
        <v>211</v>
      </c>
      <c r="Q210" s="6" t="s">
        <v>212</v>
      </c>
      <c r="R210" s="6" t="s">
        <v>1612</v>
      </c>
      <c r="S210" s="6"/>
      <c r="T210" s="6"/>
      <c r="U210" s="6"/>
      <c r="V210" s="6"/>
      <c r="W210" s="6"/>
      <c r="X210" s="6"/>
      <c r="Y210" s="6"/>
      <c r="Z210" s="6"/>
      <c r="AA210" s="6" t="s">
        <v>89</v>
      </c>
      <c r="AB210" s="6" t="s">
        <v>1621</v>
      </c>
      <c r="AC210" s="6" t="s">
        <v>1352</v>
      </c>
      <c r="AD210" s="6" t="s">
        <v>1353</v>
      </c>
      <c r="AE210" s="6" t="s">
        <v>1354</v>
      </c>
      <c r="AF210" s="6" t="s">
        <v>1622</v>
      </c>
      <c r="AG210" s="6"/>
      <c r="AH210" s="6"/>
      <c r="AI210" s="7"/>
      <c r="AJ210" s="7"/>
      <c r="AK210" s="7"/>
      <c r="AL210" s="7"/>
      <c r="AM210" s="7"/>
      <c r="AN210" s="7"/>
      <c r="AO210" s="7"/>
      <c r="AP210" s="7"/>
      <c r="AQ210" s="7"/>
      <c r="AR210" s="7"/>
      <c r="AS210" s="7"/>
      <c r="AT210" s="7"/>
      <c r="AU210" s="7"/>
      <c r="AV210" s="7"/>
      <c r="AW210" s="7"/>
      <c r="AX210" s="7"/>
      <c r="AY210" s="7"/>
      <c r="AZ210" s="7"/>
    </row>
    <row r="211" customFormat="false" ht="150" hidden="false" customHeight="true" outlineLevel="0" collapsed="false">
      <c r="A211" s="6" t="s">
        <v>1623</v>
      </c>
      <c r="B211" s="6" t="s">
        <v>1329</v>
      </c>
      <c r="C211" s="6" t="s">
        <v>76</v>
      </c>
      <c r="D211" s="6" t="s">
        <v>110</v>
      </c>
      <c r="E211" s="6" t="s">
        <v>111</v>
      </c>
      <c r="F211" s="6"/>
      <c r="G211" s="6" t="s">
        <v>165</v>
      </c>
      <c r="H211" s="6" t="s">
        <v>1330</v>
      </c>
      <c r="I211" s="6" t="s">
        <v>81</v>
      </c>
      <c r="J211" s="6" t="s">
        <v>621</v>
      </c>
      <c r="K211" s="6" t="s">
        <v>1609</v>
      </c>
      <c r="L211" s="6" t="s">
        <v>1610</v>
      </c>
      <c r="M211" s="6" t="s">
        <v>1611</v>
      </c>
      <c r="N211" s="6"/>
      <c r="O211" s="6"/>
      <c r="P211" s="6" t="s">
        <v>211</v>
      </c>
      <c r="Q211" s="6" t="s">
        <v>212</v>
      </c>
      <c r="R211" s="6" t="s">
        <v>1612</v>
      </c>
      <c r="S211" s="6"/>
      <c r="T211" s="6"/>
      <c r="U211" s="6"/>
      <c r="V211" s="6"/>
      <c r="W211" s="6"/>
      <c r="X211" s="6"/>
      <c r="Y211" s="6"/>
      <c r="Z211" s="6"/>
      <c r="AA211" s="6" t="s">
        <v>89</v>
      </c>
      <c r="AB211" s="6" t="s">
        <v>1624</v>
      </c>
      <c r="AC211" s="6" t="s">
        <v>1358</v>
      </c>
      <c r="AD211" s="6" t="s">
        <v>1359</v>
      </c>
      <c r="AE211" s="6" t="s">
        <v>1360</v>
      </c>
      <c r="AF211" s="6" t="s">
        <v>1622</v>
      </c>
      <c r="AG211" s="6"/>
      <c r="AH211" s="6"/>
      <c r="AI211" s="7"/>
      <c r="AJ211" s="7"/>
      <c r="AK211" s="7"/>
      <c r="AL211" s="7"/>
      <c r="AM211" s="7"/>
      <c r="AN211" s="7"/>
      <c r="AO211" s="7"/>
      <c r="AP211" s="7"/>
      <c r="AQ211" s="7"/>
      <c r="AR211" s="7"/>
      <c r="AS211" s="7"/>
      <c r="AT211" s="7"/>
      <c r="AU211" s="7"/>
      <c r="AV211" s="7"/>
      <c r="AW211" s="7"/>
      <c r="AX211" s="7"/>
      <c r="AY211" s="7"/>
      <c r="AZ211" s="7"/>
    </row>
    <row r="212" customFormat="false" ht="150" hidden="false" customHeight="true" outlineLevel="0" collapsed="false">
      <c r="A212" s="6" t="s">
        <v>1625</v>
      </c>
      <c r="B212" s="6" t="s">
        <v>1329</v>
      </c>
      <c r="C212" s="6" t="s">
        <v>76</v>
      </c>
      <c r="D212" s="6" t="s">
        <v>110</v>
      </c>
      <c r="E212" s="6" t="s">
        <v>111</v>
      </c>
      <c r="F212" s="6"/>
      <c r="G212" s="6" t="s">
        <v>1362</v>
      </c>
      <c r="H212" s="6" t="s">
        <v>1330</v>
      </c>
      <c r="I212" s="6" t="s">
        <v>81</v>
      </c>
      <c r="J212" s="6" t="s">
        <v>621</v>
      </c>
      <c r="K212" s="6" t="s">
        <v>1609</v>
      </c>
      <c r="L212" s="6" t="s">
        <v>1610</v>
      </c>
      <c r="M212" s="6" t="s">
        <v>1611</v>
      </c>
      <c r="N212" s="6"/>
      <c r="O212" s="6"/>
      <c r="P212" s="6" t="s">
        <v>211</v>
      </c>
      <c r="Q212" s="6" t="s">
        <v>212</v>
      </c>
      <c r="R212" s="6" t="s">
        <v>1612</v>
      </c>
      <c r="S212" s="6"/>
      <c r="T212" s="6"/>
      <c r="U212" s="6"/>
      <c r="V212" s="6"/>
      <c r="W212" s="6"/>
      <c r="X212" s="6"/>
      <c r="Y212" s="6"/>
      <c r="Z212" s="6"/>
      <c r="AA212" s="6" t="s">
        <v>89</v>
      </c>
      <c r="AB212" s="6" t="s">
        <v>1626</v>
      </c>
      <c r="AC212" s="6" t="s">
        <v>1364</v>
      </c>
      <c r="AD212" s="6" t="s">
        <v>1365</v>
      </c>
      <c r="AE212" s="6" t="s">
        <v>1366</v>
      </c>
      <c r="AF212" s="6" t="s">
        <v>1627</v>
      </c>
      <c r="AG212" s="6"/>
      <c r="AH212" s="6"/>
      <c r="AI212" s="7"/>
      <c r="AJ212" s="7"/>
      <c r="AK212" s="7"/>
      <c r="AL212" s="7"/>
      <c r="AM212" s="7"/>
      <c r="AN212" s="7"/>
      <c r="AO212" s="7"/>
      <c r="AP212" s="7"/>
      <c r="AQ212" s="7"/>
      <c r="AR212" s="7"/>
      <c r="AS212" s="7"/>
      <c r="AT212" s="7"/>
      <c r="AU212" s="7"/>
      <c r="AV212" s="7"/>
      <c r="AW212" s="7"/>
      <c r="AX212" s="7"/>
      <c r="AY212" s="7"/>
      <c r="AZ212" s="7"/>
    </row>
    <row r="213" customFormat="false" ht="150" hidden="false" customHeight="true" outlineLevel="0" collapsed="false">
      <c r="A213" s="6" t="s">
        <v>1628</v>
      </c>
      <c r="B213" s="6" t="s">
        <v>1329</v>
      </c>
      <c r="C213" s="6" t="s">
        <v>76</v>
      </c>
      <c r="D213" s="6" t="s">
        <v>110</v>
      </c>
      <c r="E213" s="6" t="s">
        <v>111</v>
      </c>
      <c r="F213" s="6"/>
      <c r="G213" s="6" t="s">
        <v>1362</v>
      </c>
      <c r="H213" s="6" t="s">
        <v>1330</v>
      </c>
      <c r="I213" s="6" t="s">
        <v>81</v>
      </c>
      <c r="J213" s="6" t="s">
        <v>621</v>
      </c>
      <c r="K213" s="6" t="s">
        <v>1609</v>
      </c>
      <c r="L213" s="6" t="s">
        <v>1610</v>
      </c>
      <c r="M213" s="6" t="s">
        <v>1611</v>
      </c>
      <c r="N213" s="6"/>
      <c r="O213" s="6"/>
      <c r="P213" s="6" t="s">
        <v>211</v>
      </c>
      <c r="Q213" s="6" t="s">
        <v>212</v>
      </c>
      <c r="R213" s="6" t="s">
        <v>1612</v>
      </c>
      <c r="S213" s="6"/>
      <c r="T213" s="6"/>
      <c r="U213" s="6"/>
      <c r="V213" s="6"/>
      <c r="W213" s="6"/>
      <c r="X213" s="6"/>
      <c r="Y213" s="6"/>
      <c r="Z213" s="6"/>
      <c r="AA213" s="6" t="s">
        <v>89</v>
      </c>
      <c r="AB213" s="6" t="s">
        <v>1629</v>
      </c>
      <c r="AC213" s="6" t="s">
        <v>1370</v>
      </c>
      <c r="AD213" s="6" t="s">
        <v>1371</v>
      </c>
      <c r="AE213" s="6" t="s">
        <v>1372</v>
      </c>
      <c r="AF213" s="6" t="s">
        <v>1627</v>
      </c>
      <c r="AG213" s="6"/>
      <c r="AH213" s="6"/>
      <c r="AI213" s="7"/>
      <c r="AJ213" s="7"/>
      <c r="AK213" s="7"/>
      <c r="AL213" s="7"/>
      <c r="AM213" s="7"/>
      <c r="AN213" s="7"/>
      <c r="AO213" s="7"/>
      <c r="AP213" s="7"/>
      <c r="AQ213" s="7"/>
      <c r="AR213" s="7"/>
      <c r="AS213" s="7"/>
      <c r="AT213" s="7"/>
      <c r="AU213" s="7"/>
      <c r="AV213" s="7"/>
      <c r="AW213" s="7"/>
      <c r="AX213" s="7"/>
      <c r="AY213" s="7"/>
      <c r="AZ213" s="7"/>
    </row>
    <row r="214" customFormat="false" ht="150" hidden="false" customHeight="true" outlineLevel="0" collapsed="false">
      <c r="A214" s="6" t="s">
        <v>1630</v>
      </c>
      <c r="B214" s="6" t="s">
        <v>1329</v>
      </c>
      <c r="C214" s="6" t="s">
        <v>76</v>
      </c>
      <c r="D214" s="6" t="s">
        <v>110</v>
      </c>
      <c r="E214" s="6" t="s">
        <v>111</v>
      </c>
      <c r="F214" s="6"/>
      <c r="G214" s="6" t="s">
        <v>79</v>
      </c>
      <c r="H214" s="6" t="s">
        <v>1330</v>
      </c>
      <c r="I214" s="6" t="s">
        <v>81</v>
      </c>
      <c r="J214" s="6" t="s">
        <v>595</v>
      </c>
      <c r="K214" s="6" t="s">
        <v>1631</v>
      </c>
      <c r="L214" s="6" t="s">
        <v>1632</v>
      </c>
      <c r="M214" s="6" t="s">
        <v>1633</v>
      </c>
      <c r="N214" s="6"/>
      <c r="O214" s="6"/>
      <c r="P214" s="6" t="s">
        <v>1634</v>
      </c>
      <c r="Q214" s="6" t="s">
        <v>190</v>
      </c>
      <c r="R214" s="6" t="s">
        <v>170</v>
      </c>
      <c r="S214" s="6"/>
      <c r="T214" s="6"/>
      <c r="U214" s="6"/>
      <c r="V214" s="6"/>
      <c r="W214" s="6"/>
      <c r="X214" s="6"/>
      <c r="Y214" s="6"/>
      <c r="Z214" s="6"/>
      <c r="AA214" s="6" t="s">
        <v>89</v>
      </c>
      <c r="AB214" s="6" t="s">
        <v>1635</v>
      </c>
      <c r="AC214" s="6" t="s">
        <v>1335</v>
      </c>
      <c r="AD214" s="6" t="s">
        <v>1336</v>
      </c>
      <c r="AE214" s="6" t="s">
        <v>1337</v>
      </c>
      <c r="AF214" s="6" t="s">
        <v>1636</v>
      </c>
      <c r="AG214" s="6"/>
      <c r="AH214" s="6"/>
      <c r="AI214" s="7"/>
      <c r="AJ214" s="7"/>
      <c r="AK214" s="7"/>
      <c r="AL214" s="7"/>
      <c r="AM214" s="7"/>
      <c r="AN214" s="7"/>
      <c r="AO214" s="7"/>
      <c r="AP214" s="7"/>
      <c r="AQ214" s="7"/>
      <c r="AR214" s="7"/>
      <c r="AS214" s="7"/>
      <c r="AT214" s="7"/>
      <c r="AU214" s="7"/>
      <c r="AV214" s="7"/>
      <c r="AW214" s="7"/>
      <c r="AX214" s="7"/>
      <c r="AY214" s="7"/>
      <c r="AZ214" s="7"/>
    </row>
    <row r="215" customFormat="false" ht="150" hidden="false" customHeight="true" outlineLevel="0" collapsed="false">
      <c r="A215" s="6" t="s">
        <v>1637</v>
      </c>
      <c r="B215" s="6" t="s">
        <v>1329</v>
      </c>
      <c r="C215" s="6" t="s">
        <v>76</v>
      </c>
      <c r="D215" s="6" t="s">
        <v>110</v>
      </c>
      <c r="E215" s="6" t="s">
        <v>111</v>
      </c>
      <c r="F215" s="6"/>
      <c r="G215" s="6" t="s">
        <v>98</v>
      </c>
      <c r="H215" s="6" t="s">
        <v>1330</v>
      </c>
      <c r="I215" s="6" t="s">
        <v>81</v>
      </c>
      <c r="J215" s="6" t="s">
        <v>621</v>
      </c>
      <c r="K215" s="6" t="s">
        <v>1631</v>
      </c>
      <c r="L215" s="6" t="s">
        <v>1632</v>
      </c>
      <c r="M215" s="6" t="s">
        <v>1633</v>
      </c>
      <c r="N215" s="6"/>
      <c r="O215" s="6"/>
      <c r="P215" s="6" t="s">
        <v>1634</v>
      </c>
      <c r="Q215" s="6" t="s">
        <v>190</v>
      </c>
      <c r="R215" s="6" t="s">
        <v>170</v>
      </c>
      <c r="S215" s="6"/>
      <c r="T215" s="6"/>
      <c r="U215" s="6"/>
      <c r="V215" s="6"/>
      <c r="W215" s="6"/>
      <c r="X215" s="6"/>
      <c r="Y215" s="6"/>
      <c r="Z215" s="6"/>
      <c r="AA215" s="6" t="s">
        <v>89</v>
      </c>
      <c r="AB215" s="6" t="s">
        <v>1638</v>
      </c>
      <c r="AC215" s="6" t="s">
        <v>1341</v>
      </c>
      <c r="AD215" s="6" t="s">
        <v>1342</v>
      </c>
      <c r="AE215" s="6" t="s">
        <v>1343</v>
      </c>
      <c r="AF215" s="6" t="s">
        <v>1639</v>
      </c>
      <c r="AG215" s="6"/>
      <c r="AH215" s="6"/>
      <c r="AI215" s="7"/>
      <c r="AJ215" s="7"/>
      <c r="AK215" s="7"/>
      <c r="AL215" s="7"/>
      <c r="AM215" s="7"/>
      <c r="AN215" s="7"/>
      <c r="AO215" s="7"/>
      <c r="AP215" s="7"/>
      <c r="AQ215" s="7"/>
      <c r="AR215" s="7"/>
      <c r="AS215" s="7"/>
      <c r="AT215" s="7"/>
      <c r="AU215" s="7"/>
      <c r="AV215" s="7"/>
      <c r="AW215" s="7"/>
      <c r="AX215" s="7"/>
      <c r="AY215" s="7"/>
      <c r="AZ215" s="7"/>
    </row>
    <row r="216" customFormat="false" ht="150" hidden="false" customHeight="true" outlineLevel="0" collapsed="false">
      <c r="A216" s="6" t="s">
        <v>1640</v>
      </c>
      <c r="B216" s="6" t="s">
        <v>1329</v>
      </c>
      <c r="C216" s="6" t="s">
        <v>76</v>
      </c>
      <c r="D216" s="6" t="s">
        <v>110</v>
      </c>
      <c r="E216" s="6" t="s">
        <v>111</v>
      </c>
      <c r="F216" s="6"/>
      <c r="G216" s="6" t="s">
        <v>98</v>
      </c>
      <c r="H216" s="6" t="s">
        <v>1330</v>
      </c>
      <c r="I216" s="6" t="s">
        <v>81</v>
      </c>
      <c r="J216" s="6" t="s">
        <v>621</v>
      </c>
      <c r="K216" s="6" t="s">
        <v>1631</v>
      </c>
      <c r="L216" s="6" t="s">
        <v>1632</v>
      </c>
      <c r="M216" s="6" t="s">
        <v>1633</v>
      </c>
      <c r="N216" s="6"/>
      <c r="O216" s="6"/>
      <c r="P216" s="6" t="s">
        <v>1634</v>
      </c>
      <c r="Q216" s="6" t="s">
        <v>190</v>
      </c>
      <c r="R216" s="6" t="s">
        <v>170</v>
      </c>
      <c r="S216" s="6"/>
      <c r="T216" s="6"/>
      <c r="U216" s="6"/>
      <c r="V216" s="6"/>
      <c r="W216" s="6"/>
      <c r="X216" s="6"/>
      <c r="Y216" s="6"/>
      <c r="Z216" s="6"/>
      <c r="AA216" s="6" t="s">
        <v>89</v>
      </c>
      <c r="AB216" s="6" t="s">
        <v>1641</v>
      </c>
      <c r="AC216" s="6" t="s">
        <v>1347</v>
      </c>
      <c r="AD216" s="6" t="s">
        <v>1348</v>
      </c>
      <c r="AE216" s="6" t="s">
        <v>1349</v>
      </c>
      <c r="AF216" s="6" t="s">
        <v>1639</v>
      </c>
      <c r="AG216" s="6"/>
      <c r="AH216" s="6"/>
      <c r="AI216" s="7"/>
      <c r="AJ216" s="7"/>
      <c r="AK216" s="7"/>
      <c r="AL216" s="7"/>
      <c r="AM216" s="7"/>
      <c r="AN216" s="7"/>
      <c r="AO216" s="7"/>
      <c r="AP216" s="7"/>
      <c r="AQ216" s="7"/>
      <c r="AR216" s="7"/>
      <c r="AS216" s="7"/>
      <c r="AT216" s="7"/>
      <c r="AU216" s="7"/>
      <c r="AV216" s="7"/>
      <c r="AW216" s="7"/>
      <c r="AX216" s="7"/>
      <c r="AY216" s="7"/>
      <c r="AZ216" s="7"/>
    </row>
    <row r="217" customFormat="false" ht="150" hidden="false" customHeight="true" outlineLevel="0" collapsed="false">
      <c r="A217" s="6" t="s">
        <v>1642</v>
      </c>
      <c r="B217" s="6" t="s">
        <v>1329</v>
      </c>
      <c r="C217" s="6" t="s">
        <v>76</v>
      </c>
      <c r="D217" s="6" t="s">
        <v>110</v>
      </c>
      <c r="E217" s="6" t="s">
        <v>111</v>
      </c>
      <c r="F217" s="6"/>
      <c r="G217" s="6" t="s">
        <v>165</v>
      </c>
      <c r="H217" s="6" t="s">
        <v>1330</v>
      </c>
      <c r="I217" s="6" t="s">
        <v>81</v>
      </c>
      <c r="J217" s="6" t="s">
        <v>621</v>
      </c>
      <c r="K217" s="6" t="s">
        <v>1631</v>
      </c>
      <c r="L217" s="6" t="s">
        <v>1632</v>
      </c>
      <c r="M217" s="6" t="s">
        <v>1633</v>
      </c>
      <c r="N217" s="6"/>
      <c r="O217" s="6"/>
      <c r="P217" s="6" t="s">
        <v>1634</v>
      </c>
      <c r="Q217" s="6" t="s">
        <v>190</v>
      </c>
      <c r="R217" s="6" t="s">
        <v>170</v>
      </c>
      <c r="S217" s="6"/>
      <c r="T217" s="6"/>
      <c r="U217" s="6"/>
      <c r="V217" s="6"/>
      <c r="W217" s="6"/>
      <c r="X217" s="6"/>
      <c r="Y217" s="6"/>
      <c r="Z217" s="6"/>
      <c r="AA217" s="6" t="s">
        <v>89</v>
      </c>
      <c r="AB217" s="6" t="s">
        <v>1643</v>
      </c>
      <c r="AC217" s="6" t="s">
        <v>1352</v>
      </c>
      <c r="AD217" s="6" t="s">
        <v>1353</v>
      </c>
      <c r="AE217" s="6" t="s">
        <v>1354</v>
      </c>
      <c r="AF217" s="6" t="s">
        <v>1644</v>
      </c>
      <c r="AG217" s="6"/>
      <c r="AH217" s="6"/>
      <c r="AI217" s="7"/>
      <c r="AJ217" s="7"/>
      <c r="AK217" s="7"/>
      <c r="AL217" s="7"/>
      <c r="AM217" s="7"/>
      <c r="AN217" s="7"/>
      <c r="AO217" s="7"/>
      <c r="AP217" s="7"/>
      <c r="AQ217" s="7"/>
      <c r="AR217" s="7"/>
      <c r="AS217" s="7"/>
      <c r="AT217" s="7"/>
      <c r="AU217" s="7"/>
      <c r="AV217" s="7"/>
      <c r="AW217" s="7"/>
      <c r="AX217" s="7"/>
      <c r="AY217" s="7"/>
      <c r="AZ217" s="7"/>
    </row>
    <row r="218" customFormat="false" ht="150" hidden="false" customHeight="true" outlineLevel="0" collapsed="false">
      <c r="A218" s="6" t="s">
        <v>1645</v>
      </c>
      <c r="B218" s="6" t="s">
        <v>1329</v>
      </c>
      <c r="C218" s="6" t="s">
        <v>76</v>
      </c>
      <c r="D218" s="6" t="s">
        <v>110</v>
      </c>
      <c r="E218" s="6" t="s">
        <v>111</v>
      </c>
      <c r="F218" s="6"/>
      <c r="G218" s="6" t="s">
        <v>165</v>
      </c>
      <c r="H218" s="6" t="s">
        <v>1330</v>
      </c>
      <c r="I218" s="6" t="s">
        <v>81</v>
      </c>
      <c r="J218" s="6" t="s">
        <v>621</v>
      </c>
      <c r="K218" s="6" t="s">
        <v>1631</v>
      </c>
      <c r="L218" s="6" t="s">
        <v>1632</v>
      </c>
      <c r="M218" s="6" t="s">
        <v>1633</v>
      </c>
      <c r="N218" s="6"/>
      <c r="O218" s="6"/>
      <c r="P218" s="6" t="s">
        <v>1634</v>
      </c>
      <c r="Q218" s="6" t="s">
        <v>190</v>
      </c>
      <c r="R218" s="6" t="s">
        <v>170</v>
      </c>
      <c r="S218" s="6"/>
      <c r="T218" s="6"/>
      <c r="U218" s="6"/>
      <c r="V218" s="6"/>
      <c r="W218" s="6"/>
      <c r="X218" s="6"/>
      <c r="Y218" s="6"/>
      <c r="Z218" s="6"/>
      <c r="AA218" s="6" t="s">
        <v>89</v>
      </c>
      <c r="AB218" s="6" t="s">
        <v>1646</v>
      </c>
      <c r="AC218" s="6" t="s">
        <v>1358</v>
      </c>
      <c r="AD218" s="6" t="s">
        <v>1359</v>
      </c>
      <c r="AE218" s="6" t="s">
        <v>1360</v>
      </c>
      <c r="AF218" s="6" t="s">
        <v>1644</v>
      </c>
      <c r="AG218" s="6"/>
      <c r="AH218" s="6"/>
      <c r="AI218" s="7"/>
      <c r="AJ218" s="7"/>
      <c r="AK218" s="7"/>
      <c r="AL218" s="7"/>
      <c r="AM218" s="7"/>
      <c r="AN218" s="7"/>
      <c r="AO218" s="7"/>
      <c r="AP218" s="7"/>
      <c r="AQ218" s="7"/>
      <c r="AR218" s="7"/>
      <c r="AS218" s="7"/>
      <c r="AT218" s="7"/>
      <c r="AU218" s="7"/>
      <c r="AV218" s="7"/>
      <c r="AW218" s="7"/>
      <c r="AX218" s="7"/>
      <c r="AY218" s="7"/>
      <c r="AZ218" s="7"/>
    </row>
    <row r="219" customFormat="false" ht="150" hidden="false" customHeight="true" outlineLevel="0" collapsed="false">
      <c r="A219" s="6" t="s">
        <v>1647</v>
      </c>
      <c r="B219" s="6" t="s">
        <v>1329</v>
      </c>
      <c r="C219" s="6" t="s">
        <v>76</v>
      </c>
      <c r="D219" s="6" t="s">
        <v>110</v>
      </c>
      <c r="E219" s="6" t="s">
        <v>111</v>
      </c>
      <c r="F219" s="6"/>
      <c r="G219" s="6" t="s">
        <v>1362</v>
      </c>
      <c r="H219" s="6" t="s">
        <v>1330</v>
      </c>
      <c r="I219" s="6" t="s">
        <v>81</v>
      </c>
      <c r="J219" s="6" t="s">
        <v>621</v>
      </c>
      <c r="K219" s="6" t="s">
        <v>1631</v>
      </c>
      <c r="L219" s="6" t="s">
        <v>1632</v>
      </c>
      <c r="M219" s="6" t="s">
        <v>1633</v>
      </c>
      <c r="N219" s="6"/>
      <c r="O219" s="6"/>
      <c r="P219" s="6" t="s">
        <v>1634</v>
      </c>
      <c r="Q219" s="6" t="s">
        <v>190</v>
      </c>
      <c r="R219" s="6" t="s">
        <v>170</v>
      </c>
      <c r="S219" s="6"/>
      <c r="T219" s="6"/>
      <c r="U219" s="6"/>
      <c r="V219" s="6"/>
      <c r="W219" s="6"/>
      <c r="X219" s="6"/>
      <c r="Y219" s="6"/>
      <c r="Z219" s="6"/>
      <c r="AA219" s="6" t="s">
        <v>89</v>
      </c>
      <c r="AB219" s="6" t="s">
        <v>1648</v>
      </c>
      <c r="AC219" s="6" t="s">
        <v>1364</v>
      </c>
      <c r="AD219" s="6" t="s">
        <v>1365</v>
      </c>
      <c r="AE219" s="6" t="s">
        <v>1366</v>
      </c>
      <c r="AF219" s="6" t="s">
        <v>1649</v>
      </c>
      <c r="AG219" s="6"/>
      <c r="AH219" s="6"/>
      <c r="AI219" s="7"/>
      <c r="AJ219" s="7"/>
      <c r="AK219" s="7"/>
      <c r="AL219" s="7"/>
      <c r="AM219" s="7"/>
      <c r="AN219" s="7"/>
      <c r="AO219" s="7"/>
      <c r="AP219" s="7"/>
      <c r="AQ219" s="7"/>
      <c r="AR219" s="7"/>
      <c r="AS219" s="7"/>
      <c r="AT219" s="7"/>
      <c r="AU219" s="7"/>
      <c r="AV219" s="7"/>
      <c r="AW219" s="7"/>
      <c r="AX219" s="7"/>
      <c r="AY219" s="7"/>
      <c r="AZ219" s="7"/>
    </row>
    <row r="220" customFormat="false" ht="150" hidden="false" customHeight="true" outlineLevel="0" collapsed="false">
      <c r="A220" s="6" t="s">
        <v>1650</v>
      </c>
      <c r="B220" s="6" t="s">
        <v>1329</v>
      </c>
      <c r="C220" s="6" t="s">
        <v>76</v>
      </c>
      <c r="D220" s="6" t="s">
        <v>110</v>
      </c>
      <c r="E220" s="6" t="s">
        <v>111</v>
      </c>
      <c r="F220" s="6"/>
      <c r="G220" s="6" t="s">
        <v>1362</v>
      </c>
      <c r="H220" s="6" t="s">
        <v>1330</v>
      </c>
      <c r="I220" s="6" t="s">
        <v>81</v>
      </c>
      <c r="J220" s="6" t="s">
        <v>621</v>
      </c>
      <c r="K220" s="6" t="s">
        <v>1631</v>
      </c>
      <c r="L220" s="6" t="s">
        <v>1632</v>
      </c>
      <c r="M220" s="6" t="s">
        <v>1633</v>
      </c>
      <c r="N220" s="6"/>
      <c r="O220" s="6"/>
      <c r="P220" s="6" t="s">
        <v>1634</v>
      </c>
      <c r="Q220" s="6" t="s">
        <v>190</v>
      </c>
      <c r="R220" s="6" t="s">
        <v>170</v>
      </c>
      <c r="S220" s="6"/>
      <c r="T220" s="6"/>
      <c r="U220" s="6"/>
      <c r="V220" s="6"/>
      <c r="W220" s="6"/>
      <c r="X220" s="6"/>
      <c r="Y220" s="6"/>
      <c r="Z220" s="6"/>
      <c r="AA220" s="6" t="s">
        <v>89</v>
      </c>
      <c r="AB220" s="6" t="s">
        <v>1651</v>
      </c>
      <c r="AC220" s="6" t="s">
        <v>1370</v>
      </c>
      <c r="AD220" s="6" t="s">
        <v>1371</v>
      </c>
      <c r="AE220" s="6" t="s">
        <v>1372</v>
      </c>
      <c r="AF220" s="6" t="s">
        <v>1649</v>
      </c>
      <c r="AG220" s="6"/>
      <c r="AH220" s="6"/>
      <c r="AI220" s="7"/>
      <c r="AJ220" s="7"/>
      <c r="AK220" s="7"/>
      <c r="AL220" s="7"/>
      <c r="AM220" s="7"/>
      <c r="AN220" s="7"/>
      <c r="AO220" s="7"/>
      <c r="AP220" s="7"/>
      <c r="AQ220" s="7"/>
      <c r="AR220" s="7"/>
      <c r="AS220" s="7"/>
      <c r="AT220" s="7"/>
      <c r="AU220" s="7"/>
      <c r="AV220" s="7"/>
      <c r="AW220" s="7"/>
      <c r="AX220" s="7"/>
      <c r="AY220" s="7"/>
      <c r="AZ220" s="7"/>
    </row>
    <row r="221" customFormat="false" ht="150" hidden="false" customHeight="true" outlineLevel="0" collapsed="false">
      <c r="A221" s="6" t="s">
        <v>1652</v>
      </c>
      <c r="B221" s="6" t="s">
        <v>1329</v>
      </c>
      <c r="C221" s="6" t="s">
        <v>76</v>
      </c>
      <c r="D221" s="6" t="s">
        <v>110</v>
      </c>
      <c r="E221" s="6" t="s">
        <v>111</v>
      </c>
      <c r="F221" s="6"/>
      <c r="G221" s="6" t="s">
        <v>79</v>
      </c>
      <c r="H221" s="6" t="s">
        <v>1330</v>
      </c>
      <c r="I221" s="6" t="s">
        <v>81</v>
      </c>
      <c r="J221" s="6" t="s">
        <v>595</v>
      </c>
      <c r="K221" s="6" t="s">
        <v>1653</v>
      </c>
      <c r="L221" s="6" t="s">
        <v>1654</v>
      </c>
      <c r="M221" s="6" t="s">
        <v>1655</v>
      </c>
      <c r="N221" s="6"/>
      <c r="O221" s="6"/>
      <c r="P221" s="6" t="s">
        <v>1656</v>
      </c>
      <c r="Q221" s="6" t="s">
        <v>169</v>
      </c>
      <c r="R221" s="6" t="s">
        <v>1657</v>
      </c>
      <c r="S221" s="6"/>
      <c r="T221" s="6"/>
      <c r="U221" s="6"/>
      <c r="V221" s="6"/>
      <c r="W221" s="6"/>
      <c r="X221" s="6"/>
      <c r="Y221" s="6"/>
      <c r="Z221" s="6"/>
      <c r="AA221" s="6" t="s">
        <v>89</v>
      </c>
      <c r="AB221" s="6" t="s">
        <v>1658</v>
      </c>
      <c r="AC221" s="6" t="s">
        <v>1335</v>
      </c>
      <c r="AD221" s="6" t="s">
        <v>1336</v>
      </c>
      <c r="AE221" s="6" t="s">
        <v>1337</v>
      </c>
      <c r="AF221" s="6" t="s">
        <v>1659</v>
      </c>
      <c r="AG221" s="6"/>
      <c r="AH221" s="6"/>
      <c r="AI221" s="7"/>
      <c r="AJ221" s="7"/>
      <c r="AK221" s="7"/>
      <c r="AL221" s="7"/>
      <c r="AM221" s="7"/>
      <c r="AN221" s="7"/>
      <c r="AO221" s="7"/>
      <c r="AP221" s="7"/>
      <c r="AQ221" s="7"/>
      <c r="AR221" s="7"/>
      <c r="AS221" s="7"/>
      <c r="AT221" s="7"/>
      <c r="AU221" s="7"/>
      <c r="AV221" s="7"/>
      <c r="AW221" s="7"/>
      <c r="AX221" s="7"/>
      <c r="AY221" s="7"/>
      <c r="AZ221" s="7"/>
    </row>
    <row r="222" customFormat="false" ht="150" hidden="false" customHeight="true" outlineLevel="0" collapsed="false">
      <c r="A222" s="6" t="s">
        <v>1660</v>
      </c>
      <c r="B222" s="6" t="s">
        <v>1329</v>
      </c>
      <c r="C222" s="6" t="s">
        <v>76</v>
      </c>
      <c r="D222" s="6" t="s">
        <v>110</v>
      </c>
      <c r="E222" s="6" t="s">
        <v>111</v>
      </c>
      <c r="F222" s="6"/>
      <c r="G222" s="6" t="s">
        <v>98</v>
      </c>
      <c r="H222" s="6" t="s">
        <v>1330</v>
      </c>
      <c r="I222" s="6" t="s">
        <v>81</v>
      </c>
      <c r="J222" s="6" t="s">
        <v>621</v>
      </c>
      <c r="K222" s="6" t="s">
        <v>1653</v>
      </c>
      <c r="L222" s="6" t="s">
        <v>1654</v>
      </c>
      <c r="M222" s="6" t="s">
        <v>1655</v>
      </c>
      <c r="N222" s="6"/>
      <c r="O222" s="6"/>
      <c r="P222" s="6" t="s">
        <v>1656</v>
      </c>
      <c r="Q222" s="6" t="s">
        <v>169</v>
      </c>
      <c r="R222" s="6" t="s">
        <v>1657</v>
      </c>
      <c r="S222" s="6"/>
      <c r="T222" s="6"/>
      <c r="U222" s="6"/>
      <c r="V222" s="6"/>
      <c r="W222" s="6"/>
      <c r="X222" s="6"/>
      <c r="Y222" s="6"/>
      <c r="Z222" s="6"/>
      <c r="AA222" s="6" t="s">
        <v>89</v>
      </c>
      <c r="AB222" s="6" t="s">
        <v>1661</v>
      </c>
      <c r="AC222" s="6" t="s">
        <v>1341</v>
      </c>
      <c r="AD222" s="6" t="s">
        <v>1342</v>
      </c>
      <c r="AE222" s="6" t="s">
        <v>1343</v>
      </c>
      <c r="AF222" s="6" t="s">
        <v>1662</v>
      </c>
      <c r="AG222" s="6"/>
      <c r="AH222" s="6"/>
      <c r="AI222" s="7"/>
      <c r="AJ222" s="7"/>
      <c r="AK222" s="7"/>
      <c r="AL222" s="7"/>
      <c r="AM222" s="7"/>
      <c r="AN222" s="7"/>
      <c r="AO222" s="7"/>
      <c r="AP222" s="7"/>
      <c r="AQ222" s="7"/>
      <c r="AR222" s="7"/>
      <c r="AS222" s="7"/>
      <c r="AT222" s="7"/>
      <c r="AU222" s="7"/>
      <c r="AV222" s="7"/>
      <c r="AW222" s="7"/>
      <c r="AX222" s="7"/>
      <c r="AY222" s="7"/>
      <c r="AZ222" s="7"/>
    </row>
    <row r="223" customFormat="false" ht="150" hidden="false" customHeight="true" outlineLevel="0" collapsed="false">
      <c r="A223" s="6" t="s">
        <v>1663</v>
      </c>
      <c r="B223" s="6" t="s">
        <v>1329</v>
      </c>
      <c r="C223" s="6" t="s">
        <v>76</v>
      </c>
      <c r="D223" s="6" t="s">
        <v>110</v>
      </c>
      <c r="E223" s="6" t="s">
        <v>111</v>
      </c>
      <c r="F223" s="6"/>
      <c r="G223" s="6" t="s">
        <v>98</v>
      </c>
      <c r="H223" s="6" t="s">
        <v>1330</v>
      </c>
      <c r="I223" s="6" t="s">
        <v>81</v>
      </c>
      <c r="J223" s="6" t="s">
        <v>621</v>
      </c>
      <c r="K223" s="6" t="s">
        <v>1653</v>
      </c>
      <c r="L223" s="6" t="s">
        <v>1654</v>
      </c>
      <c r="M223" s="6" t="s">
        <v>1655</v>
      </c>
      <c r="N223" s="6"/>
      <c r="O223" s="6"/>
      <c r="P223" s="6" t="s">
        <v>1656</v>
      </c>
      <c r="Q223" s="6" t="s">
        <v>169</v>
      </c>
      <c r="R223" s="6" t="s">
        <v>1657</v>
      </c>
      <c r="S223" s="6"/>
      <c r="T223" s="6"/>
      <c r="U223" s="6"/>
      <c r="V223" s="6"/>
      <c r="W223" s="6"/>
      <c r="X223" s="6"/>
      <c r="Y223" s="6"/>
      <c r="Z223" s="6"/>
      <c r="AA223" s="6" t="s">
        <v>89</v>
      </c>
      <c r="AB223" s="6" t="s">
        <v>1664</v>
      </c>
      <c r="AC223" s="6" t="s">
        <v>1347</v>
      </c>
      <c r="AD223" s="6" t="s">
        <v>1348</v>
      </c>
      <c r="AE223" s="6" t="s">
        <v>1349</v>
      </c>
      <c r="AF223" s="6" t="s">
        <v>1662</v>
      </c>
      <c r="AG223" s="6"/>
      <c r="AH223" s="6"/>
      <c r="AI223" s="7"/>
      <c r="AJ223" s="7"/>
      <c r="AK223" s="7"/>
      <c r="AL223" s="7"/>
      <c r="AM223" s="7"/>
      <c r="AN223" s="7"/>
      <c r="AO223" s="7"/>
      <c r="AP223" s="7"/>
      <c r="AQ223" s="7"/>
      <c r="AR223" s="7"/>
      <c r="AS223" s="7"/>
      <c r="AT223" s="7"/>
      <c r="AU223" s="7"/>
      <c r="AV223" s="7"/>
      <c r="AW223" s="7"/>
      <c r="AX223" s="7"/>
      <c r="AY223" s="7"/>
      <c r="AZ223" s="7"/>
    </row>
    <row r="224" customFormat="false" ht="150" hidden="false" customHeight="true" outlineLevel="0" collapsed="false">
      <c r="A224" s="6" t="s">
        <v>1665</v>
      </c>
      <c r="B224" s="6" t="s">
        <v>1329</v>
      </c>
      <c r="C224" s="6" t="s">
        <v>76</v>
      </c>
      <c r="D224" s="6" t="s">
        <v>110</v>
      </c>
      <c r="E224" s="6" t="s">
        <v>111</v>
      </c>
      <c r="F224" s="6"/>
      <c r="G224" s="6" t="s">
        <v>165</v>
      </c>
      <c r="H224" s="6" t="s">
        <v>1330</v>
      </c>
      <c r="I224" s="6" t="s">
        <v>81</v>
      </c>
      <c r="J224" s="6" t="s">
        <v>621</v>
      </c>
      <c r="K224" s="6" t="s">
        <v>1653</v>
      </c>
      <c r="L224" s="6" t="s">
        <v>1654</v>
      </c>
      <c r="M224" s="6" t="s">
        <v>1655</v>
      </c>
      <c r="N224" s="6"/>
      <c r="O224" s="6"/>
      <c r="P224" s="6" t="s">
        <v>1656</v>
      </c>
      <c r="Q224" s="6" t="s">
        <v>169</v>
      </c>
      <c r="R224" s="6" t="s">
        <v>1657</v>
      </c>
      <c r="S224" s="6"/>
      <c r="T224" s="6"/>
      <c r="U224" s="6"/>
      <c r="V224" s="6"/>
      <c r="W224" s="6"/>
      <c r="X224" s="6"/>
      <c r="Y224" s="6"/>
      <c r="Z224" s="6"/>
      <c r="AA224" s="6" t="s">
        <v>89</v>
      </c>
      <c r="AB224" s="6" t="s">
        <v>1666</v>
      </c>
      <c r="AC224" s="6" t="s">
        <v>1352</v>
      </c>
      <c r="AD224" s="6" t="s">
        <v>1353</v>
      </c>
      <c r="AE224" s="6" t="s">
        <v>1354</v>
      </c>
      <c r="AF224" s="6" t="s">
        <v>1667</v>
      </c>
      <c r="AG224" s="6"/>
      <c r="AH224" s="6"/>
      <c r="AI224" s="7"/>
      <c r="AJ224" s="7"/>
      <c r="AK224" s="7"/>
      <c r="AL224" s="7"/>
      <c r="AM224" s="7"/>
      <c r="AN224" s="7"/>
      <c r="AO224" s="7"/>
      <c r="AP224" s="7"/>
      <c r="AQ224" s="7"/>
      <c r="AR224" s="7"/>
      <c r="AS224" s="7"/>
      <c r="AT224" s="7"/>
      <c r="AU224" s="7"/>
      <c r="AV224" s="7"/>
      <c r="AW224" s="7"/>
      <c r="AX224" s="7"/>
      <c r="AY224" s="7"/>
      <c r="AZ224" s="7"/>
    </row>
    <row r="225" customFormat="false" ht="150" hidden="false" customHeight="true" outlineLevel="0" collapsed="false">
      <c r="A225" s="6" t="s">
        <v>1668</v>
      </c>
      <c r="B225" s="6" t="s">
        <v>1329</v>
      </c>
      <c r="C225" s="6" t="s">
        <v>76</v>
      </c>
      <c r="D225" s="6" t="s">
        <v>110</v>
      </c>
      <c r="E225" s="6" t="s">
        <v>111</v>
      </c>
      <c r="F225" s="6"/>
      <c r="G225" s="6" t="s">
        <v>165</v>
      </c>
      <c r="H225" s="6" t="s">
        <v>1330</v>
      </c>
      <c r="I225" s="6" t="s">
        <v>81</v>
      </c>
      <c r="J225" s="6" t="s">
        <v>621</v>
      </c>
      <c r="K225" s="6" t="s">
        <v>1653</v>
      </c>
      <c r="L225" s="6" t="s">
        <v>1654</v>
      </c>
      <c r="M225" s="6" t="s">
        <v>1655</v>
      </c>
      <c r="N225" s="6"/>
      <c r="O225" s="6"/>
      <c r="P225" s="6" t="s">
        <v>1656</v>
      </c>
      <c r="Q225" s="6" t="s">
        <v>169</v>
      </c>
      <c r="R225" s="6" t="s">
        <v>1657</v>
      </c>
      <c r="S225" s="6"/>
      <c r="T225" s="6"/>
      <c r="U225" s="6"/>
      <c r="V225" s="6"/>
      <c r="W225" s="6"/>
      <c r="X225" s="6"/>
      <c r="Y225" s="6"/>
      <c r="Z225" s="6"/>
      <c r="AA225" s="6" t="s">
        <v>89</v>
      </c>
      <c r="AB225" s="6" t="s">
        <v>1669</v>
      </c>
      <c r="AC225" s="6" t="s">
        <v>1358</v>
      </c>
      <c r="AD225" s="6" t="s">
        <v>1359</v>
      </c>
      <c r="AE225" s="6" t="s">
        <v>1360</v>
      </c>
      <c r="AF225" s="6" t="s">
        <v>1667</v>
      </c>
      <c r="AG225" s="6"/>
      <c r="AH225" s="6"/>
      <c r="AI225" s="7"/>
      <c r="AJ225" s="7"/>
      <c r="AK225" s="7"/>
      <c r="AL225" s="7"/>
      <c r="AM225" s="7"/>
      <c r="AN225" s="7"/>
      <c r="AO225" s="7"/>
      <c r="AP225" s="7"/>
      <c r="AQ225" s="7"/>
      <c r="AR225" s="7"/>
      <c r="AS225" s="7"/>
      <c r="AT225" s="7"/>
      <c r="AU225" s="7"/>
      <c r="AV225" s="7"/>
      <c r="AW225" s="7"/>
      <c r="AX225" s="7"/>
      <c r="AY225" s="7"/>
      <c r="AZ225" s="7"/>
    </row>
    <row r="226" customFormat="false" ht="150" hidden="false" customHeight="true" outlineLevel="0" collapsed="false">
      <c r="A226" s="6" t="s">
        <v>1670</v>
      </c>
      <c r="B226" s="6" t="s">
        <v>1329</v>
      </c>
      <c r="C226" s="6" t="s">
        <v>76</v>
      </c>
      <c r="D226" s="6" t="s">
        <v>110</v>
      </c>
      <c r="E226" s="6" t="s">
        <v>111</v>
      </c>
      <c r="F226" s="6"/>
      <c r="G226" s="6" t="s">
        <v>1362</v>
      </c>
      <c r="H226" s="6" t="s">
        <v>1330</v>
      </c>
      <c r="I226" s="6" t="s">
        <v>81</v>
      </c>
      <c r="J226" s="6" t="s">
        <v>621</v>
      </c>
      <c r="K226" s="6" t="s">
        <v>1653</v>
      </c>
      <c r="L226" s="6" t="s">
        <v>1654</v>
      </c>
      <c r="M226" s="6" t="s">
        <v>1655</v>
      </c>
      <c r="N226" s="6"/>
      <c r="O226" s="6"/>
      <c r="P226" s="6" t="s">
        <v>1656</v>
      </c>
      <c r="Q226" s="6" t="s">
        <v>169</v>
      </c>
      <c r="R226" s="6" t="s">
        <v>1657</v>
      </c>
      <c r="S226" s="6"/>
      <c r="T226" s="6"/>
      <c r="U226" s="6"/>
      <c r="V226" s="6"/>
      <c r="W226" s="6"/>
      <c r="X226" s="6"/>
      <c r="Y226" s="6"/>
      <c r="Z226" s="6"/>
      <c r="AA226" s="6" t="s">
        <v>89</v>
      </c>
      <c r="AB226" s="6" t="s">
        <v>1671</v>
      </c>
      <c r="AC226" s="6" t="s">
        <v>1364</v>
      </c>
      <c r="AD226" s="6" t="s">
        <v>1365</v>
      </c>
      <c r="AE226" s="6" t="s">
        <v>1366</v>
      </c>
      <c r="AF226" s="6" t="s">
        <v>1672</v>
      </c>
      <c r="AG226" s="6"/>
      <c r="AH226" s="6"/>
      <c r="AI226" s="7"/>
      <c r="AJ226" s="7"/>
      <c r="AK226" s="7"/>
      <c r="AL226" s="7"/>
      <c r="AM226" s="7"/>
      <c r="AN226" s="7"/>
      <c r="AO226" s="7"/>
      <c r="AP226" s="7"/>
      <c r="AQ226" s="7"/>
      <c r="AR226" s="7"/>
      <c r="AS226" s="7"/>
      <c r="AT226" s="7"/>
      <c r="AU226" s="7"/>
      <c r="AV226" s="7"/>
      <c r="AW226" s="7"/>
      <c r="AX226" s="7"/>
      <c r="AY226" s="7"/>
      <c r="AZ226" s="7"/>
    </row>
    <row r="227" customFormat="false" ht="150" hidden="false" customHeight="true" outlineLevel="0" collapsed="false">
      <c r="A227" s="6" t="s">
        <v>1673</v>
      </c>
      <c r="B227" s="6" t="s">
        <v>1329</v>
      </c>
      <c r="C227" s="6" t="s">
        <v>76</v>
      </c>
      <c r="D227" s="6" t="s">
        <v>110</v>
      </c>
      <c r="E227" s="6" t="s">
        <v>111</v>
      </c>
      <c r="F227" s="6"/>
      <c r="G227" s="6" t="s">
        <v>1362</v>
      </c>
      <c r="H227" s="6" t="s">
        <v>1330</v>
      </c>
      <c r="I227" s="6" t="s">
        <v>81</v>
      </c>
      <c r="J227" s="6" t="s">
        <v>621</v>
      </c>
      <c r="K227" s="6" t="s">
        <v>1653</v>
      </c>
      <c r="L227" s="6" t="s">
        <v>1654</v>
      </c>
      <c r="M227" s="6" t="s">
        <v>1655</v>
      </c>
      <c r="N227" s="6"/>
      <c r="O227" s="6"/>
      <c r="P227" s="6" t="s">
        <v>1656</v>
      </c>
      <c r="Q227" s="6" t="s">
        <v>169</v>
      </c>
      <c r="R227" s="6" t="s">
        <v>1657</v>
      </c>
      <c r="S227" s="6"/>
      <c r="T227" s="6"/>
      <c r="U227" s="6"/>
      <c r="V227" s="6"/>
      <c r="W227" s="6"/>
      <c r="X227" s="6"/>
      <c r="Y227" s="6"/>
      <c r="Z227" s="6"/>
      <c r="AA227" s="6" t="s">
        <v>89</v>
      </c>
      <c r="AB227" s="6" t="s">
        <v>1674</v>
      </c>
      <c r="AC227" s="6" t="s">
        <v>1370</v>
      </c>
      <c r="AD227" s="6" t="s">
        <v>1371</v>
      </c>
      <c r="AE227" s="6" t="s">
        <v>1372</v>
      </c>
      <c r="AF227" s="6" t="s">
        <v>1672</v>
      </c>
      <c r="AG227" s="6"/>
      <c r="AH227" s="6"/>
      <c r="AI227" s="7"/>
      <c r="AJ227" s="7"/>
      <c r="AK227" s="7"/>
      <c r="AL227" s="7"/>
      <c r="AM227" s="7"/>
      <c r="AN227" s="7"/>
      <c r="AO227" s="7"/>
      <c r="AP227" s="7"/>
      <c r="AQ227" s="7"/>
      <c r="AR227" s="7"/>
      <c r="AS227" s="7"/>
      <c r="AT227" s="7"/>
      <c r="AU227" s="7"/>
      <c r="AV227" s="7"/>
      <c r="AW227" s="7"/>
      <c r="AX227" s="7"/>
      <c r="AY227" s="7"/>
      <c r="AZ227" s="7"/>
    </row>
    <row r="228" customFormat="false" ht="150" hidden="false" customHeight="true" outlineLevel="0" collapsed="false">
      <c r="A228" s="6" t="s">
        <v>1675</v>
      </c>
      <c r="B228" s="6" t="s">
        <v>1329</v>
      </c>
      <c r="C228" s="6" t="s">
        <v>76</v>
      </c>
      <c r="D228" s="6" t="s">
        <v>110</v>
      </c>
      <c r="E228" s="6" t="s">
        <v>111</v>
      </c>
      <c r="F228" s="6"/>
      <c r="G228" s="6" t="s">
        <v>79</v>
      </c>
      <c r="H228" s="6" t="s">
        <v>1330</v>
      </c>
      <c r="I228" s="6" t="s">
        <v>81</v>
      </c>
      <c r="J228" s="6" t="s">
        <v>595</v>
      </c>
      <c r="K228" s="6" t="s">
        <v>1676</v>
      </c>
      <c r="L228" s="6" t="s">
        <v>1677</v>
      </c>
      <c r="M228" s="6" t="s">
        <v>1678</v>
      </c>
      <c r="N228" s="6"/>
      <c r="O228" s="6"/>
      <c r="P228" s="6" t="s">
        <v>258</v>
      </c>
      <c r="Q228" s="6" t="s">
        <v>1679</v>
      </c>
      <c r="R228" s="6" t="s">
        <v>1680</v>
      </c>
      <c r="S228" s="6"/>
      <c r="T228" s="6"/>
      <c r="U228" s="6"/>
      <c r="V228" s="6"/>
      <c r="W228" s="6"/>
      <c r="X228" s="6"/>
      <c r="Y228" s="6"/>
      <c r="Z228" s="6"/>
      <c r="AA228" s="6" t="s">
        <v>89</v>
      </c>
      <c r="AB228" s="6" t="s">
        <v>1681</v>
      </c>
      <c r="AC228" s="6" t="s">
        <v>1335</v>
      </c>
      <c r="AD228" s="6" t="s">
        <v>1336</v>
      </c>
      <c r="AE228" s="6" t="s">
        <v>1337</v>
      </c>
      <c r="AF228" s="6" t="s">
        <v>1682</v>
      </c>
      <c r="AG228" s="6"/>
      <c r="AH228" s="6"/>
      <c r="AI228" s="7"/>
      <c r="AJ228" s="7"/>
      <c r="AK228" s="7"/>
      <c r="AL228" s="7"/>
      <c r="AM228" s="7"/>
      <c r="AN228" s="7"/>
      <c r="AO228" s="7"/>
      <c r="AP228" s="7"/>
      <c r="AQ228" s="7"/>
      <c r="AR228" s="7"/>
      <c r="AS228" s="7"/>
      <c r="AT228" s="7"/>
      <c r="AU228" s="7"/>
      <c r="AV228" s="7"/>
      <c r="AW228" s="7"/>
      <c r="AX228" s="7"/>
      <c r="AY228" s="7"/>
      <c r="AZ228" s="7"/>
    </row>
    <row r="229" customFormat="false" ht="150" hidden="false" customHeight="true" outlineLevel="0" collapsed="false">
      <c r="A229" s="6" t="s">
        <v>1683</v>
      </c>
      <c r="B229" s="6" t="s">
        <v>1329</v>
      </c>
      <c r="C229" s="6" t="s">
        <v>76</v>
      </c>
      <c r="D229" s="6" t="s">
        <v>110</v>
      </c>
      <c r="E229" s="6" t="s">
        <v>111</v>
      </c>
      <c r="F229" s="6"/>
      <c r="G229" s="6" t="s">
        <v>98</v>
      </c>
      <c r="H229" s="6" t="s">
        <v>1330</v>
      </c>
      <c r="I229" s="6" t="s">
        <v>81</v>
      </c>
      <c r="J229" s="6" t="s">
        <v>621</v>
      </c>
      <c r="K229" s="6" t="s">
        <v>1676</v>
      </c>
      <c r="L229" s="6" t="s">
        <v>1677</v>
      </c>
      <c r="M229" s="6" t="s">
        <v>1678</v>
      </c>
      <c r="N229" s="6"/>
      <c r="O229" s="6"/>
      <c r="P229" s="6" t="s">
        <v>258</v>
      </c>
      <c r="Q229" s="6" t="s">
        <v>1679</v>
      </c>
      <c r="R229" s="6" t="s">
        <v>1680</v>
      </c>
      <c r="S229" s="6"/>
      <c r="T229" s="6"/>
      <c r="U229" s="6"/>
      <c r="V229" s="6"/>
      <c r="W229" s="6"/>
      <c r="X229" s="6"/>
      <c r="Y229" s="6"/>
      <c r="Z229" s="6"/>
      <c r="AA229" s="6" t="s">
        <v>89</v>
      </c>
      <c r="AB229" s="6" t="s">
        <v>1684</v>
      </c>
      <c r="AC229" s="6" t="s">
        <v>1341</v>
      </c>
      <c r="AD229" s="6" t="s">
        <v>1342</v>
      </c>
      <c r="AE229" s="6" t="s">
        <v>1343</v>
      </c>
      <c r="AF229" s="6" t="s">
        <v>1685</v>
      </c>
      <c r="AG229" s="6"/>
      <c r="AH229" s="6"/>
      <c r="AI229" s="7"/>
      <c r="AJ229" s="7"/>
      <c r="AK229" s="7"/>
      <c r="AL229" s="7"/>
      <c r="AM229" s="7"/>
      <c r="AN229" s="7"/>
      <c r="AO229" s="7"/>
      <c r="AP229" s="7"/>
      <c r="AQ229" s="7"/>
      <c r="AR229" s="7"/>
      <c r="AS229" s="7"/>
      <c r="AT229" s="7"/>
      <c r="AU229" s="7"/>
      <c r="AV229" s="7"/>
      <c r="AW229" s="7"/>
      <c r="AX229" s="7"/>
      <c r="AY229" s="7"/>
      <c r="AZ229" s="7"/>
    </row>
    <row r="230" customFormat="false" ht="150" hidden="false" customHeight="true" outlineLevel="0" collapsed="false">
      <c r="A230" s="6" t="s">
        <v>1686</v>
      </c>
      <c r="B230" s="6" t="s">
        <v>1329</v>
      </c>
      <c r="C230" s="6" t="s">
        <v>76</v>
      </c>
      <c r="D230" s="6" t="s">
        <v>110</v>
      </c>
      <c r="E230" s="6" t="s">
        <v>111</v>
      </c>
      <c r="F230" s="6"/>
      <c r="G230" s="6" t="s">
        <v>98</v>
      </c>
      <c r="H230" s="6" t="s">
        <v>1330</v>
      </c>
      <c r="I230" s="6" t="s">
        <v>81</v>
      </c>
      <c r="J230" s="6" t="s">
        <v>621</v>
      </c>
      <c r="K230" s="6" t="s">
        <v>1676</v>
      </c>
      <c r="L230" s="6" t="s">
        <v>1677</v>
      </c>
      <c r="M230" s="6" t="s">
        <v>1678</v>
      </c>
      <c r="N230" s="6"/>
      <c r="O230" s="6"/>
      <c r="P230" s="6" t="s">
        <v>258</v>
      </c>
      <c r="Q230" s="6" t="s">
        <v>1679</v>
      </c>
      <c r="R230" s="6" t="s">
        <v>1680</v>
      </c>
      <c r="S230" s="6"/>
      <c r="T230" s="6"/>
      <c r="U230" s="6"/>
      <c r="V230" s="6"/>
      <c r="W230" s="6"/>
      <c r="X230" s="6"/>
      <c r="Y230" s="6"/>
      <c r="Z230" s="6"/>
      <c r="AA230" s="6" t="s">
        <v>89</v>
      </c>
      <c r="AB230" s="6" t="s">
        <v>1687</v>
      </c>
      <c r="AC230" s="6" t="s">
        <v>1347</v>
      </c>
      <c r="AD230" s="6" t="s">
        <v>1348</v>
      </c>
      <c r="AE230" s="6" t="s">
        <v>1349</v>
      </c>
      <c r="AF230" s="6" t="s">
        <v>1685</v>
      </c>
      <c r="AG230" s="6"/>
      <c r="AH230" s="6"/>
      <c r="AI230" s="7"/>
      <c r="AJ230" s="7"/>
      <c r="AK230" s="7"/>
      <c r="AL230" s="7"/>
      <c r="AM230" s="7"/>
      <c r="AN230" s="7"/>
      <c r="AO230" s="7"/>
      <c r="AP230" s="7"/>
      <c r="AQ230" s="7"/>
      <c r="AR230" s="7"/>
      <c r="AS230" s="7"/>
      <c r="AT230" s="7"/>
      <c r="AU230" s="7"/>
      <c r="AV230" s="7"/>
      <c r="AW230" s="7"/>
      <c r="AX230" s="7"/>
      <c r="AY230" s="7"/>
      <c r="AZ230" s="7"/>
    </row>
    <row r="231" customFormat="false" ht="150" hidden="false" customHeight="true" outlineLevel="0" collapsed="false">
      <c r="A231" s="6" t="s">
        <v>1688</v>
      </c>
      <c r="B231" s="6" t="s">
        <v>1329</v>
      </c>
      <c r="C231" s="6" t="s">
        <v>76</v>
      </c>
      <c r="D231" s="6" t="s">
        <v>110</v>
      </c>
      <c r="E231" s="6" t="s">
        <v>111</v>
      </c>
      <c r="F231" s="6"/>
      <c r="G231" s="6" t="s">
        <v>165</v>
      </c>
      <c r="H231" s="6" t="s">
        <v>1330</v>
      </c>
      <c r="I231" s="6" t="s">
        <v>81</v>
      </c>
      <c r="J231" s="6" t="s">
        <v>621</v>
      </c>
      <c r="K231" s="6" t="s">
        <v>1676</v>
      </c>
      <c r="L231" s="6" t="s">
        <v>1677</v>
      </c>
      <c r="M231" s="6" t="s">
        <v>1678</v>
      </c>
      <c r="N231" s="6"/>
      <c r="O231" s="6"/>
      <c r="P231" s="6" t="s">
        <v>258</v>
      </c>
      <c r="Q231" s="6" t="s">
        <v>1679</v>
      </c>
      <c r="R231" s="6" t="s">
        <v>1680</v>
      </c>
      <c r="S231" s="6"/>
      <c r="T231" s="6"/>
      <c r="U231" s="6"/>
      <c r="V231" s="6"/>
      <c r="W231" s="6"/>
      <c r="X231" s="6"/>
      <c r="Y231" s="6"/>
      <c r="Z231" s="6"/>
      <c r="AA231" s="6" t="s">
        <v>89</v>
      </c>
      <c r="AB231" s="6" t="s">
        <v>1689</v>
      </c>
      <c r="AC231" s="6" t="s">
        <v>1352</v>
      </c>
      <c r="AD231" s="6" t="s">
        <v>1353</v>
      </c>
      <c r="AE231" s="6" t="s">
        <v>1354</v>
      </c>
      <c r="AF231" s="6" t="s">
        <v>1690</v>
      </c>
      <c r="AG231" s="6"/>
      <c r="AH231" s="6"/>
      <c r="AI231" s="7"/>
      <c r="AJ231" s="7"/>
      <c r="AK231" s="7"/>
      <c r="AL231" s="7"/>
      <c r="AM231" s="7"/>
      <c r="AN231" s="7"/>
      <c r="AO231" s="7"/>
      <c r="AP231" s="7"/>
      <c r="AQ231" s="7"/>
      <c r="AR231" s="7"/>
      <c r="AS231" s="7"/>
      <c r="AT231" s="7"/>
      <c r="AU231" s="7"/>
      <c r="AV231" s="7"/>
      <c r="AW231" s="7"/>
      <c r="AX231" s="7"/>
      <c r="AY231" s="7"/>
      <c r="AZ231" s="7"/>
    </row>
    <row r="232" customFormat="false" ht="150" hidden="false" customHeight="true" outlineLevel="0" collapsed="false">
      <c r="A232" s="6" t="s">
        <v>1691</v>
      </c>
      <c r="B232" s="6" t="s">
        <v>1329</v>
      </c>
      <c r="C232" s="6" t="s">
        <v>76</v>
      </c>
      <c r="D232" s="6" t="s">
        <v>110</v>
      </c>
      <c r="E232" s="6" t="s">
        <v>111</v>
      </c>
      <c r="F232" s="6"/>
      <c r="G232" s="6" t="s">
        <v>165</v>
      </c>
      <c r="H232" s="6" t="s">
        <v>1330</v>
      </c>
      <c r="I232" s="6" t="s">
        <v>81</v>
      </c>
      <c r="J232" s="6" t="s">
        <v>621</v>
      </c>
      <c r="K232" s="6" t="s">
        <v>1676</v>
      </c>
      <c r="L232" s="6" t="s">
        <v>1677</v>
      </c>
      <c r="M232" s="6" t="s">
        <v>1678</v>
      </c>
      <c r="N232" s="6"/>
      <c r="O232" s="6"/>
      <c r="P232" s="6" t="s">
        <v>258</v>
      </c>
      <c r="Q232" s="6" t="s">
        <v>1679</v>
      </c>
      <c r="R232" s="6" t="s">
        <v>1680</v>
      </c>
      <c r="S232" s="6"/>
      <c r="T232" s="6"/>
      <c r="U232" s="6"/>
      <c r="V232" s="6"/>
      <c r="W232" s="6"/>
      <c r="X232" s="6"/>
      <c r="Y232" s="6"/>
      <c r="Z232" s="6"/>
      <c r="AA232" s="6" t="s">
        <v>89</v>
      </c>
      <c r="AB232" s="6" t="s">
        <v>1692</v>
      </c>
      <c r="AC232" s="6" t="s">
        <v>1358</v>
      </c>
      <c r="AD232" s="6" t="s">
        <v>1359</v>
      </c>
      <c r="AE232" s="6" t="s">
        <v>1360</v>
      </c>
      <c r="AF232" s="6" t="s">
        <v>1690</v>
      </c>
      <c r="AG232" s="6"/>
      <c r="AH232" s="6"/>
      <c r="AI232" s="7"/>
      <c r="AJ232" s="7"/>
      <c r="AK232" s="7"/>
      <c r="AL232" s="7"/>
      <c r="AM232" s="7"/>
      <c r="AN232" s="7"/>
      <c r="AO232" s="7"/>
      <c r="AP232" s="7"/>
      <c r="AQ232" s="7"/>
      <c r="AR232" s="7"/>
      <c r="AS232" s="7"/>
      <c r="AT232" s="7"/>
      <c r="AU232" s="7"/>
      <c r="AV232" s="7"/>
      <c r="AW232" s="7"/>
      <c r="AX232" s="7"/>
      <c r="AY232" s="7"/>
      <c r="AZ232" s="7"/>
    </row>
    <row r="233" customFormat="false" ht="150" hidden="false" customHeight="true" outlineLevel="0" collapsed="false">
      <c r="A233" s="6" t="s">
        <v>1693</v>
      </c>
      <c r="B233" s="6" t="s">
        <v>1329</v>
      </c>
      <c r="C233" s="6" t="s">
        <v>76</v>
      </c>
      <c r="D233" s="6" t="s">
        <v>110</v>
      </c>
      <c r="E233" s="6" t="s">
        <v>111</v>
      </c>
      <c r="F233" s="6"/>
      <c r="G233" s="6" t="s">
        <v>1362</v>
      </c>
      <c r="H233" s="6" t="s">
        <v>1330</v>
      </c>
      <c r="I233" s="6" t="s">
        <v>81</v>
      </c>
      <c r="J233" s="6" t="s">
        <v>621</v>
      </c>
      <c r="K233" s="6" t="s">
        <v>1676</v>
      </c>
      <c r="L233" s="6" t="s">
        <v>1677</v>
      </c>
      <c r="M233" s="6" t="s">
        <v>1678</v>
      </c>
      <c r="N233" s="6"/>
      <c r="O233" s="6"/>
      <c r="P233" s="6" t="s">
        <v>258</v>
      </c>
      <c r="Q233" s="6" t="s">
        <v>1679</v>
      </c>
      <c r="R233" s="6" t="s">
        <v>1680</v>
      </c>
      <c r="S233" s="6"/>
      <c r="T233" s="6"/>
      <c r="U233" s="6"/>
      <c r="V233" s="6"/>
      <c r="W233" s="6"/>
      <c r="X233" s="6"/>
      <c r="Y233" s="6"/>
      <c r="Z233" s="6"/>
      <c r="AA233" s="6" t="s">
        <v>89</v>
      </c>
      <c r="AB233" s="6" t="s">
        <v>1694</v>
      </c>
      <c r="AC233" s="6" t="s">
        <v>1364</v>
      </c>
      <c r="AD233" s="6" t="s">
        <v>1365</v>
      </c>
      <c r="AE233" s="6" t="s">
        <v>1366</v>
      </c>
      <c r="AF233" s="6" t="s">
        <v>1695</v>
      </c>
      <c r="AG233" s="6"/>
      <c r="AH233" s="6"/>
      <c r="AI233" s="7"/>
      <c r="AJ233" s="7"/>
      <c r="AK233" s="7"/>
      <c r="AL233" s="7"/>
      <c r="AM233" s="7"/>
      <c r="AN233" s="7"/>
      <c r="AO233" s="7"/>
      <c r="AP233" s="7"/>
      <c r="AQ233" s="7"/>
      <c r="AR233" s="7"/>
      <c r="AS233" s="7"/>
      <c r="AT233" s="7"/>
      <c r="AU233" s="7"/>
      <c r="AV233" s="7"/>
      <c r="AW233" s="7"/>
      <c r="AX233" s="7"/>
      <c r="AY233" s="7"/>
      <c r="AZ233" s="7"/>
    </row>
    <row r="234" customFormat="false" ht="150" hidden="false" customHeight="true" outlineLevel="0" collapsed="false">
      <c r="A234" s="6" t="s">
        <v>1696</v>
      </c>
      <c r="B234" s="6" t="s">
        <v>1329</v>
      </c>
      <c r="C234" s="6" t="s">
        <v>76</v>
      </c>
      <c r="D234" s="6" t="s">
        <v>110</v>
      </c>
      <c r="E234" s="6" t="s">
        <v>111</v>
      </c>
      <c r="F234" s="6"/>
      <c r="G234" s="6" t="s">
        <v>1362</v>
      </c>
      <c r="H234" s="6" t="s">
        <v>1330</v>
      </c>
      <c r="I234" s="6" t="s">
        <v>81</v>
      </c>
      <c r="J234" s="6" t="s">
        <v>621</v>
      </c>
      <c r="K234" s="6" t="s">
        <v>1676</v>
      </c>
      <c r="L234" s="6" t="s">
        <v>1677</v>
      </c>
      <c r="M234" s="6" t="s">
        <v>1678</v>
      </c>
      <c r="N234" s="6"/>
      <c r="O234" s="6"/>
      <c r="P234" s="6" t="s">
        <v>258</v>
      </c>
      <c r="Q234" s="6" t="s">
        <v>1679</v>
      </c>
      <c r="R234" s="6" t="s">
        <v>1680</v>
      </c>
      <c r="S234" s="6"/>
      <c r="T234" s="6"/>
      <c r="U234" s="6"/>
      <c r="V234" s="6"/>
      <c r="W234" s="6"/>
      <c r="X234" s="6"/>
      <c r="Y234" s="6"/>
      <c r="Z234" s="6"/>
      <c r="AA234" s="6" t="s">
        <v>89</v>
      </c>
      <c r="AB234" s="6" t="s">
        <v>1697</v>
      </c>
      <c r="AC234" s="6" t="s">
        <v>1370</v>
      </c>
      <c r="AD234" s="6" t="s">
        <v>1371</v>
      </c>
      <c r="AE234" s="6" t="s">
        <v>1372</v>
      </c>
      <c r="AF234" s="6" t="s">
        <v>1695</v>
      </c>
      <c r="AG234" s="6"/>
      <c r="AH234" s="6"/>
      <c r="AI234" s="7"/>
      <c r="AJ234" s="7"/>
      <c r="AK234" s="7"/>
      <c r="AL234" s="7"/>
      <c r="AM234" s="7"/>
      <c r="AN234" s="7"/>
      <c r="AO234" s="7"/>
      <c r="AP234" s="7"/>
      <c r="AQ234" s="7"/>
      <c r="AR234" s="7"/>
      <c r="AS234" s="7"/>
      <c r="AT234" s="7"/>
      <c r="AU234" s="7"/>
      <c r="AV234" s="7"/>
      <c r="AW234" s="7"/>
      <c r="AX234" s="7"/>
      <c r="AY234" s="7"/>
      <c r="AZ234" s="7"/>
    </row>
    <row r="235" customFormat="false" ht="150" hidden="false" customHeight="true" outlineLevel="0" collapsed="false">
      <c r="A235" s="6" t="s">
        <v>1698</v>
      </c>
      <c r="B235" s="6" t="s">
        <v>1329</v>
      </c>
      <c r="C235" s="6" t="s">
        <v>76</v>
      </c>
      <c r="D235" s="6" t="s">
        <v>132</v>
      </c>
      <c r="E235" s="6" t="s">
        <v>133</v>
      </c>
      <c r="F235" s="6"/>
      <c r="G235" s="6" t="s">
        <v>79</v>
      </c>
      <c r="H235" s="6" t="s">
        <v>1330</v>
      </c>
      <c r="I235" s="6" t="s">
        <v>81</v>
      </c>
      <c r="J235" s="6" t="s">
        <v>595</v>
      </c>
      <c r="K235" s="6" t="s">
        <v>1699</v>
      </c>
      <c r="L235" s="6" t="s">
        <v>1700</v>
      </c>
      <c r="M235" s="6" t="s">
        <v>1701</v>
      </c>
      <c r="N235" s="6"/>
      <c r="O235" s="6"/>
      <c r="P235" s="6" t="s">
        <v>1702</v>
      </c>
      <c r="Q235" s="6" t="s">
        <v>338</v>
      </c>
      <c r="R235" s="6" t="s">
        <v>1703</v>
      </c>
      <c r="S235" s="6"/>
      <c r="T235" s="6"/>
      <c r="U235" s="6"/>
      <c r="V235" s="6"/>
      <c r="W235" s="6"/>
      <c r="X235" s="6"/>
      <c r="Y235" s="6"/>
      <c r="Z235" s="6"/>
      <c r="AA235" s="6" t="s">
        <v>89</v>
      </c>
      <c r="AB235" s="6" t="s">
        <v>1704</v>
      </c>
      <c r="AC235" s="6" t="s">
        <v>1335</v>
      </c>
      <c r="AD235" s="6" t="s">
        <v>1336</v>
      </c>
      <c r="AE235" s="6" t="s">
        <v>1337</v>
      </c>
      <c r="AF235" s="6" t="s">
        <v>1705</v>
      </c>
      <c r="AG235" s="6"/>
      <c r="AH235" s="6"/>
      <c r="AI235" s="7"/>
      <c r="AJ235" s="7"/>
      <c r="AK235" s="7"/>
      <c r="AL235" s="7"/>
      <c r="AM235" s="7"/>
      <c r="AN235" s="7"/>
      <c r="AO235" s="7"/>
      <c r="AP235" s="7"/>
      <c r="AQ235" s="7"/>
      <c r="AR235" s="7"/>
      <c r="AS235" s="7"/>
      <c r="AT235" s="7"/>
      <c r="AU235" s="7"/>
      <c r="AV235" s="7"/>
      <c r="AW235" s="7"/>
      <c r="AX235" s="7"/>
      <c r="AY235" s="7"/>
      <c r="AZ235" s="7"/>
    </row>
    <row r="236" customFormat="false" ht="150" hidden="false" customHeight="true" outlineLevel="0" collapsed="false">
      <c r="A236" s="6" t="s">
        <v>1706</v>
      </c>
      <c r="B236" s="6" t="s">
        <v>1329</v>
      </c>
      <c r="C236" s="6" t="s">
        <v>76</v>
      </c>
      <c r="D236" s="6" t="s">
        <v>132</v>
      </c>
      <c r="E236" s="6" t="s">
        <v>133</v>
      </c>
      <c r="F236" s="6"/>
      <c r="G236" s="6" t="s">
        <v>98</v>
      </c>
      <c r="H236" s="6" t="s">
        <v>1330</v>
      </c>
      <c r="I236" s="6" t="s">
        <v>81</v>
      </c>
      <c r="J236" s="6" t="s">
        <v>621</v>
      </c>
      <c r="K236" s="6" t="s">
        <v>1699</v>
      </c>
      <c r="L236" s="6" t="s">
        <v>1700</v>
      </c>
      <c r="M236" s="6" t="s">
        <v>1701</v>
      </c>
      <c r="N236" s="6"/>
      <c r="O236" s="6"/>
      <c r="P236" s="6" t="s">
        <v>1702</v>
      </c>
      <c r="Q236" s="6" t="s">
        <v>338</v>
      </c>
      <c r="R236" s="6" t="s">
        <v>1703</v>
      </c>
      <c r="S236" s="6"/>
      <c r="T236" s="6"/>
      <c r="U236" s="6"/>
      <c r="V236" s="6"/>
      <c r="W236" s="6"/>
      <c r="X236" s="6"/>
      <c r="Y236" s="6"/>
      <c r="Z236" s="6"/>
      <c r="AA236" s="6" t="s">
        <v>89</v>
      </c>
      <c r="AB236" s="6" t="s">
        <v>1707</v>
      </c>
      <c r="AC236" s="6" t="s">
        <v>1341</v>
      </c>
      <c r="AD236" s="6" t="s">
        <v>1342</v>
      </c>
      <c r="AE236" s="6" t="s">
        <v>1343</v>
      </c>
      <c r="AF236" s="6" t="s">
        <v>1708</v>
      </c>
      <c r="AG236" s="6"/>
      <c r="AH236" s="6"/>
      <c r="AI236" s="7"/>
      <c r="AJ236" s="7"/>
      <c r="AK236" s="7"/>
      <c r="AL236" s="7"/>
      <c r="AM236" s="7"/>
      <c r="AN236" s="7"/>
      <c r="AO236" s="7"/>
      <c r="AP236" s="7"/>
      <c r="AQ236" s="7"/>
      <c r="AR236" s="7"/>
      <c r="AS236" s="7"/>
      <c r="AT236" s="7"/>
      <c r="AU236" s="7"/>
      <c r="AV236" s="7"/>
      <c r="AW236" s="7"/>
      <c r="AX236" s="7"/>
      <c r="AY236" s="7"/>
      <c r="AZ236" s="7"/>
    </row>
    <row r="237" customFormat="false" ht="150" hidden="false" customHeight="true" outlineLevel="0" collapsed="false">
      <c r="A237" s="6" t="s">
        <v>1709</v>
      </c>
      <c r="B237" s="6" t="s">
        <v>1329</v>
      </c>
      <c r="C237" s="6" t="s">
        <v>76</v>
      </c>
      <c r="D237" s="6" t="s">
        <v>132</v>
      </c>
      <c r="E237" s="6" t="s">
        <v>133</v>
      </c>
      <c r="F237" s="6"/>
      <c r="G237" s="6" t="s">
        <v>98</v>
      </c>
      <c r="H237" s="6" t="s">
        <v>1330</v>
      </c>
      <c r="I237" s="6" t="s">
        <v>81</v>
      </c>
      <c r="J237" s="6" t="s">
        <v>621</v>
      </c>
      <c r="K237" s="6" t="s">
        <v>1699</v>
      </c>
      <c r="L237" s="6" t="s">
        <v>1700</v>
      </c>
      <c r="M237" s="6" t="s">
        <v>1701</v>
      </c>
      <c r="N237" s="6"/>
      <c r="O237" s="6"/>
      <c r="P237" s="6" t="s">
        <v>1702</v>
      </c>
      <c r="Q237" s="6" t="s">
        <v>338</v>
      </c>
      <c r="R237" s="6" t="s">
        <v>1703</v>
      </c>
      <c r="S237" s="6"/>
      <c r="T237" s="6"/>
      <c r="U237" s="6"/>
      <c r="V237" s="6"/>
      <c r="W237" s="6"/>
      <c r="X237" s="6"/>
      <c r="Y237" s="6"/>
      <c r="Z237" s="6"/>
      <c r="AA237" s="6" t="s">
        <v>89</v>
      </c>
      <c r="AB237" s="6" t="s">
        <v>1710</v>
      </c>
      <c r="AC237" s="6" t="s">
        <v>1347</v>
      </c>
      <c r="AD237" s="6" t="s">
        <v>1348</v>
      </c>
      <c r="AE237" s="6" t="s">
        <v>1349</v>
      </c>
      <c r="AF237" s="6" t="s">
        <v>1708</v>
      </c>
      <c r="AG237" s="6"/>
      <c r="AH237" s="6"/>
      <c r="AI237" s="7"/>
      <c r="AJ237" s="7"/>
      <c r="AK237" s="7"/>
      <c r="AL237" s="7"/>
      <c r="AM237" s="7"/>
      <c r="AN237" s="7"/>
      <c r="AO237" s="7"/>
      <c r="AP237" s="7"/>
      <c r="AQ237" s="7"/>
      <c r="AR237" s="7"/>
      <c r="AS237" s="7"/>
      <c r="AT237" s="7"/>
      <c r="AU237" s="7"/>
      <c r="AV237" s="7"/>
      <c r="AW237" s="7"/>
      <c r="AX237" s="7"/>
      <c r="AY237" s="7"/>
      <c r="AZ237" s="7"/>
    </row>
    <row r="238" customFormat="false" ht="150" hidden="false" customHeight="true" outlineLevel="0" collapsed="false">
      <c r="A238" s="6" t="s">
        <v>1711</v>
      </c>
      <c r="B238" s="6" t="s">
        <v>1329</v>
      </c>
      <c r="C238" s="6" t="s">
        <v>76</v>
      </c>
      <c r="D238" s="6" t="s">
        <v>132</v>
      </c>
      <c r="E238" s="6" t="s">
        <v>133</v>
      </c>
      <c r="F238" s="6"/>
      <c r="G238" s="6" t="s">
        <v>165</v>
      </c>
      <c r="H238" s="6" t="s">
        <v>1330</v>
      </c>
      <c r="I238" s="6" t="s">
        <v>81</v>
      </c>
      <c r="J238" s="6" t="s">
        <v>621</v>
      </c>
      <c r="K238" s="6" t="s">
        <v>1699</v>
      </c>
      <c r="L238" s="6" t="s">
        <v>1700</v>
      </c>
      <c r="M238" s="6" t="s">
        <v>1701</v>
      </c>
      <c r="N238" s="6"/>
      <c r="O238" s="6"/>
      <c r="P238" s="6" t="s">
        <v>1702</v>
      </c>
      <c r="Q238" s="6" t="s">
        <v>338</v>
      </c>
      <c r="R238" s="6" t="s">
        <v>1703</v>
      </c>
      <c r="S238" s="6"/>
      <c r="T238" s="6"/>
      <c r="U238" s="6"/>
      <c r="V238" s="6"/>
      <c r="W238" s="6"/>
      <c r="X238" s="6"/>
      <c r="Y238" s="6"/>
      <c r="Z238" s="6"/>
      <c r="AA238" s="6" t="s">
        <v>89</v>
      </c>
      <c r="AB238" s="6" t="s">
        <v>1712</v>
      </c>
      <c r="AC238" s="6" t="s">
        <v>1352</v>
      </c>
      <c r="AD238" s="6" t="s">
        <v>1353</v>
      </c>
      <c r="AE238" s="6" t="s">
        <v>1354</v>
      </c>
      <c r="AF238" s="6" t="s">
        <v>1713</v>
      </c>
      <c r="AG238" s="6"/>
      <c r="AH238" s="6"/>
      <c r="AI238" s="7"/>
      <c r="AJ238" s="7"/>
      <c r="AK238" s="7"/>
      <c r="AL238" s="7"/>
      <c r="AM238" s="7"/>
      <c r="AN238" s="7"/>
      <c r="AO238" s="7"/>
      <c r="AP238" s="7"/>
      <c r="AQ238" s="7"/>
      <c r="AR238" s="7"/>
      <c r="AS238" s="7"/>
      <c r="AT238" s="7"/>
      <c r="AU238" s="7"/>
      <c r="AV238" s="7"/>
      <c r="AW238" s="7"/>
      <c r="AX238" s="7"/>
      <c r="AY238" s="7"/>
      <c r="AZ238" s="7"/>
    </row>
    <row r="239" customFormat="false" ht="150" hidden="false" customHeight="true" outlineLevel="0" collapsed="false">
      <c r="A239" s="6" t="s">
        <v>1714</v>
      </c>
      <c r="B239" s="6" t="s">
        <v>1329</v>
      </c>
      <c r="C239" s="6" t="s">
        <v>76</v>
      </c>
      <c r="D239" s="6" t="s">
        <v>132</v>
      </c>
      <c r="E239" s="6" t="s">
        <v>133</v>
      </c>
      <c r="F239" s="6"/>
      <c r="G239" s="6" t="s">
        <v>165</v>
      </c>
      <c r="H239" s="6" t="s">
        <v>1330</v>
      </c>
      <c r="I239" s="6" t="s">
        <v>81</v>
      </c>
      <c r="J239" s="6" t="s">
        <v>621</v>
      </c>
      <c r="K239" s="6" t="s">
        <v>1699</v>
      </c>
      <c r="L239" s="6" t="s">
        <v>1700</v>
      </c>
      <c r="M239" s="6" t="s">
        <v>1701</v>
      </c>
      <c r="N239" s="6"/>
      <c r="O239" s="6"/>
      <c r="P239" s="6" t="s">
        <v>1702</v>
      </c>
      <c r="Q239" s="6" t="s">
        <v>338</v>
      </c>
      <c r="R239" s="6" t="s">
        <v>1703</v>
      </c>
      <c r="S239" s="6"/>
      <c r="T239" s="6"/>
      <c r="U239" s="6"/>
      <c r="V239" s="6"/>
      <c r="W239" s="6"/>
      <c r="X239" s="6"/>
      <c r="Y239" s="6"/>
      <c r="Z239" s="6"/>
      <c r="AA239" s="6" t="s">
        <v>89</v>
      </c>
      <c r="AB239" s="6" t="s">
        <v>1715</v>
      </c>
      <c r="AC239" s="6" t="s">
        <v>1358</v>
      </c>
      <c r="AD239" s="6" t="s">
        <v>1359</v>
      </c>
      <c r="AE239" s="6" t="s">
        <v>1360</v>
      </c>
      <c r="AF239" s="6" t="s">
        <v>1713</v>
      </c>
      <c r="AG239" s="6"/>
      <c r="AH239" s="6"/>
      <c r="AI239" s="7"/>
      <c r="AJ239" s="7"/>
      <c r="AK239" s="7"/>
      <c r="AL239" s="7"/>
      <c r="AM239" s="7"/>
      <c r="AN239" s="7"/>
      <c r="AO239" s="7"/>
      <c r="AP239" s="7"/>
      <c r="AQ239" s="7"/>
      <c r="AR239" s="7"/>
      <c r="AS239" s="7"/>
      <c r="AT239" s="7"/>
      <c r="AU239" s="7"/>
      <c r="AV239" s="7"/>
      <c r="AW239" s="7"/>
      <c r="AX239" s="7"/>
      <c r="AY239" s="7"/>
      <c r="AZ239" s="7"/>
    </row>
    <row r="240" customFormat="false" ht="150" hidden="false" customHeight="true" outlineLevel="0" collapsed="false">
      <c r="A240" s="6" t="s">
        <v>1716</v>
      </c>
      <c r="B240" s="6" t="s">
        <v>1329</v>
      </c>
      <c r="C240" s="6" t="s">
        <v>76</v>
      </c>
      <c r="D240" s="6" t="s">
        <v>132</v>
      </c>
      <c r="E240" s="6" t="s">
        <v>133</v>
      </c>
      <c r="F240" s="6"/>
      <c r="G240" s="6" t="s">
        <v>1362</v>
      </c>
      <c r="H240" s="6" t="s">
        <v>1330</v>
      </c>
      <c r="I240" s="6" t="s">
        <v>81</v>
      </c>
      <c r="J240" s="6" t="s">
        <v>621</v>
      </c>
      <c r="K240" s="6" t="s">
        <v>1699</v>
      </c>
      <c r="L240" s="6" t="s">
        <v>1700</v>
      </c>
      <c r="M240" s="6" t="s">
        <v>1701</v>
      </c>
      <c r="N240" s="6"/>
      <c r="O240" s="6"/>
      <c r="P240" s="6" t="s">
        <v>1702</v>
      </c>
      <c r="Q240" s="6" t="s">
        <v>338</v>
      </c>
      <c r="R240" s="6" t="s">
        <v>1703</v>
      </c>
      <c r="S240" s="6"/>
      <c r="T240" s="6"/>
      <c r="U240" s="6"/>
      <c r="V240" s="6"/>
      <c r="W240" s="6"/>
      <c r="X240" s="6"/>
      <c r="Y240" s="6"/>
      <c r="Z240" s="6"/>
      <c r="AA240" s="6" t="s">
        <v>89</v>
      </c>
      <c r="AB240" s="6" t="s">
        <v>1717</v>
      </c>
      <c r="AC240" s="6" t="s">
        <v>1364</v>
      </c>
      <c r="AD240" s="6" t="s">
        <v>1365</v>
      </c>
      <c r="AE240" s="6" t="s">
        <v>1366</v>
      </c>
      <c r="AF240" s="6" t="s">
        <v>1718</v>
      </c>
      <c r="AG240" s="6"/>
      <c r="AH240" s="6"/>
      <c r="AI240" s="7"/>
      <c r="AJ240" s="7"/>
      <c r="AK240" s="7"/>
      <c r="AL240" s="7"/>
      <c r="AM240" s="7"/>
      <c r="AN240" s="7"/>
      <c r="AO240" s="7"/>
      <c r="AP240" s="7"/>
      <c r="AQ240" s="7"/>
      <c r="AR240" s="7"/>
      <c r="AS240" s="7"/>
      <c r="AT240" s="7"/>
      <c r="AU240" s="7"/>
      <c r="AV240" s="7"/>
      <c r="AW240" s="7"/>
      <c r="AX240" s="7"/>
      <c r="AY240" s="7"/>
      <c r="AZ240" s="7"/>
    </row>
    <row r="241" customFormat="false" ht="150" hidden="false" customHeight="true" outlineLevel="0" collapsed="false">
      <c r="A241" s="6" t="s">
        <v>1719</v>
      </c>
      <c r="B241" s="6" t="s">
        <v>1329</v>
      </c>
      <c r="C241" s="6" t="s">
        <v>76</v>
      </c>
      <c r="D241" s="6" t="s">
        <v>132</v>
      </c>
      <c r="E241" s="6" t="s">
        <v>133</v>
      </c>
      <c r="F241" s="6"/>
      <c r="G241" s="6" t="s">
        <v>1362</v>
      </c>
      <c r="H241" s="6" t="s">
        <v>1330</v>
      </c>
      <c r="I241" s="6" t="s">
        <v>81</v>
      </c>
      <c r="J241" s="6" t="s">
        <v>621</v>
      </c>
      <c r="K241" s="6" t="s">
        <v>1699</v>
      </c>
      <c r="L241" s="6" t="s">
        <v>1700</v>
      </c>
      <c r="M241" s="6" t="s">
        <v>1701</v>
      </c>
      <c r="N241" s="6"/>
      <c r="O241" s="6"/>
      <c r="P241" s="6" t="s">
        <v>1702</v>
      </c>
      <c r="Q241" s="6" t="s">
        <v>338</v>
      </c>
      <c r="R241" s="6" t="s">
        <v>1703</v>
      </c>
      <c r="S241" s="6"/>
      <c r="T241" s="6"/>
      <c r="U241" s="6"/>
      <c r="V241" s="6"/>
      <c r="W241" s="6"/>
      <c r="X241" s="6"/>
      <c r="Y241" s="6"/>
      <c r="Z241" s="6"/>
      <c r="AA241" s="6" t="s">
        <v>89</v>
      </c>
      <c r="AB241" s="6" t="s">
        <v>1720</v>
      </c>
      <c r="AC241" s="6" t="s">
        <v>1370</v>
      </c>
      <c r="AD241" s="6" t="s">
        <v>1371</v>
      </c>
      <c r="AE241" s="6" t="s">
        <v>1372</v>
      </c>
      <c r="AF241" s="6" t="s">
        <v>1718</v>
      </c>
      <c r="AG241" s="6"/>
      <c r="AH241" s="6"/>
      <c r="AI241" s="7"/>
      <c r="AJ241" s="7"/>
      <c r="AK241" s="7"/>
      <c r="AL241" s="7"/>
      <c r="AM241" s="7"/>
      <c r="AN241" s="7"/>
      <c r="AO241" s="7"/>
      <c r="AP241" s="7"/>
      <c r="AQ241" s="7"/>
      <c r="AR241" s="7"/>
      <c r="AS241" s="7"/>
      <c r="AT241" s="7"/>
      <c r="AU241" s="7"/>
      <c r="AV241" s="7"/>
      <c r="AW241" s="7"/>
      <c r="AX241" s="7"/>
      <c r="AY241" s="7"/>
      <c r="AZ241" s="7"/>
    </row>
    <row r="242" customFormat="false" ht="150" hidden="false" customHeight="true" outlineLevel="0" collapsed="false">
      <c r="A242" s="6" t="s">
        <v>1721</v>
      </c>
      <c r="B242" s="6" t="s">
        <v>1329</v>
      </c>
      <c r="C242" s="6" t="s">
        <v>76</v>
      </c>
      <c r="D242" s="6" t="s">
        <v>132</v>
      </c>
      <c r="E242" s="6" t="s">
        <v>133</v>
      </c>
      <c r="F242" s="6"/>
      <c r="G242" s="6" t="s">
        <v>79</v>
      </c>
      <c r="H242" s="6" t="s">
        <v>1330</v>
      </c>
      <c r="I242" s="6" t="s">
        <v>81</v>
      </c>
      <c r="J242" s="6" t="s">
        <v>595</v>
      </c>
      <c r="K242" s="6" t="s">
        <v>1722</v>
      </c>
      <c r="L242" s="6" t="s">
        <v>1723</v>
      </c>
      <c r="M242" s="6" t="s">
        <v>1724</v>
      </c>
      <c r="N242" s="6"/>
      <c r="O242" s="6"/>
      <c r="P242" s="6" t="s">
        <v>1725</v>
      </c>
      <c r="Q242" s="6" t="s">
        <v>771</v>
      </c>
      <c r="R242" s="6" t="s">
        <v>1726</v>
      </c>
      <c r="S242" s="6"/>
      <c r="T242" s="6"/>
      <c r="U242" s="6"/>
      <c r="V242" s="6"/>
      <c r="W242" s="6"/>
      <c r="X242" s="6"/>
      <c r="Y242" s="6"/>
      <c r="Z242" s="6"/>
      <c r="AA242" s="6" t="s">
        <v>89</v>
      </c>
      <c r="AB242" s="6" t="s">
        <v>1727</v>
      </c>
      <c r="AC242" s="6" t="s">
        <v>1335</v>
      </c>
      <c r="AD242" s="6" t="s">
        <v>1336</v>
      </c>
      <c r="AE242" s="6" t="s">
        <v>1337</v>
      </c>
      <c r="AF242" s="6" t="s">
        <v>1728</v>
      </c>
      <c r="AG242" s="6"/>
      <c r="AH242" s="6"/>
      <c r="AI242" s="7"/>
      <c r="AJ242" s="7"/>
      <c r="AK242" s="7"/>
      <c r="AL242" s="7"/>
      <c r="AM242" s="7"/>
      <c r="AN242" s="7"/>
      <c r="AO242" s="7"/>
      <c r="AP242" s="7"/>
      <c r="AQ242" s="7"/>
      <c r="AR242" s="7"/>
      <c r="AS242" s="7"/>
      <c r="AT242" s="7"/>
      <c r="AU242" s="7"/>
      <c r="AV242" s="7"/>
      <c r="AW242" s="7"/>
      <c r="AX242" s="7"/>
      <c r="AY242" s="7"/>
      <c r="AZ242" s="7"/>
    </row>
    <row r="243" customFormat="false" ht="150" hidden="false" customHeight="true" outlineLevel="0" collapsed="false">
      <c r="A243" s="6" t="s">
        <v>1729</v>
      </c>
      <c r="B243" s="6" t="s">
        <v>1329</v>
      </c>
      <c r="C243" s="6" t="s">
        <v>76</v>
      </c>
      <c r="D243" s="6" t="s">
        <v>132</v>
      </c>
      <c r="E243" s="6" t="s">
        <v>133</v>
      </c>
      <c r="F243" s="6"/>
      <c r="G243" s="6" t="s">
        <v>98</v>
      </c>
      <c r="H243" s="6" t="s">
        <v>1330</v>
      </c>
      <c r="I243" s="6" t="s">
        <v>81</v>
      </c>
      <c r="J243" s="6" t="s">
        <v>621</v>
      </c>
      <c r="K243" s="6" t="s">
        <v>1722</v>
      </c>
      <c r="L243" s="6" t="s">
        <v>1723</v>
      </c>
      <c r="M243" s="6" t="s">
        <v>1724</v>
      </c>
      <c r="N243" s="6"/>
      <c r="O243" s="6"/>
      <c r="P243" s="6" t="s">
        <v>1725</v>
      </c>
      <c r="Q243" s="6" t="s">
        <v>771</v>
      </c>
      <c r="R243" s="6" t="s">
        <v>1726</v>
      </c>
      <c r="S243" s="6"/>
      <c r="T243" s="6"/>
      <c r="U243" s="6"/>
      <c r="V243" s="6"/>
      <c r="W243" s="6"/>
      <c r="X243" s="6"/>
      <c r="Y243" s="6"/>
      <c r="Z243" s="6"/>
      <c r="AA243" s="6" t="s">
        <v>89</v>
      </c>
      <c r="AB243" s="6" t="s">
        <v>1730</v>
      </c>
      <c r="AC243" s="6" t="s">
        <v>1341</v>
      </c>
      <c r="AD243" s="6" t="s">
        <v>1342</v>
      </c>
      <c r="AE243" s="6" t="s">
        <v>1343</v>
      </c>
      <c r="AF243" s="6" t="s">
        <v>1731</v>
      </c>
      <c r="AG243" s="6"/>
      <c r="AH243" s="6"/>
      <c r="AI243" s="7"/>
      <c r="AJ243" s="7"/>
      <c r="AK243" s="7"/>
      <c r="AL243" s="7"/>
      <c r="AM243" s="7"/>
      <c r="AN243" s="7"/>
      <c r="AO243" s="7"/>
      <c r="AP243" s="7"/>
      <c r="AQ243" s="7"/>
      <c r="AR243" s="7"/>
      <c r="AS243" s="7"/>
      <c r="AT243" s="7"/>
      <c r="AU243" s="7"/>
      <c r="AV243" s="7"/>
      <c r="AW243" s="7"/>
      <c r="AX243" s="7"/>
      <c r="AY243" s="7"/>
      <c r="AZ243" s="7"/>
    </row>
    <row r="244" customFormat="false" ht="150" hidden="false" customHeight="true" outlineLevel="0" collapsed="false">
      <c r="A244" s="6" t="s">
        <v>1732</v>
      </c>
      <c r="B244" s="6" t="s">
        <v>1329</v>
      </c>
      <c r="C244" s="6" t="s">
        <v>76</v>
      </c>
      <c r="D244" s="6" t="s">
        <v>132</v>
      </c>
      <c r="E244" s="6" t="s">
        <v>133</v>
      </c>
      <c r="F244" s="6"/>
      <c r="G244" s="6" t="s">
        <v>98</v>
      </c>
      <c r="H244" s="6" t="s">
        <v>1330</v>
      </c>
      <c r="I244" s="6" t="s">
        <v>81</v>
      </c>
      <c r="J244" s="6" t="s">
        <v>621</v>
      </c>
      <c r="K244" s="6" t="s">
        <v>1722</v>
      </c>
      <c r="L244" s="6" t="s">
        <v>1723</v>
      </c>
      <c r="M244" s="6" t="s">
        <v>1724</v>
      </c>
      <c r="N244" s="6"/>
      <c r="O244" s="6"/>
      <c r="P244" s="6" t="s">
        <v>1725</v>
      </c>
      <c r="Q244" s="6" t="s">
        <v>771</v>
      </c>
      <c r="R244" s="6" t="s">
        <v>1726</v>
      </c>
      <c r="S244" s="6"/>
      <c r="T244" s="6"/>
      <c r="U244" s="6"/>
      <c r="V244" s="6"/>
      <c r="W244" s="6"/>
      <c r="X244" s="6"/>
      <c r="Y244" s="6"/>
      <c r="Z244" s="6"/>
      <c r="AA244" s="6" t="s">
        <v>89</v>
      </c>
      <c r="AB244" s="6" t="s">
        <v>1733</v>
      </c>
      <c r="AC244" s="6" t="s">
        <v>1347</v>
      </c>
      <c r="AD244" s="6" t="s">
        <v>1348</v>
      </c>
      <c r="AE244" s="6" t="s">
        <v>1349</v>
      </c>
      <c r="AF244" s="6" t="s">
        <v>1731</v>
      </c>
      <c r="AG244" s="6"/>
      <c r="AH244" s="6"/>
      <c r="AI244" s="7"/>
      <c r="AJ244" s="7"/>
      <c r="AK244" s="7"/>
      <c r="AL244" s="7"/>
      <c r="AM244" s="7"/>
      <c r="AN244" s="7"/>
      <c r="AO244" s="7"/>
      <c r="AP244" s="7"/>
      <c r="AQ244" s="7"/>
      <c r="AR244" s="7"/>
      <c r="AS244" s="7"/>
      <c r="AT244" s="7"/>
      <c r="AU244" s="7"/>
      <c r="AV244" s="7"/>
      <c r="AW244" s="7"/>
      <c r="AX244" s="7"/>
      <c r="AY244" s="7"/>
      <c r="AZ244" s="7"/>
    </row>
    <row r="245" customFormat="false" ht="150" hidden="false" customHeight="true" outlineLevel="0" collapsed="false">
      <c r="A245" s="6" t="s">
        <v>1734</v>
      </c>
      <c r="B245" s="6" t="s">
        <v>1329</v>
      </c>
      <c r="C245" s="6" t="s">
        <v>76</v>
      </c>
      <c r="D245" s="6" t="s">
        <v>132</v>
      </c>
      <c r="E245" s="6" t="s">
        <v>133</v>
      </c>
      <c r="F245" s="6"/>
      <c r="G245" s="6" t="s">
        <v>165</v>
      </c>
      <c r="H245" s="6" t="s">
        <v>1330</v>
      </c>
      <c r="I245" s="6" t="s">
        <v>81</v>
      </c>
      <c r="J245" s="6" t="s">
        <v>621</v>
      </c>
      <c r="K245" s="6" t="s">
        <v>1722</v>
      </c>
      <c r="L245" s="6" t="s">
        <v>1723</v>
      </c>
      <c r="M245" s="6" t="s">
        <v>1724</v>
      </c>
      <c r="N245" s="6"/>
      <c r="O245" s="6"/>
      <c r="P245" s="6" t="s">
        <v>1725</v>
      </c>
      <c r="Q245" s="6" t="s">
        <v>771</v>
      </c>
      <c r="R245" s="6" t="s">
        <v>1726</v>
      </c>
      <c r="S245" s="6"/>
      <c r="T245" s="6"/>
      <c r="U245" s="6"/>
      <c r="V245" s="6"/>
      <c r="W245" s="6"/>
      <c r="X245" s="6"/>
      <c r="Y245" s="6"/>
      <c r="Z245" s="6"/>
      <c r="AA245" s="6" t="s">
        <v>89</v>
      </c>
      <c r="AB245" s="6" t="s">
        <v>1735</v>
      </c>
      <c r="AC245" s="6" t="s">
        <v>1352</v>
      </c>
      <c r="AD245" s="6" t="s">
        <v>1353</v>
      </c>
      <c r="AE245" s="6" t="s">
        <v>1354</v>
      </c>
      <c r="AF245" s="6" t="s">
        <v>1736</v>
      </c>
      <c r="AG245" s="6"/>
      <c r="AH245" s="6"/>
      <c r="AI245" s="7"/>
      <c r="AJ245" s="7"/>
      <c r="AK245" s="7"/>
      <c r="AL245" s="7"/>
      <c r="AM245" s="7"/>
      <c r="AN245" s="7"/>
      <c r="AO245" s="7"/>
      <c r="AP245" s="7"/>
      <c r="AQ245" s="7"/>
      <c r="AR245" s="7"/>
      <c r="AS245" s="7"/>
      <c r="AT245" s="7"/>
      <c r="AU245" s="7"/>
      <c r="AV245" s="7"/>
      <c r="AW245" s="7"/>
      <c r="AX245" s="7"/>
      <c r="AY245" s="7"/>
      <c r="AZ245" s="7"/>
    </row>
    <row r="246" customFormat="false" ht="150" hidden="false" customHeight="true" outlineLevel="0" collapsed="false">
      <c r="A246" s="6" t="s">
        <v>1737</v>
      </c>
      <c r="B246" s="6" t="s">
        <v>1329</v>
      </c>
      <c r="C246" s="6" t="s">
        <v>76</v>
      </c>
      <c r="D246" s="6" t="s">
        <v>132</v>
      </c>
      <c r="E246" s="6" t="s">
        <v>133</v>
      </c>
      <c r="F246" s="6"/>
      <c r="G246" s="6" t="s">
        <v>165</v>
      </c>
      <c r="H246" s="6" t="s">
        <v>1330</v>
      </c>
      <c r="I246" s="6" t="s">
        <v>81</v>
      </c>
      <c r="J246" s="6" t="s">
        <v>621</v>
      </c>
      <c r="K246" s="6" t="s">
        <v>1722</v>
      </c>
      <c r="L246" s="6" t="s">
        <v>1723</v>
      </c>
      <c r="M246" s="6" t="s">
        <v>1724</v>
      </c>
      <c r="N246" s="6"/>
      <c r="O246" s="6"/>
      <c r="P246" s="6" t="s">
        <v>1725</v>
      </c>
      <c r="Q246" s="6" t="s">
        <v>771</v>
      </c>
      <c r="R246" s="6" t="s">
        <v>1726</v>
      </c>
      <c r="S246" s="6"/>
      <c r="T246" s="6"/>
      <c r="U246" s="6"/>
      <c r="V246" s="6"/>
      <c r="W246" s="6"/>
      <c r="X246" s="6"/>
      <c r="Y246" s="6"/>
      <c r="Z246" s="6"/>
      <c r="AA246" s="6" t="s">
        <v>89</v>
      </c>
      <c r="AB246" s="6" t="s">
        <v>1738</v>
      </c>
      <c r="AC246" s="6" t="s">
        <v>1358</v>
      </c>
      <c r="AD246" s="6" t="s">
        <v>1359</v>
      </c>
      <c r="AE246" s="6" t="s">
        <v>1360</v>
      </c>
      <c r="AF246" s="6" t="s">
        <v>1736</v>
      </c>
      <c r="AG246" s="6"/>
      <c r="AH246" s="6"/>
      <c r="AI246" s="7"/>
      <c r="AJ246" s="7"/>
      <c r="AK246" s="7"/>
      <c r="AL246" s="7"/>
      <c r="AM246" s="7"/>
      <c r="AN246" s="7"/>
      <c r="AO246" s="7"/>
      <c r="AP246" s="7"/>
      <c r="AQ246" s="7"/>
      <c r="AR246" s="7"/>
      <c r="AS246" s="7"/>
      <c r="AT246" s="7"/>
      <c r="AU246" s="7"/>
      <c r="AV246" s="7"/>
      <c r="AW246" s="7"/>
      <c r="AX246" s="7"/>
      <c r="AY246" s="7"/>
      <c r="AZ246" s="7"/>
    </row>
    <row r="247" customFormat="false" ht="150" hidden="false" customHeight="true" outlineLevel="0" collapsed="false">
      <c r="A247" s="6" t="s">
        <v>1739</v>
      </c>
      <c r="B247" s="6" t="s">
        <v>1329</v>
      </c>
      <c r="C247" s="6" t="s">
        <v>76</v>
      </c>
      <c r="D247" s="6" t="s">
        <v>132</v>
      </c>
      <c r="E247" s="6" t="s">
        <v>133</v>
      </c>
      <c r="F247" s="6"/>
      <c r="G247" s="6" t="s">
        <v>1362</v>
      </c>
      <c r="H247" s="6" t="s">
        <v>1330</v>
      </c>
      <c r="I247" s="6" t="s">
        <v>81</v>
      </c>
      <c r="J247" s="6" t="s">
        <v>621</v>
      </c>
      <c r="K247" s="6" t="s">
        <v>1722</v>
      </c>
      <c r="L247" s="6" t="s">
        <v>1723</v>
      </c>
      <c r="M247" s="6" t="s">
        <v>1724</v>
      </c>
      <c r="N247" s="6"/>
      <c r="O247" s="6"/>
      <c r="P247" s="6" t="s">
        <v>1725</v>
      </c>
      <c r="Q247" s="6" t="s">
        <v>771</v>
      </c>
      <c r="R247" s="6" t="s">
        <v>1726</v>
      </c>
      <c r="S247" s="6"/>
      <c r="T247" s="6"/>
      <c r="U247" s="6"/>
      <c r="V247" s="6"/>
      <c r="W247" s="6"/>
      <c r="X247" s="6"/>
      <c r="Y247" s="6"/>
      <c r="Z247" s="6"/>
      <c r="AA247" s="6" t="s">
        <v>89</v>
      </c>
      <c r="AB247" s="6" t="s">
        <v>1740</v>
      </c>
      <c r="AC247" s="6" t="s">
        <v>1364</v>
      </c>
      <c r="AD247" s="6" t="s">
        <v>1365</v>
      </c>
      <c r="AE247" s="6" t="s">
        <v>1366</v>
      </c>
      <c r="AF247" s="6" t="s">
        <v>1741</v>
      </c>
      <c r="AG247" s="6"/>
      <c r="AH247" s="6"/>
      <c r="AI247" s="7"/>
      <c r="AJ247" s="7"/>
      <c r="AK247" s="7"/>
      <c r="AL247" s="7"/>
      <c r="AM247" s="7"/>
      <c r="AN247" s="7"/>
      <c r="AO247" s="7"/>
      <c r="AP247" s="7"/>
      <c r="AQ247" s="7"/>
      <c r="AR247" s="7"/>
      <c r="AS247" s="7"/>
      <c r="AT247" s="7"/>
      <c r="AU247" s="7"/>
      <c r="AV247" s="7"/>
      <c r="AW247" s="7"/>
      <c r="AX247" s="7"/>
      <c r="AY247" s="7"/>
      <c r="AZ247" s="7"/>
    </row>
    <row r="248" customFormat="false" ht="150" hidden="false" customHeight="true" outlineLevel="0" collapsed="false">
      <c r="A248" s="6" t="s">
        <v>1742</v>
      </c>
      <c r="B248" s="6" t="s">
        <v>1329</v>
      </c>
      <c r="C248" s="6" t="s">
        <v>76</v>
      </c>
      <c r="D248" s="6" t="s">
        <v>132</v>
      </c>
      <c r="E248" s="6" t="s">
        <v>133</v>
      </c>
      <c r="F248" s="6"/>
      <c r="G248" s="6" t="s">
        <v>1362</v>
      </c>
      <c r="H248" s="6" t="s">
        <v>1330</v>
      </c>
      <c r="I248" s="6" t="s">
        <v>81</v>
      </c>
      <c r="J248" s="6" t="s">
        <v>621</v>
      </c>
      <c r="K248" s="6" t="s">
        <v>1722</v>
      </c>
      <c r="L248" s="6" t="s">
        <v>1723</v>
      </c>
      <c r="M248" s="6" t="s">
        <v>1724</v>
      </c>
      <c r="N248" s="6"/>
      <c r="O248" s="6"/>
      <c r="P248" s="6" t="s">
        <v>1725</v>
      </c>
      <c r="Q248" s="6" t="s">
        <v>771</v>
      </c>
      <c r="R248" s="6" t="s">
        <v>1726</v>
      </c>
      <c r="S248" s="6"/>
      <c r="T248" s="6"/>
      <c r="U248" s="6"/>
      <c r="V248" s="6"/>
      <c r="W248" s="6"/>
      <c r="X248" s="6"/>
      <c r="Y248" s="6"/>
      <c r="Z248" s="6"/>
      <c r="AA248" s="6" t="s">
        <v>89</v>
      </c>
      <c r="AB248" s="6" t="s">
        <v>1743</v>
      </c>
      <c r="AC248" s="6" t="s">
        <v>1370</v>
      </c>
      <c r="AD248" s="6" t="s">
        <v>1371</v>
      </c>
      <c r="AE248" s="6" t="s">
        <v>1372</v>
      </c>
      <c r="AF248" s="6" t="s">
        <v>1741</v>
      </c>
      <c r="AG248" s="6"/>
      <c r="AH248" s="6"/>
      <c r="AI248" s="7"/>
      <c r="AJ248" s="7"/>
      <c r="AK248" s="7"/>
      <c r="AL248" s="7"/>
      <c r="AM248" s="7"/>
      <c r="AN248" s="7"/>
      <c r="AO248" s="7"/>
      <c r="AP248" s="7"/>
      <c r="AQ248" s="7"/>
      <c r="AR248" s="7"/>
      <c r="AS248" s="7"/>
      <c r="AT248" s="7"/>
      <c r="AU248" s="7"/>
      <c r="AV248" s="7"/>
      <c r="AW248" s="7"/>
      <c r="AX248" s="7"/>
      <c r="AY248" s="7"/>
      <c r="AZ248" s="7"/>
    </row>
    <row r="249" customFormat="false" ht="150" hidden="false" customHeight="true" outlineLevel="0" collapsed="false">
      <c r="A249" s="6" t="s">
        <v>1744</v>
      </c>
      <c r="B249" s="6" t="s">
        <v>1329</v>
      </c>
      <c r="C249" s="6" t="s">
        <v>76</v>
      </c>
      <c r="D249" s="6" t="s">
        <v>132</v>
      </c>
      <c r="E249" s="6" t="s">
        <v>133</v>
      </c>
      <c r="F249" s="6"/>
      <c r="G249" s="6" t="s">
        <v>79</v>
      </c>
      <c r="H249" s="6" t="s">
        <v>1330</v>
      </c>
      <c r="I249" s="6" t="s">
        <v>81</v>
      </c>
      <c r="J249" s="6" t="s">
        <v>595</v>
      </c>
      <c r="K249" s="6" t="s">
        <v>1745</v>
      </c>
      <c r="L249" s="6" t="s">
        <v>1746</v>
      </c>
      <c r="M249" s="6" t="s">
        <v>1747</v>
      </c>
      <c r="N249" s="6"/>
      <c r="O249" s="6"/>
      <c r="P249" s="6" t="s">
        <v>1748</v>
      </c>
      <c r="Q249" s="6"/>
      <c r="R249" s="6" t="s">
        <v>1680</v>
      </c>
      <c r="S249" s="6"/>
      <c r="T249" s="6"/>
      <c r="U249" s="6"/>
      <c r="V249" s="6"/>
      <c r="W249" s="6"/>
      <c r="X249" s="6"/>
      <c r="Y249" s="6"/>
      <c r="Z249" s="6"/>
      <c r="AA249" s="6" t="s">
        <v>89</v>
      </c>
      <c r="AB249" s="6" t="s">
        <v>1749</v>
      </c>
      <c r="AC249" s="6" t="s">
        <v>1335</v>
      </c>
      <c r="AD249" s="6" t="s">
        <v>1336</v>
      </c>
      <c r="AE249" s="6" t="s">
        <v>1337</v>
      </c>
      <c r="AF249" s="6" t="s">
        <v>1750</v>
      </c>
      <c r="AG249" s="6"/>
      <c r="AH249" s="6"/>
      <c r="AI249" s="7"/>
      <c r="AJ249" s="7"/>
      <c r="AK249" s="7"/>
      <c r="AL249" s="7"/>
      <c r="AM249" s="7"/>
      <c r="AN249" s="7"/>
      <c r="AO249" s="7"/>
      <c r="AP249" s="7"/>
      <c r="AQ249" s="7"/>
      <c r="AR249" s="7"/>
      <c r="AS249" s="7"/>
      <c r="AT249" s="7"/>
      <c r="AU249" s="7"/>
      <c r="AV249" s="7"/>
      <c r="AW249" s="7"/>
      <c r="AX249" s="7"/>
      <c r="AY249" s="7"/>
      <c r="AZ249" s="7"/>
    </row>
    <row r="250" customFormat="false" ht="150" hidden="false" customHeight="true" outlineLevel="0" collapsed="false">
      <c r="A250" s="6" t="s">
        <v>1751</v>
      </c>
      <c r="B250" s="6" t="s">
        <v>1329</v>
      </c>
      <c r="C250" s="6" t="s">
        <v>76</v>
      </c>
      <c r="D250" s="6" t="s">
        <v>132</v>
      </c>
      <c r="E250" s="6" t="s">
        <v>133</v>
      </c>
      <c r="F250" s="6"/>
      <c r="G250" s="6" t="s">
        <v>98</v>
      </c>
      <c r="H250" s="6" t="s">
        <v>1330</v>
      </c>
      <c r="I250" s="6" t="s">
        <v>81</v>
      </c>
      <c r="J250" s="6" t="s">
        <v>621</v>
      </c>
      <c r="K250" s="6" t="s">
        <v>1745</v>
      </c>
      <c r="L250" s="6" t="s">
        <v>1746</v>
      </c>
      <c r="M250" s="6" t="s">
        <v>1747</v>
      </c>
      <c r="N250" s="6"/>
      <c r="O250" s="6"/>
      <c r="P250" s="6" t="s">
        <v>1748</v>
      </c>
      <c r="Q250" s="6"/>
      <c r="R250" s="6" t="s">
        <v>1680</v>
      </c>
      <c r="S250" s="6"/>
      <c r="T250" s="6"/>
      <c r="U250" s="6"/>
      <c r="V250" s="6"/>
      <c r="W250" s="6"/>
      <c r="X250" s="6"/>
      <c r="Y250" s="6"/>
      <c r="Z250" s="6"/>
      <c r="AA250" s="6" t="s">
        <v>89</v>
      </c>
      <c r="AB250" s="6" t="s">
        <v>1752</v>
      </c>
      <c r="AC250" s="6" t="s">
        <v>1341</v>
      </c>
      <c r="AD250" s="6" t="s">
        <v>1342</v>
      </c>
      <c r="AE250" s="6" t="s">
        <v>1343</v>
      </c>
      <c r="AF250" s="6" t="s">
        <v>1753</v>
      </c>
      <c r="AG250" s="6"/>
      <c r="AH250" s="6"/>
      <c r="AI250" s="7"/>
      <c r="AJ250" s="7"/>
      <c r="AK250" s="7"/>
      <c r="AL250" s="7"/>
      <c r="AM250" s="7"/>
      <c r="AN250" s="7"/>
      <c r="AO250" s="7"/>
      <c r="AP250" s="7"/>
      <c r="AQ250" s="7"/>
      <c r="AR250" s="7"/>
      <c r="AS250" s="7"/>
      <c r="AT250" s="7"/>
      <c r="AU250" s="7"/>
      <c r="AV250" s="7"/>
      <c r="AW250" s="7"/>
      <c r="AX250" s="7"/>
      <c r="AY250" s="7"/>
      <c r="AZ250" s="7"/>
    </row>
    <row r="251" customFormat="false" ht="150" hidden="false" customHeight="true" outlineLevel="0" collapsed="false">
      <c r="A251" s="6" t="s">
        <v>1754</v>
      </c>
      <c r="B251" s="6" t="s">
        <v>1329</v>
      </c>
      <c r="C251" s="6" t="s">
        <v>76</v>
      </c>
      <c r="D251" s="6" t="s">
        <v>132</v>
      </c>
      <c r="E251" s="6" t="s">
        <v>133</v>
      </c>
      <c r="F251" s="6"/>
      <c r="G251" s="6" t="s">
        <v>98</v>
      </c>
      <c r="H251" s="6" t="s">
        <v>1330</v>
      </c>
      <c r="I251" s="6" t="s">
        <v>81</v>
      </c>
      <c r="J251" s="6" t="s">
        <v>621</v>
      </c>
      <c r="K251" s="6" t="s">
        <v>1745</v>
      </c>
      <c r="L251" s="6" t="s">
        <v>1746</v>
      </c>
      <c r="M251" s="6" t="s">
        <v>1747</v>
      </c>
      <c r="N251" s="6"/>
      <c r="O251" s="6"/>
      <c r="P251" s="6" t="s">
        <v>1748</v>
      </c>
      <c r="Q251" s="6"/>
      <c r="R251" s="6" t="s">
        <v>1680</v>
      </c>
      <c r="S251" s="6"/>
      <c r="T251" s="6"/>
      <c r="U251" s="6"/>
      <c r="V251" s="6"/>
      <c r="W251" s="6"/>
      <c r="X251" s="6"/>
      <c r="Y251" s="6"/>
      <c r="Z251" s="6"/>
      <c r="AA251" s="6" t="s">
        <v>89</v>
      </c>
      <c r="AB251" s="6" t="s">
        <v>1755</v>
      </c>
      <c r="AC251" s="6" t="s">
        <v>1347</v>
      </c>
      <c r="AD251" s="6" t="s">
        <v>1348</v>
      </c>
      <c r="AE251" s="6" t="s">
        <v>1349</v>
      </c>
      <c r="AF251" s="6" t="s">
        <v>1753</v>
      </c>
      <c r="AG251" s="6"/>
      <c r="AH251" s="6"/>
      <c r="AI251" s="7"/>
      <c r="AJ251" s="7"/>
      <c r="AK251" s="7"/>
      <c r="AL251" s="7"/>
      <c r="AM251" s="7"/>
      <c r="AN251" s="7"/>
      <c r="AO251" s="7"/>
      <c r="AP251" s="7"/>
      <c r="AQ251" s="7"/>
      <c r="AR251" s="7"/>
      <c r="AS251" s="7"/>
      <c r="AT251" s="7"/>
      <c r="AU251" s="7"/>
      <c r="AV251" s="7"/>
      <c r="AW251" s="7"/>
      <c r="AX251" s="7"/>
      <c r="AY251" s="7"/>
      <c r="AZ251" s="7"/>
    </row>
    <row r="252" customFormat="false" ht="150" hidden="false" customHeight="true" outlineLevel="0" collapsed="false">
      <c r="A252" s="6" t="s">
        <v>1756</v>
      </c>
      <c r="B252" s="6" t="s">
        <v>1329</v>
      </c>
      <c r="C252" s="6" t="s">
        <v>76</v>
      </c>
      <c r="D252" s="6" t="s">
        <v>132</v>
      </c>
      <c r="E252" s="6" t="s">
        <v>133</v>
      </c>
      <c r="F252" s="6"/>
      <c r="G252" s="6" t="s">
        <v>165</v>
      </c>
      <c r="H252" s="6" t="s">
        <v>1330</v>
      </c>
      <c r="I252" s="6" t="s">
        <v>81</v>
      </c>
      <c r="J252" s="6" t="s">
        <v>621</v>
      </c>
      <c r="K252" s="6" t="s">
        <v>1745</v>
      </c>
      <c r="L252" s="6" t="s">
        <v>1746</v>
      </c>
      <c r="M252" s="6" t="s">
        <v>1747</v>
      </c>
      <c r="N252" s="6"/>
      <c r="O252" s="6"/>
      <c r="P252" s="6" t="s">
        <v>1748</v>
      </c>
      <c r="Q252" s="6"/>
      <c r="R252" s="6" t="s">
        <v>1680</v>
      </c>
      <c r="S252" s="6"/>
      <c r="T252" s="6"/>
      <c r="U252" s="6"/>
      <c r="V252" s="6"/>
      <c r="W252" s="6"/>
      <c r="X252" s="6"/>
      <c r="Y252" s="6"/>
      <c r="Z252" s="6"/>
      <c r="AA252" s="6" t="s">
        <v>89</v>
      </c>
      <c r="AB252" s="6" t="s">
        <v>1757</v>
      </c>
      <c r="AC252" s="6" t="s">
        <v>1352</v>
      </c>
      <c r="AD252" s="6" t="s">
        <v>1353</v>
      </c>
      <c r="AE252" s="6" t="s">
        <v>1354</v>
      </c>
      <c r="AF252" s="6" t="s">
        <v>1758</v>
      </c>
      <c r="AG252" s="6"/>
      <c r="AH252" s="6"/>
      <c r="AI252" s="7"/>
      <c r="AJ252" s="7"/>
      <c r="AK252" s="7"/>
      <c r="AL252" s="7"/>
      <c r="AM252" s="7"/>
      <c r="AN252" s="7"/>
      <c r="AO252" s="7"/>
      <c r="AP252" s="7"/>
      <c r="AQ252" s="7"/>
      <c r="AR252" s="7"/>
      <c r="AS252" s="7"/>
      <c r="AT252" s="7"/>
      <c r="AU252" s="7"/>
      <c r="AV252" s="7"/>
      <c r="AW252" s="7"/>
      <c r="AX252" s="7"/>
      <c r="AY252" s="7"/>
      <c r="AZ252" s="7"/>
    </row>
    <row r="253" customFormat="false" ht="150" hidden="false" customHeight="true" outlineLevel="0" collapsed="false">
      <c r="A253" s="6" t="s">
        <v>1759</v>
      </c>
      <c r="B253" s="6" t="s">
        <v>1329</v>
      </c>
      <c r="C253" s="6" t="s">
        <v>76</v>
      </c>
      <c r="D253" s="6" t="s">
        <v>132</v>
      </c>
      <c r="E253" s="6" t="s">
        <v>133</v>
      </c>
      <c r="F253" s="6"/>
      <c r="G253" s="6" t="s">
        <v>165</v>
      </c>
      <c r="H253" s="6" t="s">
        <v>1330</v>
      </c>
      <c r="I253" s="6" t="s">
        <v>81</v>
      </c>
      <c r="J253" s="6" t="s">
        <v>621</v>
      </c>
      <c r="K253" s="6" t="s">
        <v>1745</v>
      </c>
      <c r="L253" s="6" t="s">
        <v>1746</v>
      </c>
      <c r="M253" s="6" t="s">
        <v>1747</v>
      </c>
      <c r="N253" s="6"/>
      <c r="O253" s="6"/>
      <c r="P253" s="6" t="s">
        <v>1748</v>
      </c>
      <c r="Q253" s="6"/>
      <c r="R253" s="6" t="s">
        <v>1680</v>
      </c>
      <c r="S253" s="6"/>
      <c r="T253" s="6"/>
      <c r="U253" s="6"/>
      <c r="V253" s="6"/>
      <c r="W253" s="6"/>
      <c r="X253" s="6"/>
      <c r="Y253" s="6"/>
      <c r="Z253" s="6"/>
      <c r="AA253" s="6" t="s">
        <v>89</v>
      </c>
      <c r="AB253" s="6" t="s">
        <v>1760</v>
      </c>
      <c r="AC253" s="6" t="s">
        <v>1358</v>
      </c>
      <c r="AD253" s="6" t="s">
        <v>1359</v>
      </c>
      <c r="AE253" s="6" t="s">
        <v>1360</v>
      </c>
      <c r="AF253" s="6" t="s">
        <v>1758</v>
      </c>
      <c r="AG253" s="6"/>
      <c r="AH253" s="6"/>
      <c r="AI253" s="7"/>
      <c r="AJ253" s="7"/>
      <c r="AK253" s="7"/>
      <c r="AL253" s="7"/>
      <c r="AM253" s="7"/>
      <c r="AN253" s="7"/>
      <c r="AO253" s="7"/>
      <c r="AP253" s="7"/>
      <c r="AQ253" s="7"/>
      <c r="AR253" s="7"/>
      <c r="AS253" s="7"/>
      <c r="AT253" s="7"/>
      <c r="AU253" s="7"/>
      <c r="AV253" s="7"/>
      <c r="AW253" s="7"/>
      <c r="AX253" s="7"/>
      <c r="AY253" s="7"/>
      <c r="AZ253" s="7"/>
    </row>
    <row r="254" customFormat="false" ht="150" hidden="false" customHeight="true" outlineLevel="0" collapsed="false">
      <c r="A254" s="6" t="s">
        <v>1761</v>
      </c>
      <c r="B254" s="6" t="s">
        <v>1329</v>
      </c>
      <c r="C254" s="6" t="s">
        <v>76</v>
      </c>
      <c r="D254" s="6" t="s">
        <v>132</v>
      </c>
      <c r="E254" s="6" t="s">
        <v>133</v>
      </c>
      <c r="F254" s="6"/>
      <c r="G254" s="6" t="s">
        <v>1362</v>
      </c>
      <c r="H254" s="6" t="s">
        <v>1330</v>
      </c>
      <c r="I254" s="6" t="s">
        <v>81</v>
      </c>
      <c r="J254" s="6" t="s">
        <v>621</v>
      </c>
      <c r="K254" s="6" t="s">
        <v>1745</v>
      </c>
      <c r="L254" s="6" t="s">
        <v>1746</v>
      </c>
      <c r="M254" s="6" t="s">
        <v>1747</v>
      </c>
      <c r="N254" s="6"/>
      <c r="O254" s="6"/>
      <c r="P254" s="6" t="s">
        <v>1748</v>
      </c>
      <c r="Q254" s="6"/>
      <c r="R254" s="6" t="s">
        <v>1680</v>
      </c>
      <c r="S254" s="6"/>
      <c r="T254" s="6"/>
      <c r="U254" s="6"/>
      <c r="V254" s="6"/>
      <c r="W254" s="6"/>
      <c r="X254" s="6"/>
      <c r="Y254" s="6"/>
      <c r="Z254" s="6"/>
      <c r="AA254" s="6" t="s">
        <v>89</v>
      </c>
      <c r="AB254" s="6" t="s">
        <v>1762</v>
      </c>
      <c r="AC254" s="6" t="s">
        <v>1364</v>
      </c>
      <c r="AD254" s="6" t="s">
        <v>1365</v>
      </c>
      <c r="AE254" s="6" t="s">
        <v>1366</v>
      </c>
      <c r="AF254" s="6" t="s">
        <v>1763</v>
      </c>
      <c r="AG254" s="6"/>
      <c r="AH254" s="6"/>
      <c r="AI254" s="7"/>
      <c r="AJ254" s="7"/>
      <c r="AK254" s="7"/>
      <c r="AL254" s="7"/>
      <c r="AM254" s="7"/>
      <c r="AN254" s="7"/>
      <c r="AO254" s="7"/>
      <c r="AP254" s="7"/>
      <c r="AQ254" s="7"/>
      <c r="AR254" s="7"/>
      <c r="AS254" s="7"/>
      <c r="AT254" s="7"/>
      <c r="AU254" s="7"/>
      <c r="AV254" s="7"/>
      <c r="AW254" s="7"/>
      <c r="AX254" s="7"/>
      <c r="AY254" s="7"/>
      <c r="AZ254" s="7"/>
    </row>
    <row r="255" customFormat="false" ht="150" hidden="false" customHeight="true" outlineLevel="0" collapsed="false">
      <c r="A255" s="6" t="s">
        <v>1764</v>
      </c>
      <c r="B255" s="6" t="s">
        <v>1329</v>
      </c>
      <c r="C255" s="6" t="s">
        <v>76</v>
      </c>
      <c r="D255" s="6" t="s">
        <v>132</v>
      </c>
      <c r="E255" s="6" t="s">
        <v>133</v>
      </c>
      <c r="F255" s="6"/>
      <c r="G255" s="6" t="s">
        <v>1362</v>
      </c>
      <c r="H255" s="6" t="s">
        <v>1330</v>
      </c>
      <c r="I255" s="6" t="s">
        <v>81</v>
      </c>
      <c r="J255" s="6" t="s">
        <v>621</v>
      </c>
      <c r="K255" s="6" t="s">
        <v>1745</v>
      </c>
      <c r="L255" s="6" t="s">
        <v>1746</v>
      </c>
      <c r="M255" s="6" t="s">
        <v>1747</v>
      </c>
      <c r="N255" s="6"/>
      <c r="O255" s="6"/>
      <c r="P255" s="6" t="s">
        <v>1748</v>
      </c>
      <c r="Q255" s="6"/>
      <c r="R255" s="6" t="s">
        <v>1680</v>
      </c>
      <c r="S255" s="6"/>
      <c r="T255" s="6"/>
      <c r="U255" s="6"/>
      <c r="V255" s="6"/>
      <c r="W255" s="6"/>
      <c r="X255" s="6"/>
      <c r="Y255" s="6"/>
      <c r="Z255" s="6"/>
      <c r="AA255" s="6" t="s">
        <v>89</v>
      </c>
      <c r="AB255" s="6" t="s">
        <v>1765</v>
      </c>
      <c r="AC255" s="6" t="s">
        <v>1370</v>
      </c>
      <c r="AD255" s="6" t="s">
        <v>1371</v>
      </c>
      <c r="AE255" s="6" t="s">
        <v>1372</v>
      </c>
      <c r="AF255" s="6" t="s">
        <v>1763</v>
      </c>
      <c r="AG255" s="6"/>
      <c r="AH255" s="6"/>
      <c r="AI255" s="7"/>
      <c r="AJ255" s="7"/>
      <c r="AK255" s="7"/>
      <c r="AL255" s="7"/>
      <c r="AM255" s="7"/>
      <c r="AN255" s="7"/>
      <c r="AO255" s="7"/>
      <c r="AP255" s="7"/>
      <c r="AQ255" s="7"/>
      <c r="AR255" s="7"/>
      <c r="AS255" s="7"/>
      <c r="AT255" s="7"/>
      <c r="AU255" s="7"/>
      <c r="AV255" s="7"/>
      <c r="AW255" s="7"/>
      <c r="AX255" s="7"/>
      <c r="AY255" s="7"/>
      <c r="AZ255" s="7"/>
    </row>
    <row r="256" customFormat="false" ht="150" hidden="false" customHeight="true" outlineLevel="0" collapsed="false">
      <c r="A256" s="6" t="s">
        <v>1766</v>
      </c>
      <c r="B256" s="6" t="s">
        <v>1329</v>
      </c>
      <c r="C256" s="6" t="s">
        <v>76</v>
      </c>
      <c r="D256" s="6" t="s">
        <v>132</v>
      </c>
      <c r="E256" s="6" t="s">
        <v>133</v>
      </c>
      <c r="F256" s="6"/>
      <c r="G256" s="6" t="s">
        <v>79</v>
      </c>
      <c r="H256" s="6" t="s">
        <v>1330</v>
      </c>
      <c r="I256" s="6" t="s">
        <v>81</v>
      </c>
      <c r="J256" s="6" t="s">
        <v>595</v>
      </c>
      <c r="K256" s="6" t="s">
        <v>1767</v>
      </c>
      <c r="L256" s="6" t="s">
        <v>1768</v>
      </c>
      <c r="M256" s="6" t="s">
        <v>1769</v>
      </c>
      <c r="N256" s="6"/>
      <c r="O256" s="6"/>
      <c r="P256" s="6"/>
      <c r="Q256" s="6"/>
      <c r="R256" s="6" t="s">
        <v>1680</v>
      </c>
      <c r="S256" s="6"/>
      <c r="T256" s="6"/>
      <c r="U256" s="6"/>
      <c r="V256" s="6"/>
      <c r="W256" s="6"/>
      <c r="X256" s="6"/>
      <c r="Y256" s="6"/>
      <c r="Z256" s="6"/>
      <c r="AA256" s="6" t="s">
        <v>89</v>
      </c>
      <c r="AB256" s="6" t="s">
        <v>1770</v>
      </c>
      <c r="AC256" s="6" t="s">
        <v>1335</v>
      </c>
      <c r="AD256" s="6" t="s">
        <v>1336</v>
      </c>
      <c r="AE256" s="6" t="s">
        <v>1337</v>
      </c>
      <c r="AF256" s="6" t="s">
        <v>1771</v>
      </c>
      <c r="AG256" s="6"/>
      <c r="AH256" s="6"/>
      <c r="AI256" s="7"/>
      <c r="AJ256" s="7"/>
      <c r="AK256" s="7"/>
      <c r="AL256" s="7"/>
      <c r="AM256" s="7"/>
      <c r="AN256" s="7"/>
      <c r="AO256" s="7"/>
      <c r="AP256" s="7"/>
      <c r="AQ256" s="7"/>
      <c r="AR256" s="7"/>
      <c r="AS256" s="7"/>
      <c r="AT256" s="7"/>
      <c r="AU256" s="7"/>
      <c r="AV256" s="7"/>
      <c r="AW256" s="7"/>
      <c r="AX256" s="7"/>
      <c r="AY256" s="7"/>
      <c r="AZ256" s="7"/>
    </row>
    <row r="257" customFormat="false" ht="150" hidden="false" customHeight="true" outlineLevel="0" collapsed="false">
      <c r="A257" s="6" t="s">
        <v>1772</v>
      </c>
      <c r="B257" s="6" t="s">
        <v>1329</v>
      </c>
      <c r="C257" s="6" t="s">
        <v>76</v>
      </c>
      <c r="D257" s="6" t="s">
        <v>132</v>
      </c>
      <c r="E257" s="6" t="s">
        <v>133</v>
      </c>
      <c r="F257" s="6"/>
      <c r="G257" s="6" t="s">
        <v>98</v>
      </c>
      <c r="H257" s="6" t="s">
        <v>1330</v>
      </c>
      <c r="I257" s="6" t="s">
        <v>81</v>
      </c>
      <c r="J257" s="6" t="s">
        <v>621</v>
      </c>
      <c r="K257" s="6" t="s">
        <v>1767</v>
      </c>
      <c r="L257" s="6" t="s">
        <v>1768</v>
      </c>
      <c r="M257" s="6" t="s">
        <v>1769</v>
      </c>
      <c r="N257" s="6"/>
      <c r="O257" s="6"/>
      <c r="P257" s="6"/>
      <c r="Q257" s="6"/>
      <c r="R257" s="6" t="s">
        <v>1680</v>
      </c>
      <c r="S257" s="6"/>
      <c r="T257" s="6"/>
      <c r="U257" s="6"/>
      <c r="V257" s="6"/>
      <c r="W257" s="6"/>
      <c r="X257" s="6"/>
      <c r="Y257" s="6"/>
      <c r="Z257" s="6"/>
      <c r="AA257" s="6" t="s">
        <v>89</v>
      </c>
      <c r="AB257" s="6" t="s">
        <v>1773</v>
      </c>
      <c r="AC257" s="6" t="s">
        <v>1341</v>
      </c>
      <c r="AD257" s="6" t="s">
        <v>1342</v>
      </c>
      <c r="AE257" s="6" t="s">
        <v>1343</v>
      </c>
      <c r="AF257" s="6" t="s">
        <v>1774</v>
      </c>
      <c r="AG257" s="6"/>
      <c r="AH257" s="6"/>
      <c r="AI257" s="7"/>
      <c r="AJ257" s="7"/>
      <c r="AK257" s="7"/>
      <c r="AL257" s="7"/>
      <c r="AM257" s="7"/>
      <c r="AN257" s="7"/>
      <c r="AO257" s="7"/>
      <c r="AP257" s="7"/>
      <c r="AQ257" s="7"/>
      <c r="AR257" s="7"/>
      <c r="AS257" s="7"/>
      <c r="AT257" s="7"/>
      <c r="AU257" s="7"/>
      <c r="AV257" s="7"/>
      <c r="AW257" s="7"/>
      <c r="AX257" s="7"/>
      <c r="AY257" s="7"/>
      <c r="AZ257" s="7"/>
    </row>
    <row r="258" customFormat="false" ht="150" hidden="false" customHeight="true" outlineLevel="0" collapsed="false">
      <c r="A258" s="6" t="s">
        <v>1775</v>
      </c>
      <c r="B258" s="6" t="s">
        <v>1329</v>
      </c>
      <c r="C258" s="6" t="s">
        <v>76</v>
      </c>
      <c r="D258" s="6" t="s">
        <v>132</v>
      </c>
      <c r="E258" s="6" t="s">
        <v>133</v>
      </c>
      <c r="F258" s="6"/>
      <c r="G258" s="6" t="s">
        <v>98</v>
      </c>
      <c r="H258" s="6" t="s">
        <v>1330</v>
      </c>
      <c r="I258" s="6" t="s">
        <v>81</v>
      </c>
      <c r="J258" s="6" t="s">
        <v>621</v>
      </c>
      <c r="K258" s="6" t="s">
        <v>1767</v>
      </c>
      <c r="L258" s="6" t="s">
        <v>1768</v>
      </c>
      <c r="M258" s="6" t="s">
        <v>1769</v>
      </c>
      <c r="N258" s="6"/>
      <c r="O258" s="6"/>
      <c r="P258" s="6"/>
      <c r="Q258" s="6"/>
      <c r="R258" s="6" t="s">
        <v>1680</v>
      </c>
      <c r="S258" s="6"/>
      <c r="T258" s="6"/>
      <c r="U258" s="6"/>
      <c r="V258" s="6"/>
      <c r="W258" s="6"/>
      <c r="X258" s="6"/>
      <c r="Y258" s="6"/>
      <c r="Z258" s="6"/>
      <c r="AA258" s="6" t="s">
        <v>89</v>
      </c>
      <c r="AB258" s="6" t="s">
        <v>1776</v>
      </c>
      <c r="AC258" s="6" t="s">
        <v>1347</v>
      </c>
      <c r="AD258" s="6" t="s">
        <v>1348</v>
      </c>
      <c r="AE258" s="6" t="s">
        <v>1349</v>
      </c>
      <c r="AF258" s="6" t="s">
        <v>1774</v>
      </c>
      <c r="AG258" s="6"/>
      <c r="AH258" s="6"/>
      <c r="AI258" s="7"/>
      <c r="AJ258" s="7"/>
      <c r="AK258" s="7"/>
      <c r="AL258" s="7"/>
      <c r="AM258" s="7"/>
      <c r="AN258" s="7"/>
      <c r="AO258" s="7"/>
      <c r="AP258" s="7"/>
      <c r="AQ258" s="7"/>
      <c r="AR258" s="7"/>
      <c r="AS258" s="7"/>
      <c r="AT258" s="7"/>
      <c r="AU258" s="7"/>
      <c r="AV258" s="7"/>
      <c r="AW258" s="7"/>
      <c r="AX258" s="7"/>
      <c r="AY258" s="7"/>
      <c r="AZ258" s="7"/>
    </row>
    <row r="259" customFormat="false" ht="150" hidden="false" customHeight="true" outlineLevel="0" collapsed="false">
      <c r="A259" s="6" t="s">
        <v>1777</v>
      </c>
      <c r="B259" s="6" t="s">
        <v>1329</v>
      </c>
      <c r="C259" s="6" t="s">
        <v>76</v>
      </c>
      <c r="D259" s="6" t="s">
        <v>132</v>
      </c>
      <c r="E259" s="6" t="s">
        <v>133</v>
      </c>
      <c r="F259" s="6"/>
      <c r="G259" s="6" t="s">
        <v>165</v>
      </c>
      <c r="H259" s="6" t="s">
        <v>1330</v>
      </c>
      <c r="I259" s="6" t="s">
        <v>81</v>
      </c>
      <c r="J259" s="6" t="s">
        <v>621</v>
      </c>
      <c r="K259" s="6" t="s">
        <v>1767</v>
      </c>
      <c r="L259" s="6" t="s">
        <v>1768</v>
      </c>
      <c r="M259" s="6" t="s">
        <v>1769</v>
      </c>
      <c r="N259" s="6"/>
      <c r="O259" s="6"/>
      <c r="P259" s="6"/>
      <c r="Q259" s="6"/>
      <c r="R259" s="6" t="s">
        <v>1680</v>
      </c>
      <c r="S259" s="6"/>
      <c r="T259" s="6"/>
      <c r="U259" s="6"/>
      <c r="V259" s="6"/>
      <c r="W259" s="6"/>
      <c r="X259" s="6"/>
      <c r="Y259" s="6"/>
      <c r="Z259" s="6"/>
      <c r="AA259" s="6" t="s">
        <v>89</v>
      </c>
      <c r="AB259" s="6" t="s">
        <v>1778</v>
      </c>
      <c r="AC259" s="6" t="s">
        <v>1352</v>
      </c>
      <c r="AD259" s="6" t="s">
        <v>1353</v>
      </c>
      <c r="AE259" s="6" t="s">
        <v>1354</v>
      </c>
      <c r="AF259" s="6" t="s">
        <v>1779</v>
      </c>
      <c r="AG259" s="6"/>
      <c r="AH259" s="6"/>
      <c r="AI259" s="7"/>
      <c r="AJ259" s="7"/>
      <c r="AK259" s="7"/>
      <c r="AL259" s="7"/>
      <c r="AM259" s="7"/>
      <c r="AN259" s="7"/>
      <c r="AO259" s="7"/>
      <c r="AP259" s="7"/>
      <c r="AQ259" s="7"/>
      <c r="AR259" s="7"/>
      <c r="AS259" s="7"/>
      <c r="AT259" s="7"/>
      <c r="AU259" s="7"/>
      <c r="AV259" s="7"/>
      <c r="AW259" s="7"/>
      <c r="AX259" s="7"/>
      <c r="AY259" s="7"/>
      <c r="AZ259" s="7"/>
    </row>
    <row r="260" customFormat="false" ht="150" hidden="false" customHeight="true" outlineLevel="0" collapsed="false">
      <c r="A260" s="6" t="s">
        <v>1780</v>
      </c>
      <c r="B260" s="6" t="s">
        <v>1329</v>
      </c>
      <c r="C260" s="6" t="s">
        <v>76</v>
      </c>
      <c r="D260" s="6" t="s">
        <v>132</v>
      </c>
      <c r="E260" s="6" t="s">
        <v>133</v>
      </c>
      <c r="F260" s="6"/>
      <c r="G260" s="6" t="s">
        <v>165</v>
      </c>
      <c r="H260" s="6" t="s">
        <v>1330</v>
      </c>
      <c r="I260" s="6" t="s">
        <v>81</v>
      </c>
      <c r="J260" s="6" t="s">
        <v>621</v>
      </c>
      <c r="K260" s="6" t="s">
        <v>1767</v>
      </c>
      <c r="L260" s="6" t="s">
        <v>1768</v>
      </c>
      <c r="M260" s="6" t="s">
        <v>1769</v>
      </c>
      <c r="N260" s="6"/>
      <c r="O260" s="6"/>
      <c r="P260" s="6"/>
      <c r="Q260" s="6"/>
      <c r="R260" s="6" t="s">
        <v>1680</v>
      </c>
      <c r="S260" s="6"/>
      <c r="T260" s="6"/>
      <c r="U260" s="6"/>
      <c r="V260" s="6"/>
      <c r="W260" s="6"/>
      <c r="X260" s="6"/>
      <c r="Y260" s="6"/>
      <c r="Z260" s="6"/>
      <c r="AA260" s="6" t="s">
        <v>89</v>
      </c>
      <c r="AB260" s="6" t="s">
        <v>1781</v>
      </c>
      <c r="AC260" s="6" t="s">
        <v>1358</v>
      </c>
      <c r="AD260" s="6" t="s">
        <v>1359</v>
      </c>
      <c r="AE260" s="6" t="s">
        <v>1360</v>
      </c>
      <c r="AF260" s="6" t="s">
        <v>1779</v>
      </c>
      <c r="AG260" s="6"/>
      <c r="AH260" s="6"/>
      <c r="AI260" s="7"/>
      <c r="AJ260" s="7"/>
      <c r="AK260" s="7"/>
      <c r="AL260" s="7"/>
      <c r="AM260" s="7"/>
      <c r="AN260" s="7"/>
      <c r="AO260" s="7"/>
      <c r="AP260" s="7"/>
      <c r="AQ260" s="7"/>
      <c r="AR260" s="7"/>
      <c r="AS260" s="7"/>
      <c r="AT260" s="7"/>
      <c r="AU260" s="7"/>
      <c r="AV260" s="7"/>
      <c r="AW260" s="7"/>
      <c r="AX260" s="7"/>
      <c r="AY260" s="7"/>
      <c r="AZ260" s="7"/>
    </row>
    <row r="261" customFormat="false" ht="150" hidden="false" customHeight="true" outlineLevel="0" collapsed="false">
      <c r="A261" s="6" t="s">
        <v>1782</v>
      </c>
      <c r="B261" s="6" t="s">
        <v>1329</v>
      </c>
      <c r="C261" s="6" t="s">
        <v>76</v>
      </c>
      <c r="D261" s="6" t="s">
        <v>132</v>
      </c>
      <c r="E261" s="6" t="s">
        <v>133</v>
      </c>
      <c r="F261" s="6"/>
      <c r="G261" s="6" t="s">
        <v>1362</v>
      </c>
      <c r="H261" s="6" t="s">
        <v>1330</v>
      </c>
      <c r="I261" s="6" t="s">
        <v>81</v>
      </c>
      <c r="J261" s="6" t="s">
        <v>621</v>
      </c>
      <c r="K261" s="6" t="s">
        <v>1767</v>
      </c>
      <c r="L261" s="6" t="s">
        <v>1768</v>
      </c>
      <c r="M261" s="6" t="s">
        <v>1769</v>
      </c>
      <c r="N261" s="6"/>
      <c r="O261" s="6"/>
      <c r="P261" s="6"/>
      <c r="Q261" s="6"/>
      <c r="R261" s="6" t="s">
        <v>1680</v>
      </c>
      <c r="S261" s="6"/>
      <c r="T261" s="6"/>
      <c r="U261" s="6"/>
      <c r="V261" s="6"/>
      <c r="W261" s="6"/>
      <c r="X261" s="6"/>
      <c r="Y261" s="6"/>
      <c r="Z261" s="6"/>
      <c r="AA261" s="6" t="s">
        <v>89</v>
      </c>
      <c r="AB261" s="6" t="s">
        <v>1783</v>
      </c>
      <c r="AC261" s="6" t="s">
        <v>1364</v>
      </c>
      <c r="AD261" s="6" t="s">
        <v>1365</v>
      </c>
      <c r="AE261" s="6" t="s">
        <v>1366</v>
      </c>
      <c r="AF261" s="6" t="s">
        <v>1784</v>
      </c>
      <c r="AG261" s="6"/>
      <c r="AH261" s="6"/>
      <c r="AI261" s="7"/>
      <c r="AJ261" s="7"/>
      <c r="AK261" s="7"/>
      <c r="AL261" s="7"/>
      <c r="AM261" s="7"/>
      <c r="AN261" s="7"/>
      <c r="AO261" s="7"/>
      <c r="AP261" s="7"/>
      <c r="AQ261" s="7"/>
      <c r="AR261" s="7"/>
      <c r="AS261" s="7"/>
      <c r="AT261" s="7"/>
      <c r="AU261" s="7"/>
      <c r="AV261" s="7"/>
      <c r="AW261" s="7"/>
      <c r="AX261" s="7"/>
      <c r="AY261" s="7"/>
      <c r="AZ261" s="7"/>
    </row>
    <row r="262" customFormat="false" ht="150" hidden="false" customHeight="true" outlineLevel="0" collapsed="false">
      <c r="A262" s="6" t="s">
        <v>1785</v>
      </c>
      <c r="B262" s="6" t="s">
        <v>1329</v>
      </c>
      <c r="C262" s="6" t="s">
        <v>76</v>
      </c>
      <c r="D262" s="6" t="s">
        <v>132</v>
      </c>
      <c r="E262" s="6" t="s">
        <v>133</v>
      </c>
      <c r="F262" s="6"/>
      <c r="G262" s="6" t="s">
        <v>1362</v>
      </c>
      <c r="H262" s="6" t="s">
        <v>1330</v>
      </c>
      <c r="I262" s="6" t="s">
        <v>81</v>
      </c>
      <c r="J262" s="6" t="s">
        <v>621</v>
      </c>
      <c r="K262" s="6" t="s">
        <v>1767</v>
      </c>
      <c r="L262" s="6" t="s">
        <v>1768</v>
      </c>
      <c r="M262" s="6" t="s">
        <v>1769</v>
      </c>
      <c r="N262" s="6"/>
      <c r="O262" s="6"/>
      <c r="P262" s="6"/>
      <c r="Q262" s="6"/>
      <c r="R262" s="6" t="s">
        <v>1680</v>
      </c>
      <c r="S262" s="6"/>
      <c r="T262" s="6"/>
      <c r="U262" s="6"/>
      <c r="V262" s="6"/>
      <c r="W262" s="6"/>
      <c r="X262" s="6"/>
      <c r="Y262" s="6"/>
      <c r="Z262" s="6"/>
      <c r="AA262" s="6" t="s">
        <v>89</v>
      </c>
      <c r="AB262" s="6" t="s">
        <v>1786</v>
      </c>
      <c r="AC262" s="6" t="s">
        <v>1370</v>
      </c>
      <c r="AD262" s="6" t="s">
        <v>1371</v>
      </c>
      <c r="AE262" s="6" t="s">
        <v>1372</v>
      </c>
      <c r="AF262" s="6" t="s">
        <v>1784</v>
      </c>
      <c r="AG262" s="6"/>
      <c r="AH262" s="6"/>
      <c r="AI262" s="7"/>
      <c r="AJ262" s="7"/>
      <c r="AK262" s="7"/>
      <c r="AL262" s="7"/>
      <c r="AM262" s="7"/>
      <c r="AN262" s="7"/>
      <c r="AO262" s="7"/>
      <c r="AP262" s="7"/>
      <c r="AQ262" s="7"/>
      <c r="AR262" s="7"/>
      <c r="AS262" s="7"/>
      <c r="AT262" s="7"/>
      <c r="AU262" s="7"/>
      <c r="AV262" s="7"/>
      <c r="AW262" s="7"/>
      <c r="AX262" s="7"/>
      <c r="AY262" s="7"/>
      <c r="AZ262" s="7"/>
    </row>
    <row r="263" customFormat="false" ht="150" hidden="false" customHeight="true" outlineLevel="0" collapsed="false">
      <c r="A263" s="6" t="s">
        <v>1787</v>
      </c>
      <c r="B263" s="6" t="s">
        <v>1329</v>
      </c>
      <c r="C263" s="6" t="s">
        <v>76</v>
      </c>
      <c r="D263" s="6" t="s">
        <v>145</v>
      </c>
      <c r="E263" s="6" t="s">
        <v>146</v>
      </c>
      <c r="F263" s="6"/>
      <c r="G263" s="6" t="s">
        <v>79</v>
      </c>
      <c r="H263" s="6" t="s">
        <v>1330</v>
      </c>
      <c r="I263" s="6" t="s">
        <v>81</v>
      </c>
      <c r="J263" s="6" t="s">
        <v>595</v>
      </c>
      <c r="K263" s="6" t="s">
        <v>304</v>
      </c>
      <c r="L263" s="6" t="s">
        <v>305</v>
      </c>
      <c r="M263" s="6" t="s">
        <v>1788</v>
      </c>
      <c r="N263" s="6"/>
      <c r="O263" s="6"/>
      <c r="P263" s="6" t="s">
        <v>200</v>
      </c>
      <c r="Q263" s="6" t="s">
        <v>268</v>
      </c>
      <c r="R263" s="6" t="s">
        <v>306</v>
      </c>
      <c r="S263" s="6"/>
      <c r="T263" s="6"/>
      <c r="U263" s="6"/>
      <c r="V263" s="6"/>
      <c r="W263" s="6"/>
      <c r="X263" s="6"/>
      <c r="Y263" s="6"/>
      <c r="Z263" s="6"/>
      <c r="AA263" s="6" t="s">
        <v>89</v>
      </c>
      <c r="AB263" s="6" t="s">
        <v>1789</v>
      </c>
      <c r="AC263" s="6" t="s">
        <v>1335</v>
      </c>
      <c r="AD263" s="6" t="s">
        <v>1336</v>
      </c>
      <c r="AE263" s="6" t="s">
        <v>1337</v>
      </c>
      <c r="AF263" s="6" t="s">
        <v>1790</v>
      </c>
      <c r="AG263" s="6"/>
      <c r="AH263" s="6"/>
      <c r="AI263" s="7"/>
      <c r="AJ263" s="7"/>
      <c r="AK263" s="7"/>
      <c r="AL263" s="7"/>
      <c r="AM263" s="7"/>
      <c r="AN263" s="7"/>
      <c r="AO263" s="7"/>
      <c r="AP263" s="7"/>
      <c r="AQ263" s="7"/>
      <c r="AR263" s="7"/>
      <c r="AS263" s="7"/>
      <c r="AT263" s="7"/>
      <c r="AU263" s="7"/>
      <c r="AV263" s="7"/>
      <c r="AW263" s="7"/>
      <c r="AX263" s="7"/>
      <c r="AY263" s="7"/>
      <c r="AZ263" s="7"/>
    </row>
    <row r="264" customFormat="false" ht="150" hidden="false" customHeight="true" outlineLevel="0" collapsed="false">
      <c r="A264" s="6" t="s">
        <v>1791</v>
      </c>
      <c r="B264" s="6" t="s">
        <v>1329</v>
      </c>
      <c r="C264" s="6" t="s">
        <v>76</v>
      </c>
      <c r="D264" s="6" t="s">
        <v>145</v>
      </c>
      <c r="E264" s="6" t="s">
        <v>146</v>
      </c>
      <c r="F264" s="6"/>
      <c r="G264" s="6" t="s">
        <v>98</v>
      </c>
      <c r="H264" s="6" t="s">
        <v>1330</v>
      </c>
      <c r="I264" s="6" t="s">
        <v>81</v>
      </c>
      <c r="J264" s="6" t="s">
        <v>621</v>
      </c>
      <c r="K264" s="6" t="s">
        <v>304</v>
      </c>
      <c r="L264" s="6" t="s">
        <v>305</v>
      </c>
      <c r="M264" s="6" t="s">
        <v>1788</v>
      </c>
      <c r="N264" s="6"/>
      <c r="O264" s="6"/>
      <c r="P264" s="6" t="s">
        <v>200</v>
      </c>
      <c r="Q264" s="6" t="s">
        <v>268</v>
      </c>
      <c r="R264" s="6" t="s">
        <v>306</v>
      </c>
      <c r="S264" s="6"/>
      <c r="T264" s="6"/>
      <c r="U264" s="6"/>
      <c r="V264" s="6"/>
      <c r="W264" s="6"/>
      <c r="X264" s="6"/>
      <c r="Y264" s="6"/>
      <c r="Z264" s="6"/>
      <c r="AA264" s="6" t="s">
        <v>89</v>
      </c>
      <c r="AB264" s="6" t="s">
        <v>1792</v>
      </c>
      <c r="AC264" s="6" t="s">
        <v>1341</v>
      </c>
      <c r="AD264" s="6" t="s">
        <v>1342</v>
      </c>
      <c r="AE264" s="6" t="s">
        <v>1343</v>
      </c>
      <c r="AF264" s="6" t="s">
        <v>1793</v>
      </c>
      <c r="AG264" s="6"/>
      <c r="AH264" s="6"/>
      <c r="AI264" s="7"/>
      <c r="AJ264" s="7"/>
      <c r="AK264" s="7"/>
      <c r="AL264" s="7"/>
      <c r="AM264" s="7"/>
      <c r="AN264" s="7"/>
      <c r="AO264" s="7"/>
      <c r="AP264" s="7"/>
      <c r="AQ264" s="7"/>
      <c r="AR264" s="7"/>
      <c r="AS264" s="7"/>
      <c r="AT264" s="7"/>
      <c r="AU264" s="7"/>
      <c r="AV264" s="7"/>
      <c r="AW264" s="7"/>
      <c r="AX264" s="7"/>
      <c r="AY264" s="7"/>
      <c r="AZ264" s="7"/>
    </row>
    <row r="265" customFormat="false" ht="150" hidden="false" customHeight="true" outlineLevel="0" collapsed="false">
      <c r="A265" s="6" t="s">
        <v>1794</v>
      </c>
      <c r="B265" s="6" t="s">
        <v>1329</v>
      </c>
      <c r="C265" s="6" t="s">
        <v>76</v>
      </c>
      <c r="D265" s="6" t="s">
        <v>145</v>
      </c>
      <c r="E265" s="6" t="s">
        <v>146</v>
      </c>
      <c r="F265" s="6"/>
      <c r="G265" s="6" t="s">
        <v>98</v>
      </c>
      <c r="H265" s="6" t="s">
        <v>1330</v>
      </c>
      <c r="I265" s="6" t="s">
        <v>81</v>
      </c>
      <c r="J265" s="6" t="s">
        <v>621</v>
      </c>
      <c r="K265" s="6" t="s">
        <v>304</v>
      </c>
      <c r="L265" s="6" t="s">
        <v>305</v>
      </c>
      <c r="M265" s="6" t="s">
        <v>1788</v>
      </c>
      <c r="N265" s="6"/>
      <c r="O265" s="6"/>
      <c r="P265" s="6" t="s">
        <v>200</v>
      </c>
      <c r="Q265" s="6" t="s">
        <v>268</v>
      </c>
      <c r="R265" s="6" t="s">
        <v>306</v>
      </c>
      <c r="S265" s="6"/>
      <c r="T265" s="6"/>
      <c r="U265" s="6"/>
      <c r="V265" s="6"/>
      <c r="W265" s="6"/>
      <c r="X265" s="6"/>
      <c r="Y265" s="6"/>
      <c r="Z265" s="6"/>
      <c r="AA265" s="6" t="s">
        <v>89</v>
      </c>
      <c r="AB265" s="6" t="s">
        <v>1795</v>
      </c>
      <c r="AC265" s="6" t="s">
        <v>1347</v>
      </c>
      <c r="AD265" s="6" t="s">
        <v>1348</v>
      </c>
      <c r="AE265" s="6" t="s">
        <v>1349</v>
      </c>
      <c r="AF265" s="6" t="s">
        <v>1793</v>
      </c>
      <c r="AG265" s="6"/>
      <c r="AH265" s="6"/>
      <c r="AI265" s="7"/>
      <c r="AJ265" s="7"/>
      <c r="AK265" s="7"/>
      <c r="AL265" s="7"/>
      <c r="AM265" s="7"/>
      <c r="AN265" s="7"/>
      <c r="AO265" s="7"/>
      <c r="AP265" s="7"/>
      <c r="AQ265" s="7"/>
      <c r="AR265" s="7"/>
      <c r="AS265" s="7"/>
      <c r="AT265" s="7"/>
      <c r="AU265" s="7"/>
      <c r="AV265" s="7"/>
      <c r="AW265" s="7"/>
      <c r="AX265" s="7"/>
      <c r="AY265" s="7"/>
      <c r="AZ265" s="7"/>
    </row>
    <row r="266" customFormat="false" ht="150" hidden="false" customHeight="true" outlineLevel="0" collapsed="false">
      <c r="A266" s="6" t="s">
        <v>1796</v>
      </c>
      <c r="B266" s="6" t="s">
        <v>1329</v>
      </c>
      <c r="C266" s="6" t="s">
        <v>76</v>
      </c>
      <c r="D266" s="6" t="s">
        <v>145</v>
      </c>
      <c r="E266" s="6" t="s">
        <v>146</v>
      </c>
      <c r="F266" s="6"/>
      <c r="G266" s="6" t="s">
        <v>165</v>
      </c>
      <c r="H266" s="6" t="s">
        <v>1330</v>
      </c>
      <c r="I266" s="6" t="s">
        <v>81</v>
      </c>
      <c r="J266" s="6" t="s">
        <v>621</v>
      </c>
      <c r="K266" s="6" t="s">
        <v>304</v>
      </c>
      <c r="L266" s="6" t="s">
        <v>305</v>
      </c>
      <c r="M266" s="6" t="s">
        <v>1788</v>
      </c>
      <c r="N266" s="6"/>
      <c r="O266" s="6"/>
      <c r="P266" s="6" t="s">
        <v>200</v>
      </c>
      <c r="Q266" s="6" t="s">
        <v>268</v>
      </c>
      <c r="R266" s="6" t="s">
        <v>306</v>
      </c>
      <c r="S266" s="6"/>
      <c r="T266" s="6"/>
      <c r="U266" s="6"/>
      <c r="V266" s="6"/>
      <c r="W266" s="6"/>
      <c r="X266" s="6"/>
      <c r="Y266" s="6"/>
      <c r="Z266" s="6"/>
      <c r="AA266" s="6" t="s">
        <v>89</v>
      </c>
      <c r="AB266" s="6" t="s">
        <v>1797</v>
      </c>
      <c r="AC266" s="6" t="s">
        <v>1352</v>
      </c>
      <c r="AD266" s="6" t="s">
        <v>1353</v>
      </c>
      <c r="AE266" s="6" t="s">
        <v>1354</v>
      </c>
      <c r="AF266" s="6" t="s">
        <v>1798</v>
      </c>
      <c r="AG266" s="6"/>
      <c r="AH266" s="6"/>
      <c r="AI266" s="7"/>
      <c r="AJ266" s="7"/>
      <c r="AK266" s="7"/>
      <c r="AL266" s="7"/>
      <c r="AM266" s="7"/>
      <c r="AN266" s="7"/>
      <c r="AO266" s="7"/>
      <c r="AP266" s="7"/>
      <c r="AQ266" s="7"/>
      <c r="AR266" s="7"/>
      <c r="AS266" s="7"/>
      <c r="AT266" s="7"/>
      <c r="AU266" s="7"/>
      <c r="AV266" s="7"/>
      <c r="AW266" s="7"/>
      <c r="AX266" s="7"/>
      <c r="AY266" s="7"/>
      <c r="AZ266" s="7"/>
    </row>
    <row r="267" customFormat="false" ht="150" hidden="false" customHeight="true" outlineLevel="0" collapsed="false">
      <c r="A267" s="6" t="s">
        <v>1799</v>
      </c>
      <c r="B267" s="6" t="s">
        <v>1329</v>
      </c>
      <c r="C267" s="6" t="s">
        <v>76</v>
      </c>
      <c r="D267" s="6" t="s">
        <v>145</v>
      </c>
      <c r="E267" s="6" t="s">
        <v>146</v>
      </c>
      <c r="F267" s="6"/>
      <c r="G267" s="6" t="s">
        <v>165</v>
      </c>
      <c r="H267" s="6" t="s">
        <v>1330</v>
      </c>
      <c r="I267" s="6" t="s">
        <v>81</v>
      </c>
      <c r="J267" s="6" t="s">
        <v>621</v>
      </c>
      <c r="K267" s="6" t="s">
        <v>304</v>
      </c>
      <c r="L267" s="6" t="s">
        <v>305</v>
      </c>
      <c r="M267" s="6" t="s">
        <v>1788</v>
      </c>
      <c r="N267" s="6"/>
      <c r="O267" s="6"/>
      <c r="P267" s="6" t="s">
        <v>200</v>
      </c>
      <c r="Q267" s="6" t="s">
        <v>268</v>
      </c>
      <c r="R267" s="6" t="s">
        <v>306</v>
      </c>
      <c r="S267" s="6"/>
      <c r="T267" s="6"/>
      <c r="U267" s="6"/>
      <c r="V267" s="6"/>
      <c r="W267" s="6"/>
      <c r="X267" s="6"/>
      <c r="Y267" s="6"/>
      <c r="Z267" s="6"/>
      <c r="AA267" s="6" t="s">
        <v>89</v>
      </c>
      <c r="AB267" s="6" t="s">
        <v>1800</v>
      </c>
      <c r="AC267" s="6" t="s">
        <v>1358</v>
      </c>
      <c r="AD267" s="6" t="s">
        <v>1359</v>
      </c>
      <c r="AE267" s="6" t="s">
        <v>1360</v>
      </c>
      <c r="AF267" s="6" t="s">
        <v>1798</v>
      </c>
      <c r="AG267" s="6"/>
      <c r="AH267" s="6"/>
      <c r="AI267" s="7"/>
      <c r="AJ267" s="7"/>
      <c r="AK267" s="7"/>
      <c r="AL267" s="7"/>
      <c r="AM267" s="7"/>
      <c r="AN267" s="7"/>
      <c r="AO267" s="7"/>
      <c r="AP267" s="7"/>
      <c r="AQ267" s="7"/>
      <c r="AR267" s="7"/>
      <c r="AS267" s="7"/>
      <c r="AT267" s="7"/>
      <c r="AU267" s="7"/>
      <c r="AV267" s="7"/>
      <c r="AW267" s="7"/>
      <c r="AX267" s="7"/>
      <c r="AY267" s="7"/>
      <c r="AZ267" s="7"/>
    </row>
    <row r="268" customFormat="false" ht="150" hidden="false" customHeight="true" outlineLevel="0" collapsed="false">
      <c r="A268" s="6" t="s">
        <v>1801</v>
      </c>
      <c r="B268" s="6" t="s">
        <v>1329</v>
      </c>
      <c r="C268" s="6" t="s">
        <v>76</v>
      </c>
      <c r="D268" s="6" t="s">
        <v>145</v>
      </c>
      <c r="E268" s="6" t="s">
        <v>146</v>
      </c>
      <c r="F268" s="6"/>
      <c r="G268" s="6" t="s">
        <v>1362</v>
      </c>
      <c r="H268" s="6" t="s">
        <v>1330</v>
      </c>
      <c r="I268" s="6" t="s">
        <v>81</v>
      </c>
      <c r="J268" s="6" t="s">
        <v>621</v>
      </c>
      <c r="K268" s="6" t="s">
        <v>304</v>
      </c>
      <c r="L268" s="6" t="s">
        <v>305</v>
      </c>
      <c r="M268" s="6" t="s">
        <v>1788</v>
      </c>
      <c r="N268" s="6"/>
      <c r="O268" s="6"/>
      <c r="P268" s="6" t="s">
        <v>200</v>
      </c>
      <c r="Q268" s="6" t="s">
        <v>268</v>
      </c>
      <c r="R268" s="6" t="s">
        <v>306</v>
      </c>
      <c r="S268" s="6"/>
      <c r="T268" s="6"/>
      <c r="U268" s="6"/>
      <c r="V268" s="6"/>
      <c r="W268" s="6"/>
      <c r="X268" s="6"/>
      <c r="Y268" s="6"/>
      <c r="Z268" s="6"/>
      <c r="AA268" s="6" t="s">
        <v>89</v>
      </c>
      <c r="AB268" s="6" t="s">
        <v>1802</v>
      </c>
      <c r="AC268" s="6" t="s">
        <v>1364</v>
      </c>
      <c r="AD268" s="6" t="s">
        <v>1365</v>
      </c>
      <c r="AE268" s="6" t="s">
        <v>1366</v>
      </c>
      <c r="AF268" s="6" t="s">
        <v>1803</v>
      </c>
      <c r="AG268" s="6"/>
      <c r="AH268" s="6"/>
      <c r="AI268" s="7"/>
      <c r="AJ268" s="7"/>
      <c r="AK268" s="7"/>
      <c r="AL268" s="7"/>
      <c r="AM268" s="7"/>
      <c r="AN268" s="7"/>
      <c r="AO268" s="7"/>
      <c r="AP268" s="7"/>
      <c r="AQ268" s="7"/>
      <c r="AR268" s="7"/>
      <c r="AS268" s="7"/>
      <c r="AT268" s="7"/>
      <c r="AU268" s="7"/>
      <c r="AV268" s="7"/>
      <c r="AW268" s="7"/>
      <c r="AX268" s="7"/>
      <c r="AY268" s="7"/>
      <c r="AZ268" s="7"/>
    </row>
    <row r="269" customFormat="false" ht="150" hidden="false" customHeight="true" outlineLevel="0" collapsed="false">
      <c r="A269" s="6" t="s">
        <v>1804</v>
      </c>
      <c r="B269" s="6" t="s">
        <v>1329</v>
      </c>
      <c r="C269" s="6" t="s">
        <v>76</v>
      </c>
      <c r="D269" s="6" t="s">
        <v>145</v>
      </c>
      <c r="E269" s="6" t="s">
        <v>146</v>
      </c>
      <c r="F269" s="6"/>
      <c r="G269" s="6" t="s">
        <v>1362</v>
      </c>
      <c r="H269" s="6" t="s">
        <v>1330</v>
      </c>
      <c r="I269" s="6" t="s">
        <v>81</v>
      </c>
      <c r="J269" s="6" t="s">
        <v>621</v>
      </c>
      <c r="K269" s="6" t="s">
        <v>304</v>
      </c>
      <c r="L269" s="6" t="s">
        <v>305</v>
      </c>
      <c r="M269" s="6" t="s">
        <v>1788</v>
      </c>
      <c r="N269" s="6"/>
      <c r="O269" s="6"/>
      <c r="P269" s="6" t="s">
        <v>200</v>
      </c>
      <c r="Q269" s="6" t="s">
        <v>268</v>
      </c>
      <c r="R269" s="6" t="s">
        <v>306</v>
      </c>
      <c r="S269" s="6"/>
      <c r="T269" s="6"/>
      <c r="U269" s="6"/>
      <c r="V269" s="6"/>
      <c r="W269" s="6"/>
      <c r="X269" s="6"/>
      <c r="Y269" s="6"/>
      <c r="Z269" s="6"/>
      <c r="AA269" s="6" t="s">
        <v>89</v>
      </c>
      <c r="AB269" s="6" t="s">
        <v>1805</v>
      </c>
      <c r="AC269" s="6" t="s">
        <v>1370</v>
      </c>
      <c r="AD269" s="6" t="s">
        <v>1371</v>
      </c>
      <c r="AE269" s="6" t="s">
        <v>1372</v>
      </c>
      <c r="AF269" s="6" t="s">
        <v>1803</v>
      </c>
      <c r="AG269" s="6"/>
      <c r="AH269" s="6"/>
      <c r="AI269" s="7"/>
      <c r="AJ269" s="7"/>
      <c r="AK269" s="7"/>
      <c r="AL269" s="7"/>
      <c r="AM269" s="7"/>
      <c r="AN269" s="7"/>
      <c r="AO269" s="7"/>
      <c r="AP269" s="7"/>
      <c r="AQ269" s="7"/>
      <c r="AR269" s="7"/>
      <c r="AS269" s="7"/>
      <c r="AT269" s="7"/>
      <c r="AU269" s="7"/>
      <c r="AV269" s="7"/>
      <c r="AW269" s="7"/>
      <c r="AX269" s="7"/>
      <c r="AY269" s="7"/>
      <c r="AZ269" s="7"/>
    </row>
    <row r="270" customFormat="false" ht="150" hidden="false" customHeight="true" outlineLevel="0" collapsed="false">
      <c r="A270" s="6" t="s">
        <v>1806</v>
      </c>
      <c r="B270" s="6" t="s">
        <v>1329</v>
      </c>
      <c r="C270" s="6" t="s">
        <v>76</v>
      </c>
      <c r="D270" s="6" t="s">
        <v>145</v>
      </c>
      <c r="E270" s="6" t="s">
        <v>146</v>
      </c>
      <c r="F270" s="6"/>
      <c r="G270" s="6" t="s">
        <v>79</v>
      </c>
      <c r="H270" s="6" t="s">
        <v>1330</v>
      </c>
      <c r="I270" s="6" t="s">
        <v>81</v>
      </c>
      <c r="J270" s="6" t="s">
        <v>595</v>
      </c>
      <c r="K270" s="6" t="s">
        <v>1807</v>
      </c>
      <c r="L270" s="6" t="s">
        <v>1808</v>
      </c>
      <c r="M270" s="6" t="s">
        <v>1809</v>
      </c>
      <c r="N270" s="6"/>
      <c r="O270" s="6"/>
      <c r="P270" s="6" t="s">
        <v>1810</v>
      </c>
      <c r="Q270" s="6" t="s">
        <v>1811</v>
      </c>
      <c r="R270" s="6" t="s">
        <v>1812</v>
      </c>
      <c r="S270" s="6"/>
      <c r="T270" s="6"/>
      <c r="U270" s="6"/>
      <c r="V270" s="6"/>
      <c r="W270" s="6"/>
      <c r="X270" s="6"/>
      <c r="Y270" s="6"/>
      <c r="Z270" s="6"/>
      <c r="AA270" s="6" t="s">
        <v>89</v>
      </c>
      <c r="AB270" s="6" t="s">
        <v>1813</v>
      </c>
      <c r="AC270" s="6" t="s">
        <v>1335</v>
      </c>
      <c r="AD270" s="6" t="s">
        <v>1336</v>
      </c>
      <c r="AE270" s="6" t="s">
        <v>1337</v>
      </c>
      <c r="AF270" s="6" t="s">
        <v>1814</v>
      </c>
      <c r="AG270" s="6"/>
      <c r="AH270" s="6"/>
      <c r="AI270" s="7"/>
      <c r="AJ270" s="7"/>
      <c r="AK270" s="7"/>
      <c r="AL270" s="7"/>
      <c r="AM270" s="7"/>
      <c r="AN270" s="7"/>
      <c r="AO270" s="7"/>
      <c r="AP270" s="7"/>
      <c r="AQ270" s="7"/>
      <c r="AR270" s="7"/>
      <c r="AS270" s="7"/>
      <c r="AT270" s="7"/>
      <c r="AU270" s="7"/>
      <c r="AV270" s="7"/>
      <c r="AW270" s="7"/>
      <c r="AX270" s="7"/>
      <c r="AY270" s="7"/>
      <c r="AZ270" s="7"/>
    </row>
    <row r="271" customFormat="false" ht="150" hidden="false" customHeight="true" outlineLevel="0" collapsed="false">
      <c r="A271" s="6" t="s">
        <v>1815</v>
      </c>
      <c r="B271" s="6" t="s">
        <v>1329</v>
      </c>
      <c r="C271" s="6" t="s">
        <v>76</v>
      </c>
      <c r="D271" s="6" t="s">
        <v>145</v>
      </c>
      <c r="E271" s="6" t="s">
        <v>146</v>
      </c>
      <c r="F271" s="6"/>
      <c r="G271" s="6" t="s">
        <v>98</v>
      </c>
      <c r="H271" s="6" t="s">
        <v>1330</v>
      </c>
      <c r="I271" s="6" t="s">
        <v>81</v>
      </c>
      <c r="J271" s="6" t="s">
        <v>621</v>
      </c>
      <c r="K271" s="6" t="s">
        <v>1807</v>
      </c>
      <c r="L271" s="6" t="s">
        <v>1808</v>
      </c>
      <c r="M271" s="6" t="s">
        <v>1809</v>
      </c>
      <c r="N271" s="6"/>
      <c r="O271" s="6"/>
      <c r="P271" s="6" t="s">
        <v>1810</v>
      </c>
      <c r="Q271" s="6" t="s">
        <v>1811</v>
      </c>
      <c r="R271" s="6" t="s">
        <v>1812</v>
      </c>
      <c r="S271" s="6"/>
      <c r="T271" s="6"/>
      <c r="U271" s="6"/>
      <c r="V271" s="6"/>
      <c r="W271" s="6"/>
      <c r="X271" s="6"/>
      <c r="Y271" s="6"/>
      <c r="Z271" s="6"/>
      <c r="AA271" s="6" t="s">
        <v>89</v>
      </c>
      <c r="AB271" s="6" t="s">
        <v>1816</v>
      </c>
      <c r="AC271" s="6" t="s">
        <v>1341</v>
      </c>
      <c r="AD271" s="6" t="s">
        <v>1342</v>
      </c>
      <c r="AE271" s="6" t="s">
        <v>1343</v>
      </c>
      <c r="AF271" s="6" t="s">
        <v>1817</v>
      </c>
      <c r="AG271" s="6"/>
      <c r="AH271" s="6"/>
      <c r="AI271" s="7"/>
      <c r="AJ271" s="7"/>
      <c r="AK271" s="7"/>
      <c r="AL271" s="7"/>
      <c r="AM271" s="7"/>
      <c r="AN271" s="7"/>
      <c r="AO271" s="7"/>
      <c r="AP271" s="7"/>
      <c r="AQ271" s="7"/>
      <c r="AR271" s="7"/>
      <c r="AS271" s="7"/>
      <c r="AT271" s="7"/>
      <c r="AU271" s="7"/>
      <c r="AV271" s="7"/>
      <c r="AW271" s="7"/>
      <c r="AX271" s="7"/>
      <c r="AY271" s="7"/>
      <c r="AZ271" s="7"/>
    </row>
    <row r="272" customFormat="false" ht="150" hidden="false" customHeight="true" outlineLevel="0" collapsed="false">
      <c r="A272" s="6" t="s">
        <v>1818</v>
      </c>
      <c r="B272" s="6" t="s">
        <v>1329</v>
      </c>
      <c r="C272" s="6" t="s">
        <v>76</v>
      </c>
      <c r="D272" s="6" t="s">
        <v>145</v>
      </c>
      <c r="E272" s="6" t="s">
        <v>146</v>
      </c>
      <c r="F272" s="6"/>
      <c r="G272" s="6" t="s">
        <v>98</v>
      </c>
      <c r="H272" s="6" t="s">
        <v>1330</v>
      </c>
      <c r="I272" s="6" t="s">
        <v>81</v>
      </c>
      <c r="J272" s="6" t="s">
        <v>621</v>
      </c>
      <c r="K272" s="6" t="s">
        <v>1807</v>
      </c>
      <c r="L272" s="6" t="s">
        <v>1808</v>
      </c>
      <c r="M272" s="6" t="s">
        <v>1809</v>
      </c>
      <c r="N272" s="6"/>
      <c r="O272" s="6"/>
      <c r="P272" s="6" t="s">
        <v>1810</v>
      </c>
      <c r="Q272" s="6" t="s">
        <v>1811</v>
      </c>
      <c r="R272" s="6" t="s">
        <v>1812</v>
      </c>
      <c r="S272" s="6"/>
      <c r="T272" s="6"/>
      <c r="U272" s="6"/>
      <c r="V272" s="6"/>
      <c r="W272" s="6"/>
      <c r="X272" s="6"/>
      <c r="Y272" s="6"/>
      <c r="Z272" s="6"/>
      <c r="AA272" s="6" t="s">
        <v>89</v>
      </c>
      <c r="AB272" s="6" t="s">
        <v>1819</v>
      </c>
      <c r="AC272" s="6" t="s">
        <v>1347</v>
      </c>
      <c r="AD272" s="6" t="s">
        <v>1348</v>
      </c>
      <c r="AE272" s="6" t="s">
        <v>1349</v>
      </c>
      <c r="AF272" s="6" t="s">
        <v>1817</v>
      </c>
      <c r="AG272" s="6"/>
      <c r="AH272" s="6"/>
      <c r="AI272" s="7"/>
      <c r="AJ272" s="7"/>
      <c r="AK272" s="7"/>
      <c r="AL272" s="7"/>
      <c r="AM272" s="7"/>
      <c r="AN272" s="7"/>
      <c r="AO272" s="7"/>
      <c r="AP272" s="7"/>
      <c r="AQ272" s="7"/>
      <c r="AR272" s="7"/>
      <c r="AS272" s="7"/>
      <c r="AT272" s="7"/>
      <c r="AU272" s="7"/>
      <c r="AV272" s="7"/>
      <c r="AW272" s="7"/>
      <c r="AX272" s="7"/>
      <c r="AY272" s="7"/>
      <c r="AZ272" s="7"/>
    </row>
    <row r="273" customFormat="false" ht="150" hidden="false" customHeight="true" outlineLevel="0" collapsed="false">
      <c r="A273" s="6" t="s">
        <v>1820</v>
      </c>
      <c r="B273" s="6" t="s">
        <v>1329</v>
      </c>
      <c r="C273" s="6" t="s">
        <v>76</v>
      </c>
      <c r="D273" s="6" t="s">
        <v>145</v>
      </c>
      <c r="E273" s="6" t="s">
        <v>146</v>
      </c>
      <c r="F273" s="6"/>
      <c r="G273" s="6" t="s">
        <v>165</v>
      </c>
      <c r="H273" s="6" t="s">
        <v>1330</v>
      </c>
      <c r="I273" s="6" t="s">
        <v>81</v>
      </c>
      <c r="J273" s="6" t="s">
        <v>621</v>
      </c>
      <c r="K273" s="6" t="s">
        <v>1807</v>
      </c>
      <c r="L273" s="6" t="s">
        <v>1808</v>
      </c>
      <c r="M273" s="6" t="s">
        <v>1809</v>
      </c>
      <c r="N273" s="6"/>
      <c r="O273" s="6"/>
      <c r="P273" s="6" t="s">
        <v>1810</v>
      </c>
      <c r="Q273" s="6" t="s">
        <v>1811</v>
      </c>
      <c r="R273" s="6" t="s">
        <v>1812</v>
      </c>
      <c r="S273" s="6"/>
      <c r="T273" s="6"/>
      <c r="U273" s="6"/>
      <c r="V273" s="6"/>
      <c r="W273" s="6"/>
      <c r="X273" s="6"/>
      <c r="Y273" s="6"/>
      <c r="Z273" s="6"/>
      <c r="AA273" s="6" t="s">
        <v>89</v>
      </c>
      <c r="AB273" s="6" t="s">
        <v>1821</v>
      </c>
      <c r="AC273" s="6" t="s">
        <v>1352</v>
      </c>
      <c r="AD273" s="6" t="s">
        <v>1353</v>
      </c>
      <c r="AE273" s="6" t="s">
        <v>1354</v>
      </c>
      <c r="AF273" s="6" t="s">
        <v>1822</v>
      </c>
      <c r="AG273" s="6"/>
      <c r="AH273" s="6"/>
      <c r="AI273" s="7"/>
      <c r="AJ273" s="7"/>
      <c r="AK273" s="7"/>
      <c r="AL273" s="7"/>
      <c r="AM273" s="7"/>
      <c r="AN273" s="7"/>
      <c r="AO273" s="7"/>
      <c r="AP273" s="7"/>
      <c r="AQ273" s="7"/>
      <c r="AR273" s="7"/>
      <c r="AS273" s="7"/>
      <c r="AT273" s="7"/>
      <c r="AU273" s="7"/>
      <c r="AV273" s="7"/>
      <c r="AW273" s="7"/>
      <c r="AX273" s="7"/>
      <c r="AY273" s="7"/>
      <c r="AZ273" s="7"/>
    </row>
    <row r="274" customFormat="false" ht="150" hidden="false" customHeight="true" outlineLevel="0" collapsed="false">
      <c r="A274" s="6" t="s">
        <v>1823</v>
      </c>
      <c r="B274" s="6" t="s">
        <v>1329</v>
      </c>
      <c r="C274" s="6" t="s">
        <v>76</v>
      </c>
      <c r="D274" s="6" t="s">
        <v>145</v>
      </c>
      <c r="E274" s="6" t="s">
        <v>146</v>
      </c>
      <c r="F274" s="6"/>
      <c r="G274" s="6" t="s">
        <v>165</v>
      </c>
      <c r="H274" s="6" t="s">
        <v>1330</v>
      </c>
      <c r="I274" s="6" t="s">
        <v>81</v>
      </c>
      <c r="J274" s="6" t="s">
        <v>621</v>
      </c>
      <c r="K274" s="6" t="s">
        <v>1807</v>
      </c>
      <c r="L274" s="6" t="s">
        <v>1808</v>
      </c>
      <c r="M274" s="6" t="s">
        <v>1809</v>
      </c>
      <c r="N274" s="6"/>
      <c r="O274" s="6"/>
      <c r="P274" s="6" t="s">
        <v>1810</v>
      </c>
      <c r="Q274" s="6" t="s">
        <v>1811</v>
      </c>
      <c r="R274" s="6" t="s">
        <v>1812</v>
      </c>
      <c r="S274" s="6"/>
      <c r="T274" s="6"/>
      <c r="U274" s="6"/>
      <c r="V274" s="6"/>
      <c r="W274" s="6"/>
      <c r="X274" s="6"/>
      <c r="Y274" s="6"/>
      <c r="Z274" s="6"/>
      <c r="AA274" s="6" t="s">
        <v>89</v>
      </c>
      <c r="AB274" s="6" t="s">
        <v>1824</v>
      </c>
      <c r="AC274" s="6" t="s">
        <v>1358</v>
      </c>
      <c r="AD274" s="6" t="s">
        <v>1359</v>
      </c>
      <c r="AE274" s="6" t="s">
        <v>1360</v>
      </c>
      <c r="AF274" s="6" t="s">
        <v>1822</v>
      </c>
      <c r="AG274" s="6"/>
      <c r="AH274" s="6"/>
      <c r="AI274" s="7"/>
      <c r="AJ274" s="7"/>
      <c r="AK274" s="7"/>
      <c r="AL274" s="7"/>
      <c r="AM274" s="7"/>
      <c r="AN274" s="7"/>
      <c r="AO274" s="7"/>
      <c r="AP274" s="7"/>
      <c r="AQ274" s="7"/>
      <c r="AR274" s="7"/>
      <c r="AS274" s="7"/>
      <c r="AT274" s="7"/>
      <c r="AU274" s="7"/>
      <c r="AV274" s="7"/>
      <c r="AW274" s="7"/>
      <c r="AX274" s="7"/>
      <c r="AY274" s="7"/>
      <c r="AZ274" s="7"/>
    </row>
    <row r="275" customFormat="false" ht="150" hidden="false" customHeight="true" outlineLevel="0" collapsed="false">
      <c r="A275" s="6" t="s">
        <v>1825</v>
      </c>
      <c r="B275" s="6" t="s">
        <v>1329</v>
      </c>
      <c r="C275" s="6" t="s">
        <v>76</v>
      </c>
      <c r="D275" s="6" t="s">
        <v>145</v>
      </c>
      <c r="E275" s="6" t="s">
        <v>146</v>
      </c>
      <c r="F275" s="6"/>
      <c r="G275" s="6" t="s">
        <v>1362</v>
      </c>
      <c r="H275" s="6" t="s">
        <v>1330</v>
      </c>
      <c r="I275" s="6" t="s">
        <v>81</v>
      </c>
      <c r="J275" s="6" t="s">
        <v>621</v>
      </c>
      <c r="K275" s="6" t="s">
        <v>1807</v>
      </c>
      <c r="L275" s="6" t="s">
        <v>1808</v>
      </c>
      <c r="M275" s="6" t="s">
        <v>1809</v>
      </c>
      <c r="N275" s="6"/>
      <c r="O275" s="6"/>
      <c r="P275" s="6" t="s">
        <v>1810</v>
      </c>
      <c r="Q275" s="6" t="s">
        <v>1811</v>
      </c>
      <c r="R275" s="6" t="s">
        <v>1812</v>
      </c>
      <c r="S275" s="6"/>
      <c r="T275" s="6"/>
      <c r="U275" s="6"/>
      <c r="V275" s="6"/>
      <c r="W275" s="6"/>
      <c r="X275" s="6"/>
      <c r="Y275" s="6"/>
      <c r="Z275" s="6"/>
      <c r="AA275" s="6" t="s">
        <v>89</v>
      </c>
      <c r="AB275" s="6" t="s">
        <v>1826</v>
      </c>
      <c r="AC275" s="6" t="s">
        <v>1364</v>
      </c>
      <c r="AD275" s="6" t="s">
        <v>1365</v>
      </c>
      <c r="AE275" s="6" t="s">
        <v>1366</v>
      </c>
      <c r="AF275" s="6" t="s">
        <v>1827</v>
      </c>
      <c r="AG275" s="6"/>
      <c r="AH275" s="6"/>
      <c r="AI275" s="7"/>
      <c r="AJ275" s="7"/>
      <c r="AK275" s="7"/>
      <c r="AL275" s="7"/>
      <c r="AM275" s="7"/>
      <c r="AN275" s="7"/>
      <c r="AO275" s="7"/>
      <c r="AP275" s="7"/>
      <c r="AQ275" s="7"/>
      <c r="AR275" s="7"/>
      <c r="AS275" s="7"/>
      <c r="AT275" s="7"/>
      <c r="AU275" s="7"/>
      <c r="AV275" s="7"/>
      <c r="AW275" s="7"/>
      <c r="AX275" s="7"/>
      <c r="AY275" s="7"/>
      <c r="AZ275" s="7"/>
    </row>
    <row r="276" customFormat="false" ht="150" hidden="false" customHeight="true" outlineLevel="0" collapsed="false">
      <c r="A276" s="6" t="s">
        <v>1828</v>
      </c>
      <c r="B276" s="6" t="s">
        <v>1329</v>
      </c>
      <c r="C276" s="6" t="s">
        <v>76</v>
      </c>
      <c r="D276" s="6" t="s">
        <v>145</v>
      </c>
      <c r="E276" s="6" t="s">
        <v>146</v>
      </c>
      <c r="F276" s="6"/>
      <c r="G276" s="6" t="s">
        <v>1362</v>
      </c>
      <c r="H276" s="6" t="s">
        <v>1330</v>
      </c>
      <c r="I276" s="6" t="s">
        <v>81</v>
      </c>
      <c r="J276" s="6" t="s">
        <v>621</v>
      </c>
      <c r="K276" s="6" t="s">
        <v>1807</v>
      </c>
      <c r="L276" s="6" t="s">
        <v>1808</v>
      </c>
      <c r="M276" s="6" t="s">
        <v>1809</v>
      </c>
      <c r="N276" s="6"/>
      <c r="O276" s="6"/>
      <c r="P276" s="6" t="s">
        <v>1810</v>
      </c>
      <c r="Q276" s="6" t="s">
        <v>1811</v>
      </c>
      <c r="R276" s="6" t="s">
        <v>1812</v>
      </c>
      <c r="S276" s="6"/>
      <c r="T276" s="6"/>
      <c r="U276" s="6"/>
      <c r="V276" s="6"/>
      <c r="W276" s="6"/>
      <c r="X276" s="6"/>
      <c r="Y276" s="6"/>
      <c r="Z276" s="6"/>
      <c r="AA276" s="6" t="s">
        <v>89</v>
      </c>
      <c r="AB276" s="6" t="s">
        <v>1829</v>
      </c>
      <c r="AC276" s="6" t="s">
        <v>1370</v>
      </c>
      <c r="AD276" s="6" t="s">
        <v>1371</v>
      </c>
      <c r="AE276" s="6" t="s">
        <v>1372</v>
      </c>
      <c r="AF276" s="6" t="s">
        <v>1827</v>
      </c>
      <c r="AG276" s="6"/>
      <c r="AH276" s="6"/>
      <c r="AI276" s="7"/>
      <c r="AJ276" s="7"/>
      <c r="AK276" s="7"/>
      <c r="AL276" s="7"/>
      <c r="AM276" s="7"/>
      <c r="AN276" s="7"/>
      <c r="AO276" s="7"/>
      <c r="AP276" s="7"/>
      <c r="AQ276" s="7"/>
      <c r="AR276" s="7"/>
      <c r="AS276" s="7"/>
      <c r="AT276" s="7"/>
      <c r="AU276" s="7"/>
      <c r="AV276" s="7"/>
      <c r="AW276" s="7"/>
      <c r="AX276" s="7"/>
      <c r="AY276" s="7"/>
      <c r="AZ276" s="7"/>
    </row>
    <row r="277" customFormat="false" ht="150" hidden="false" customHeight="true" outlineLevel="0" collapsed="false">
      <c r="A277" s="6" t="s">
        <v>1830</v>
      </c>
      <c r="B277" s="6" t="s">
        <v>1329</v>
      </c>
      <c r="C277" s="6" t="s">
        <v>76</v>
      </c>
      <c r="D277" s="6" t="s">
        <v>145</v>
      </c>
      <c r="E277" s="6" t="s">
        <v>146</v>
      </c>
      <c r="F277" s="6"/>
      <c r="G277" s="6" t="s">
        <v>79</v>
      </c>
      <c r="H277" s="6" t="s">
        <v>1330</v>
      </c>
      <c r="I277" s="6" t="s">
        <v>81</v>
      </c>
      <c r="J277" s="6" t="s">
        <v>595</v>
      </c>
      <c r="K277" s="6" t="s">
        <v>1831</v>
      </c>
      <c r="L277" s="6" t="s">
        <v>1832</v>
      </c>
      <c r="M277" s="6" t="s">
        <v>1833</v>
      </c>
      <c r="N277" s="6"/>
      <c r="O277" s="6"/>
      <c r="P277" s="6" t="s">
        <v>1834</v>
      </c>
      <c r="Q277" s="6" t="s">
        <v>1835</v>
      </c>
      <c r="R277" s="6" t="s">
        <v>1703</v>
      </c>
      <c r="S277" s="6"/>
      <c r="T277" s="6"/>
      <c r="U277" s="6"/>
      <c r="V277" s="6"/>
      <c r="W277" s="6"/>
      <c r="X277" s="6"/>
      <c r="Y277" s="6"/>
      <c r="Z277" s="6"/>
      <c r="AA277" s="6" t="s">
        <v>89</v>
      </c>
      <c r="AB277" s="6" t="s">
        <v>1836</v>
      </c>
      <c r="AC277" s="6" t="s">
        <v>1335</v>
      </c>
      <c r="AD277" s="6" t="s">
        <v>1336</v>
      </c>
      <c r="AE277" s="6" t="s">
        <v>1337</v>
      </c>
      <c r="AF277" s="6" t="s">
        <v>1837</v>
      </c>
      <c r="AG277" s="6"/>
      <c r="AH277" s="6"/>
      <c r="AI277" s="7"/>
      <c r="AJ277" s="7"/>
      <c r="AK277" s="7"/>
      <c r="AL277" s="7"/>
      <c r="AM277" s="7"/>
      <c r="AN277" s="7"/>
      <c r="AO277" s="7"/>
      <c r="AP277" s="7"/>
      <c r="AQ277" s="7"/>
      <c r="AR277" s="7"/>
      <c r="AS277" s="7"/>
      <c r="AT277" s="7"/>
      <c r="AU277" s="7"/>
      <c r="AV277" s="7"/>
      <c r="AW277" s="7"/>
      <c r="AX277" s="7"/>
      <c r="AY277" s="7"/>
      <c r="AZ277" s="7"/>
    </row>
    <row r="278" customFormat="false" ht="150" hidden="false" customHeight="true" outlineLevel="0" collapsed="false">
      <c r="A278" s="6" t="s">
        <v>1838</v>
      </c>
      <c r="B278" s="6" t="s">
        <v>1329</v>
      </c>
      <c r="C278" s="6" t="s">
        <v>76</v>
      </c>
      <c r="D278" s="6" t="s">
        <v>145</v>
      </c>
      <c r="E278" s="6" t="s">
        <v>146</v>
      </c>
      <c r="F278" s="6"/>
      <c r="G278" s="6" t="s">
        <v>98</v>
      </c>
      <c r="H278" s="6" t="s">
        <v>1330</v>
      </c>
      <c r="I278" s="6" t="s">
        <v>81</v>
      </c>
      <c r="J278" s="6" t="s">
        <v>621</v>
      </c>
      <c r="K278" s="6" t="s">
        <v>1831</v>
      </c>
      <c r="L278" s="6" t="s">
        <v>1832</v>
      </c>
      <c r="M278" s="6" t="s">
        <v>1833</v>
      </c>
      <c r="N278" s="6"/>
      <c r="O278" s="6"/>
      <c r="P278" s="6" t="s">
        <v>1834</v>
      </c>
      <c r="Q278" s="6" t="s">
        <v>1835</v>
      </c>
      <c r="R278" s="6" t="s">
        <v>1703</v>
      </c>
      <c r="S278" s="6"/>
      <c r="T278" s="6"/>
      <c r="U278" s="6"/>
      <c r="V278" s="6"/>
      <c r="W278" s="6"/>
      <c r="X278" s="6"/>
      <c r="Y278" s="6"/>
      <c r="Z278" s="6"/>
      <c r="AA278" s="6" t="s">
        <v>89</v>
      </c>
      <c r="AB278" s="6" t="s">
        <v>1839</v>
      </c>
      <c r="AC278" s="6" t="s">
        <v>1341</v>
      </c>
      <c r="AD278" s="6" t="s">
        <v>1342</v>
      </c>
      <c r="AE278" s="6" t="s">
        <v>1343</v>
      </c>
      <c r="AF278" s="6" t="s">
        <v>1840</v>
      </c>
      <c r="AG278" s="6"/>
      <c r="AH278" s="6"/>
      <c r="AI278" s="7"/>
      <c r="AJ278" s="7"/>
      <c r="AK278" s="7"/>
      <c r="AL278" s="7"/>
      <c r="AM278" s="7"/>
      <c r="AN278" s="7"/>
      <c r="AO278" s="7"/>
      <c r="AP278" s="7"/>
      <c r="AQ278" s="7"/>
      <c r="AR278" s="7"/>
      <c r="AS278" s="7"/>
      <c r="AT278" s="7"/>
      <c r="AU278" s="7"/>
      <c r="AV278" s="7"/>
      <c r="AW278" s="7"/>
      <c r="AX278" s="7"/>
      <c r="AY278" s="7"/>
      <c r="AZ278" s="7"/>
    </row>
    <row r="279" customFormat="false" ht="150" hidden="false" customHeight="true" outlineLevel="0" collapsed="false">
      <c r="A279" s="6" t="s">
        <v>1841</v>
      </c>
      <c r="B279" s="6" t="s">
        <v>1329</v>
      </c>
      <c r="C279" s="6" t="s">
        <v>76</v>
      </c>
      <c r="D279" s="6" t="s">
        <v>145</v>
      </c>
      <c r="E279" s="6" t="s">
        <v>146</v>
      </c>
      <c r="F279" s="6"/>
      <c r="G279" s="6" t="s">
        <v>98</v>
      </c>
      <c r="H279" s="6" t="s">
        <v>1330</v>
      </c>
      <c r="I279" s="6" t="s">
        <v>81</v>
      </c>
      <c r="J279" s="6" t="s">
        <v>621</v>
      </c>
      <c r="K279" s="6" t="s">
        <v>1831</v>
      </c>
      <c r="L279" s="6" t="s">
        <v>1832</v>
      </c>
      <c r="M279" s="6" t="s">
        <v>1833</v>
      </c>
      <c r="N279" s="6"/>
      <c r="O279" s="6"/>
      <c r="P279" s="6" t="s">
        <v>1834</v>
      </c>
      <c r="Q279" s="6" t="s">
        <v>1835</v>
      </c>
      <c r="R279" s="6" t="s">
        <v>1703</v>
      </c>
      <c r="S279" s="6"/>
      <c r="T279" s="6"/>
      <c r="U279" s="6"/>
      <c r="V279" s="6"/>
      <c r="W279" s="6"/>
      <c r="X279" s="6"/>
      <c r="Y279" s="6"/>
      <c r="Z279" s="6"/>
      <c r="AA279" s="6" t="s">
        <v>89</v>
      </c>
      <c r="AB279" s="6" t="s">
        <v>1842</v>
      </c>
      <c r="AC279" s="6" t="s">
        <v>1347</v>
      </c>
      <c r="AD279" s="6" t="s">
        <v>1348</v>
      </c>
      <c r="AE279" s="6" t="s">
        <v>1349</v>
      </c>
      <c r="AF279" s="6" t="s">
        <v>1840</v>
      </c>
      <c r="AG279" s="6"/>
      <c r="AH279" s="6"/>
      <c r="AI279" s="7"/>
      <c r="AJ279" s="7"/>
      <c r="AK279" s="7"/>
      <c r="AL279" s="7"/>
      <c r="AM279" s="7"/>
      <c r="AN279" s="7"/>
      <c r="AO279" s="7"/>
      <c r="AP279" s="7"/>
      <c r="AQ279" s="7"/>
      <c r="AR279" s="7"/>
      <c r="AS279" s="7"/>
      <c r="AT279" s="7"/>
      <c r="AU279" s="7"/>
      <c r="AV279" s="7"/>
      <c r="AW279" s="7"/>
      <c r="AX279" s="7"/>
      <c r="AY279" s="7"/>
      <c r="AZ279" s="7"/>
    </row>
    <row r="280" customFormat="false" ht="150" hidden="false" customHeight="true" outlineLevel="0" collapsed="false">
      <c r="A280" s="6" t="s">
        <v>1843</v>
      </c>
      <c r="B280" s="6" t="s">
        <v>1329</v>
      </c>
      <c r="C280" s="6" t="s">
        <v>76</v>
      </c>
      <c r="D280" s="6" t="s">
        <v>145</v>
      </c>
      <c r="E280" s="6" t="s">
        <v>146</v>
      </c>
      <c r="F280" s="6"/>
      <c r="G280" s="6" t="s">
        <v>165</v>
      </c>
      <c r="H280" s="6" t="s">
        <v>1330</v>
      </c>
      <c r="I280" s="6" t="s">
        <v>81</v>
      </c>
      <c r="J280" s="6" t="s">
        <v>621</v>
      </c>
      <c r="K280" s="6" t="s">
        <v>1831</v>
      </c>
      <c r="L280" s="6" t="s">
        <v>1832</v>
      </c>
      <c r="M280" s="6" t="s">
        <v>1833</v>
      </c>
      <c r="N280" s="6"/>
      <c r="O280" s="6"/>
      <c r="P280" s="6" t="s">
        <v>1834</v>
      </c>
      <c r="Q280" s="6" t="s">
        <v>1835</v>
      </c>
      <c r="R280" s="6" t="s">
        <v>1703</v>
      </c>
      <c r="S280" s="6"/>
      <c r="T280" s="6"/>
      <c r="U280" s="6"/>
      <c r="V280" s="6"/>
      <c r="W280" s="6"/>
      <c r="X280" s="6"/>
      <c r="Y280" s="6"/>
      <c r="Z280" s="6"/>
      <c r="AA280" s="6" t="s">
        <v>89</v>
      </c>
      <c r="AB280" s="6" t="s">
        <v>1844</v>
      </c>
      <c r="AC280" s="6" t="s">
        <v>1352</v>
      </c>
      <c r="AD280" s="6" t="s">
        <v>1353</v>
      </c>
      <c r="AE280" s="6" t="s">
        <v>1354</v>
      </c>
      <c r="AF280" s="6" t="s">
        <v>1845</v>
      </c>
      <c r="AG280" s="6"/>
      <c r="AH280" s="6"/>
      <c r="AI280" s="7"/>
      <c r="AJ280" s="7"/>
      <c r="AK280" s="7"/>
      <c r="AL280" s="7"/>
      <c r="AM280" s="7"/>
      <c r="AN280" s="7"/>
      <c r="AO280" s="7"/>
      <c r="AP280" s="7"/>
      <c r="AQ280" s="7"/>
      <c r="AR280" s="7"/>
      <c r="AS280" s="7"/>
      <c r="AT280" s="7"/>
      <c r="AU280" s="7"/>
      <c r="AV280" s="7"/>
      <c r="AW280" s="7"/>
      <c r="AX280" s="7"/>
      <c r="AY280" s="7"/>
      <c r="AZ280" s="7"/>
    </row>
    <row r="281" customFormat="false" ht="150" hidden="false" customHeight="true" outlineLevel="0" collapsed="false">
      <c r="A281" s="6" t="s">
        <v>1846</v>
      </c>
      <c r="B281" s="6" t="s">
        <v>1329</v>
      </c>
      <c r="C281" s="6" t="s">
        <v>76</v>
      </c>
      <c r="D281" s="6" t="s">
        <v>145</v>
      </c>
      <c r="E281" s="6" t="s">
        <v>146</v>
      </c>
      <c r="F281" s="6"/>
      <c r="G281" s="6" t="s">
        <v>165</v>
      </c>
      <c r="H281" s="6" t="s">
        <v>1330</v>
      </c>
      <c r="I281" s="6" t="s">
        <v>81</v>
      </c>
      <c r="J281" s="6" t="s">
        <v>621</v>
      </c>
      <c r="K281" s="6" t="s">
        <v>1831</v>
      </c>
      <c r="L281" s="6" t="s">
        <v>1832</v>
      </c>
      <c r="M281" s="6" t="s">
        <v>1833</v>
      </c>
      <c r="N281" s="6"/>
      <c r="O281" s="6"/>
      <c r="P281" s="6" t="s">
        <v>1834</v>
      </c>
      <c r="Q281" s="6" t="s">
        <v>1835</v>
      </c>
      <c r="R281" s="6" t="s">
        <v>1703</v>
      </c>
      <c r="S281" s="6"/>
      <c r="T281" s="6"/>
      <c r="U281" s="6"/>
      <c r="V281" s="6"/>
      <c r="W281" s="6"/>
      <c r="X281" s="6"/>
      <c r="Y281" s="6"/>
      <c r="Z281" s="6"/>
      <c r="AA281" s="6" t="s">
        <v>89</v>
      </c>
      <c r="AB281" s="6" t="s">
        <v>1847</v>
      </c>
      <c r="AC281" s="6" t="s">
        <v>1358</v>
      </c>
      <c r="AD281" s="6" t="s">
        <v>1359</v>
      </c>
      <c r="AE281" s="6" t="s">
        <v>1360</v>
      </c>
      <c r="AF281" s="6" t="s">
        <v>1845</v>
      </c>
      <c r="AG281" s="6"/>
      <c r="AH281" s="6"/>
      <c r="AI281" s="7"/>
      <c r="AJ281" s="7"/>
      <c r="AK281" s="7"/>
      <c r="AL281" s="7"/>
      <c r="AM281" s="7"/>
      <c r="AN281" s="7"/>
      <c r="AO281" s="7"/>
      <c r="AP281" s="7"/>
      <c r="AQ281" s="7"/>
      <c r="AR281" s="7"/>
      <c r="AS281" s="7"/>
      <c r="AT281" s="7"/>
      <c r="AU281" s="7"/>
      <c r="AV281" s="7"/>
      <c r="AW281" s="7"/>
      <c r="AX281" s="7"/>
      <c r="AY281" s="7"/>
      <c r="AZ281" s="7"/>
    </row>
    <row r="282" customFormat="false" ht="150" hidden="false" customHeight="true" outlineLevel="0" collapsed="false">
      <c r="A282" s="6" t="s">
        <v>1848</v>
      </c>
      <c r="B282" s="6" t="s">
        <v>1329</v>
      </c>
      <c r="C282" s="6" t="s">
        <v>76</v>
      </c>
      <c r="D282" s="6" t="s">
        <v>145</v>
      </c>
      <c r="E282" s="6" t="s">
        <v>146</v>
      </c>
      <c r="F282" s="6"/>
      <c r="G282" s="6" t="s">
        <v>1362</v>
      </c>
      <c r="H282" s="6" t="s">
        <v>1330</v>
      </c>
      <c r="I282" s="6" t="s">
        <v>81</v>
      </c>
      <c r="J282" s="6" t="s">
        <v>621</v>
      </c>
      <c r="K282" s="6" t="s">
        <v>1831</v>
      </c>
      <c r="L282" s="6" t="s">
        <v>1832</v>
      </c>
      <c r="M282" s="6" t="s">
        <v>1833</v>
      </c>
      <c r="N282" s="6"/>
      <c r="O282" s="6"/>
      <c r="P282" s="6" t="s">
        <v>1834</v>
      </c>
      <c r="Q282" s="6" t="s">
        <v>1835</v>
      </c>
      <c r="R282" s="6" t="s">
        <v>1703</v>
      </c>
      <c r="S282" s="6"/>
      <c r="T282" s="6"/>
      <c r="U282" s="6"/>
      <c r="V282" s="6"/>
      <c r="W282" s="6"/>
      <c r="X282" s="6"/>
      <c r="Y282" s="6"/>
      <c r="Z282" s="6"/>
      <c r="AA282" s="6" t="s">
        <v>89</v>
      </c>
      <c r="AB282" s="6" t="s">
        <v>1849</v>
      </c>
      <c r="AC282" s="6" t="s">
        <v>1364</v>
      </c>
      <c r="AD282" s="6" t="s">
        <v>1365</v>
      </c>
      <c r="AE282" s="6" t="s">
        <v>1366</v>
      </c>
      <c r="AF282" s="6" t="s">
        <v>1850</v>
      </c>
      <c r="AG282" s="6"/>
      <c r="AH282" s="6"/>
      <c r="AI282" s="7"/>
      <c r="AJ282" s="7"/>
      <c r="AK282" s="7"/>
      <c r="AL282" s="7"/>
      <c r="AM282" s="7"/>
      <c r="AN282" s="7"/>
      <c r="AO282" s="7"/>
      <c r="AP282" s="7"/>
      <c r="AQ282" s="7"/>
      <c r="AR282" s="7"/>
      <c r="AS282" s="7"/>
      <c r="AT282" s="7"/>
      <c r="AU282" s="7"/>
      <c r="AV282" s="7"/>
      <c r="AW282" s="7"/>
      <c r="AX282" s="7"/>
      <c r="AY282" s="7"/>
      <c r="AZ282" s="7"/>
    </row>
    <row r="283" customFormat="false" ht="150" hidden="false" customHeight="true" outlineLevel="0" collapsed="false">
      <c r="A283" s="6" t="s">
        <v>1851</v>
      </c>
      <c r="B283" s="6" t="s">
        <v>1329</v>
      </c>
      <c r="C283" s="6" t="s">
        <v>76</v>
      </c>
      <c r="D283" s="6" t="s">
        <v>145</v>
      </c>
      <c r="E283" s="6" t="s">
        <v>146</v>
      </c>
      <c r="F283" s="6"/>
      <c r="G283" s="6" t="s">
        <v>1362</v>
      </c>
      <c r="H283" s="6" t="s">
        <v>1330</v>
      </c>
      <c r="I283" s="6" t="s">
        <v>81</v>
      </c>
      <c r="J283" s="6" t="s">
        <v>621</v>
      </c>
      <c r="K283" s="6" t="s">
        <v>1831</v>
      </c>
      <c r="L283" s="6" t="s">
        <v>1832</v>
      </c>
      <c r="M283" s="6" t="s">
        <v>1833</v>
      </c>
      <c r="N283" s="6"/>
      <c r="O283" s="6"/>
      <c r="P283" s="6" t="s">
        <v>1834</v>
      </c>
      <c r="Q283" s="6" t="s">
        <v>1835</v>
      </c>
      <c r="R283" s="6" t="s">
        <v>1703</v>
      </c>
      <c r="S283" s="6"/>
      <c r="T283" s="6"/>
      <c r="U283" s="6"/>
      <c r="V283" s="6"/>
      <c r="W283" s="6"/>
      <c r="X283" s="6"/>
      <c r="Y283" s="6"/>
      <c r="Z283" s="6"/>
      <c r="AA283" s="6" t="s">
        <v>89</v>
      </c>
      <c r="AB283" s="6" t="s">
        <v>1852</v>
      </c>
      <c r="AC283" s="6" t="s">
        <v>1370</v>
      </c>
      <c r="AD283" s="6" t="s">
        <v>1371</v>
      </c>
      <c r="AE283" s="6" t="s">
        <v>1372</v>
      </c>
      <c r="AF283" s="6" t="s">
        <v>1850</v>
      </c>
      <c r="AG283" s="6"/>
      <c r="AH283" s="6"/>
      <c r="AI283" s="7"/>
      <c r="AJ283" s="7"/>
      <c r="AK283" s="7"/>
      <c r="AL283" s="7"/>
      <c r="AM283" s="7"/>
      <c r="AN283" s="7"/>
      <c r="AO283" s="7"/>
      <c r="AP283" s="7"/>
      <c r="AQ283" s="7"/>
      <c r="AR283" s="7"/>
      <c r="AS283" s="7"/>
      <c r="AT283" s="7"/>
      <c r="AU283" s="7"/>
      <c r="AV283" s="7"/>
      <c r="AW283" s="7"/>
      <c r="AX283" s="7"/>
      <c r="AY283" s="7"/>
      <c r="AZ283" s="7"/>
    </row>
    <row r="284" customFormat="false" ht="150" hidden="false" customHeight="true" outlineLevel="0" collapsed="false">
      <c r="A284" s="6" t="s">
        <v>1853</v>
      </c>
      <c r="B284" s="6" t="s">
        <v>1329</v>
      </c>
      <c r="C284" s="6" t="s">
        <v>76</v>
      </c>
      <c r="D284" s="6" t="s">
        <v>145</v>
      </c>
      <c r="E284" s="6" t="s">
        <v>146</v>
      </c>
      <c r="F284" s="6"/>
      <c r="G284" s="6" t="s">
        <v>79</v>
      </c>
      <c r="H284" s="6" t="s">
        <v>1330</v>
      </c>
      <c r="I284" s="6" t="s">
        <v>81</v>
      </c>
      <c r="J284" s="6" t="s">
        <v>595</v>
      </c>
      <c r="K284" s="6" t="s">
        <v>1854</v>
      </c>
      <c r="L284" s="6" t="s">
        <v>1855</v>
      </c>
      <c r="M284" s="6" t="s">
        <v>1856</v>
      </c>
      <c r="N284" s="6"/>
      <c r="O284" s="6"/>
      <c r="P284" s="6" t="s">
        <v>1377</v>
      </c>
      <c r="Q284" s="6" t="s">
        <v>1835</v>
      </c>
      <c r="R284" s="6" t="s">
        <v>339</v>
      </c>
      <c r="S284" s="6"/>
      <c r="T284" s="6"/>
      <c r="U284" s="6"/>
      <c r="V284" s="6"/>
      <c r="W284" s="6"/>
      <c r="X284" s="6"/>
      <c r="Y284" s="6"/>
      <c r="Z284" s="6"/>
      <c r="AA284" s="6" t="s">
        <v>89</v>
      </c>
      <c r="AB284" s="6" t="s">
        <v>1857</v>
      </c>
      <c r="AC284" s="6" t="s">
        <v>1335</v>
      </c>
      <c r="AD284" s="6" t="s">
        <v>1336</v>
      </c>
      <c r="AE284" s="6" t="s">
        <v>1337</v>
      </c>
      <c r="AF284" s="6" t="s">
        <v>1858</v>
      </c>
      <c r="AG284" s="6"/>
      <c r="AH284" s="6"/>
      <c r="AI284" s="7"/>
      <c r="AJ284" s="7"/>
      <c r="AK284" s="7"/>
      <c r="AL284" s="7"/>
      <c r="AM284" s="7"/>
      <c r="AN284" s="7"/>
      <c r="AO284" s="7"/>
      <c r="AP284" s="7"/>
      <c r="AQ284" s="7"/>
      <c r="AR284" s="7"/>
      <c r="AS284" s="7"/>
      <c r="AT284" s="7"/>
      <c r="AU284" s="7"/>
      <c r="AV284" s="7"/>
      <c r="AW284" s="7"/>
      <c r="AX284" s="7"/>
      <c r="AY284" s="7"/>
      <c r="AZ284" s="7"/>
    </row>
    <row r="285" customFormat="false" ht="150" hidden="false" customHeight="true" outlineLevel="0" collapsed="false">
      <c r="A285" s="6" t="s">
        <v>1859</v>
      </c>
      <c r="B285" s="6" t="s">
        <v>1329</v>
      </c>
      <c r="C285" s="6" t="s">
        <v>76</v>
      </c>
      <c r="D285" s="6" t="s">
        <v>145</v>
      </c>
      <c r="E285" s="6" t="s">
        <v>146</v>
      </c>
      <c r="F285" s="6"/>
      <c r="G285" s="6" t="s">
        <v>98</v>
      </c>
      <c r="H285" s="6" t="s">
        <v>1330</v>
      </c>
      <c r="I285" s="6" t="s">
        <v>81</v>
      </c>
      <c r="J285" s="6" t="s">
        <v>621</v>
      </c>
      <c r="K285" s="6" t="s">
        <v>1854</v>
      </c>
      <c r="L285" s="6" t="s">
        <v>1855</v>
      </c>
      <c r="M285" s="6" t="s">
        <v>1856</v>
      </c>
      <c r="N285" s="6"/>
      <c r="O285" s="6"/>
      <c r="P285" s="6" t="s">
        <v>1377</v>
      </c>
      <c r="Q285" s="6" t="s">
        <v>1835</v>
      </c>
      <c r="R285" s="6" t="s">
        <v>339</v>
      </c>
      <c r="S285" s="6"/>
      <c r="T285" s="6"/>
      <c r="U285" s="6"/>
      <c r="V285" s="6"/>
      <c r="W285" s="6"/>
      <c r="X285" s="6"/>
      <c r="Y285" s="6"/>
      <c r="Z285" s="6"/>
      <c r="AA285" s="6" t="s">
        <v>89</v>
      </c>
      <c r="AB285" s="6" t="s">
        <v>1860</v>
      </c>
      <c r="AC285" s="6" t="s">
        <v>1341</v>
      </c>
      <c r="AD285" s="6" t="s">
        <v>1342</v>
      </c>
      <c r="AE285" s="6" t="s">
        <v>1343</v>
      </c>
      <c r="AF285" s="6" t="s">
        <v>1861</v>
      </c>
      <c r="AG285" s="6"/>
      <c r="AH285" s="6"/>
      <c r="AI285" s="7"/>
      <c r="AJ285" s="7"/>
      <c r="AK285" s="7"/>
      <c r="AL285" s="7"/>
      <c r="AM285" s="7"/>
      <c r="AN285" s="7"/>
      <c r="AO285" s="7"/>
      <c r="AP285" s="7"/>
      <c r="AQ285" s="7"/>
      <c r="AR285" s="7"/>
      <c r="AS285" s="7"/>
      <c r="AT285" s="7"/>
      <c r="AU285" s="7"/>
      <c r="AV285" s="7"/>
      <c r="AW285" s="7"/>
      <c r="AX285" s="7"/>
      <c r="AY285" s="7"/>
      <c r="AZ285" s="7"/>
    </row>
    <row r="286" customFormat="false" ht="150" hidden="false" customHeight="true" outlineLevel="0" collapsed="false">
      <c r="A286" s="6" t="s">
        <v>1862</v>
      </c>
      <c r="B286" s="6" t="s">
        <v>1329</v>
      </c>
      <c r="C286" s="6" t="s">
        <v>76</v>
      </c>
      <c r="D286" s="6" t="s">
        <v>145</v>
      </c>
      <c r="E286" s="6" t="s">
        <v>146</v>
      </c>
      <c r="F286" s="6"/>
      <c r="G286" s="6" t="s">
        <v>98</v>
      </c>
      <c r="H286" s="6" t="s">
        <v>1330</v>
      </c>
      <c r="I286" s="6" t="s">
        <v>81</v>
      </c>
      <c r="J286" s="6" t="s">
        <v>621</v>
      </c>
      <c r="K286" s="6" t="s">
        <v>1854</v>
      </c>
      <c r="L286" s="6" t="s">
        <v>1855</v>
      </c>
      <c r="M286" s="6" t="s">
        <v>1856</v>
      </c>
      <c r="N286" s="6"/>
      <c r="O286" s="6"/>
      <c r="P286" s="6" t="s">
        <v>1377</v>
      </c>
      <c r="Q286" s="6" t="s">
        <v>1835</v>
      </c>
      <c r="R286" s="6" t="s">
        <v>339</v>
      </c>
      <c r="S286" s="6"/>
      <c r="T286" s="6"/>
      <c r="U286" s="6"/>
      <c r="V286" s="6"/>
      <c r="W286" s="6"/>
      <c r="X286" s="6"/>
      <c r="Y286" s="6"/>
      <c r="Z286" s="6"/>
      <c r="AA286" s="6" t="s">
        <v>89</v>
      </c>
      <c r="AB286" s="6" t="s">
        <v>1863</v>
      </c>
      <c r="AC286" s="6" t="s">
        <v>1347</v>
      </c>
      <c r="AD286" s="6" t="s">
        <v>1348</v>
      </c>
      <c r="AE286" s="6" t="s">
        <v>1349</v>
      </c>
      <c r="AF286" s="6" t="s">
        <v>1861</v>
      </c>
      <c r="AG286" s="6"/>
      <c r="AH286" s="6"/>
      <c r="AI286" s="7"/>
      <c r="AJ286" s="7"/>
      <c r="AK286" s="7"/>
      <c r="AL286" s="7"/>
      <c r="AM286" s="7"/>
      <c r="AN286" s="7"/>
      <c r="AO286" s="7"/>
      <c r="AP286" s="7"/>
      <c r="AQ286" s="7"/>
      <c r="AR286" s="7"/>
      <c r="AS286" s="7"/>
      <c r="AT286" s="7"/>
      <c r="AU286" s="7"/>
      <c r="AV286" s="7"/>
      <c r="AW286" s="7"/>
      <c r="AX286" s="7"/>
      <c r="AY286" s="7"/>
      <c r="AZ286" s="7"/>
    </row>
    <row r="287" customFormat="false" ht="150" hidden="false" customHeight="true" outlineLevel="0" collapsed="false">
      <c r="A287" s="6" t="s">
        <v>1864</v>
      </c>
      <c r="B287" s="6" t="s">
        <v>1329</v>
      </c>
      <c r="C287" s="6" t="s">
        <v>76</v>
      </c>
      <c r="D287" s="6" t="s">
        <v>145</v>
      </c>
      <c r="E287" s="6" t="s">
        <v>146</v>
      </c>
      <c r="F287" s="6"/>
      <c r="G287" s="6" t="s">
        <v>165</v>
      </c>
      <c r="H287" s="6" t="s">
        <v>1330</v>
      </c>
      <c r="I287" s="6" t="s">
        <v>81</v>
      </c>
      <c r="J287" s="6" t="s">
        <v>621</v>
      </c>
      <c r="K287" s="6" t="s">
        <v>1854</v>
      </c>
      <c r="L287" s="6" t="s">
        <v>1855</v>
      </c>
      <c r="M287" s="6" t="s">
        <v>1856</v>
      </c>
      <c r="N287" s="6"/>
      <c r="O287" s="6"/>
      <c r="P287" s="6" t="s">
        <v>1377</v>
      </c>
      <c r="Q287" s="6" t="s">
        <v>1835</v>
      </c>
      <c r="R287" s="6" t="s">
        <v>339</v>
      </c>
      <c r="S287" s="6"/>
      <c r="T287" s="6"/>
      <c r="U287" s="6"/>
      <c r="V287" s="6"/>
      <c r="W287" s="6"/>
      <c r="X287" s="6"/>
      <c r="Y287" s="6"/>
      <c r="Z287" s="6"/>
      <c r="AA287" s="6" t="s">
        <v>89</v>
      </c>
      <c r="AB287" s="6" t="s">
        <v>1865</v>
      </c>
      <c r="AC287" s="6" t="s">
        <v>1352</v>
      </c>
      <c r="AD287" s="6" t="s">
        <v>1353</v>
      </c>
      <c r="AE287" s="6" t="s">
        <v>1354</v>
      </c>
      <c r="AF287" s="6" t="s">
        <v>1866</v>
      </c>
      <c r="AG287" s="6"/>
      <c r="AH287" s="6"/>
      <c r="AI287" s="7"/>
      <c r="AJ287" s="7"/>
      <c r="AK287" s="7"/>
      <c r="AL287" s="7"/>
      <c r="AM287" s="7"/>
      <c r="AN287" s="7"/>
      <c r="AO287" s="7"/>
      <c r="AP287" s="7"/>
      <c r="AQ287" s="7"/>
      <c r="AR287" s="7"/>
      <c r="AS287" s="7"/>
      <c r="AT287" s="7"/>
      <c r="AU287" s="7"/>
      <c r="AV287" s="7"/>
      <c r="AW287" s="7"/>
      <c r="AX287" s="7"/>
      <c r="AY287" s="7"/>
      <c r="AZ287" s="7"/>
    </row>
    <row r="288" customFormat="false" ht="150" hidden="false" customHeight="true" outlineLevel="0" collapsed="false">
      <c r="A288" s="6" t="s">
        <v>1867</v>
      </c>
      <c r="B288" s="6" t="s">
        <v>1329</v>
      </c>
      <c r="C288" s="6" t="s">
        <v>76</v>
      </c>
      <c r="D288" s="6" t="s">
        <v>145</v>
      </c>
      <c r="E288" s="6" t="s">
        <v>146</v>
      </c>
      <c r="F288" s="6"/>
      <c r="G288" s="6" t="s">
        <v>165</v>
      </c>
      <c r="H288" s="6" t="s">
        <v>1330</v>
      </c>
      <c r="I288" s="6" t="s">
        <v>81</v>
      </c>
      <c r="J288" s="6" t="s">
        <v>621</v>
      </c>
      <c r="K288" s="6" t="s">
        <v>1854</v>
      </c>
      <c r="L288" s="6" t="s">
        <v>1855</v>
      </c>
      <c r="M288" s="6" t="s">
        <v>1856</v>
      </c>
      <c r="N288" s="6"/>
      <c r="O288" s="6"/>
      <c r="P288" s="6" t="s">
        <v>1377</v>
      </c>
      <c r="Q288" s="6" t="s">
        <v>1835</v>
      </c>
      <c r="R288" s="6" t="s">
        <v>339</v>
      </c>
      <c r="S288" s="6"/>
      <c r="T288" s="6"/>
      <c r="U288" s="6"/>
      <c r="V288" s="6"/>
      <c r="W288" s="6"/>
      <c r="X288" s="6"/>
      <c r="Y288" s="6"/>
      <c r="Z288" s="6"/>
      <c r="AA288" s="6" t="s">
        <v>89</v>
      </c>
      <c r="AB288" s="6" t="s">
        <v>1868</v>
      </c>
      <c r="AC288" s="6" t="s">
        <v>1358</v>
      </c>
      <c r="AD288" s="6" t="s">
        <v>1359</v>
      </c>
      <c r="AE288" s="6" t="s">
        <v>1360</v>
      </c>
      <c r="AF288" s="6" t="s">
        <v>1866</v>
      </c>
      <c r="AG288" s="6"/>
      <c r="AH288" s="6"/>
      <c r="AI288" s="7"/>
      <c r="AJ288" s="7"/>
      <c r="AK288" s="7"/>
      <c r="AL288" s="7"/>
      <c r="AM288" s="7"/>
      <c r="AN288" s="7"/>
      <c r="AO288" s="7"/>
      <c r="AP288" s="7"/>
      <c r="AQ288" s="7"/>
      <c r="AR288" s="7"/>
      <c r="AS288" s="7"/>
      <c r="AT288" s="7"/>
      <c r="AU288" s="7"/>
      <c r="AV288" s="7"/>
      <c r="AW288" s="7"/>
      <c r="AX288" s="7"/>
      <c r="AY288" s="7"/>
      <c r="AZ288" s="7"/>
    </row>
    <row r="289" customFormat="false" ht="150" hidden="false" customHeight="true" outlineLevel="0" collapsed="false">
      <c r="A289" s="6" t="s">
        <v>1869</v>
      </c>
      <c r="B289" s="6" t="s">
        <v>1329</v>
      </c>
      <c r="C289" s="6" t="s">
        <v>76</v>
      </c>
      <c r="D289" s="6" t="s">
        <v>145</v>
      </c>
      <c r="E289" s="6" t="s">
        <v>146</v>
      </c>
      <c r="F289" s="6"/>
      <c r="G289" s="6" t="s">
        <v>1362</v>
      </c>
      <c r="H289" s="6" t="s">
        <v>1330</v>
      </c>
      <c r="I289" s="6" t="s">
        <v>81</v>
      </c>
      <c r="J289" s="6" t="s">
        <v>621</v>
      </c>
      <c r="K289" s="6" t="s">
        <v>1854</v>
      </c>
      <c r="L289" s="6" t="s">
        <v>1855</v>
      </c>
      <c r="M289" s="6" t="s">
        <v>1856</v>
      </c>
      <c r="N289" s="6"/>
      <c r="O289" s="6"/>
      <c r="P289" s="6" t="s">
        <v>1377</v>
      </c>
      <c r="Q289" s="6" t="s">
        <v>1835</v>
      </c>
      <c r="R289" s="6" t="s">
        <v>339</v>
      </c>
      <c r="S289" s="6"/>
      <c r="T289" s="6"/>
      <c r="U289" s="6"/>
      <c r="V289" s="6"/>
      <c r="W289" s="6"/>
      <c r="X289" s="6"/>
      <c r="Y289" s="6"/>
      <c r="Z289" s="6"/>
      <c r="AA289" s="6" t="s">
        <v>89</v>
      </c>
      <c r="AB289" s="6" t="s">
        <v>1870</v>
      </c>
      <c r="AC289" s="6" t="s">
        <v>1364</v>
      </c>
      <c r="AD289" s="6" t="s">
        <v>1365</v>
      </c>
      <c r="AE289" s="6" t="s">
        <v>1366</v>
      </c>
      <c r="AF289" s="6" t="s">
        <v>1871</v>
      </c>
      <c r="AG289" s="6"/>
      <c r="AH289" s="6"/>
      <c r="AI289" s="7"/>
      <c r="AJ289" s="7"/>
      <c r="AK289" s="7"/>
      <c r="AL289" s="7"/>
      <c r="AM289" s="7"/>
      <c r="AN289" s="7"/>
      <c r="AO289" s="7"/>
      <c r="AP289" s="7"/>
      <c r="AQ289" s="7"/>
      <c r="AR289" s="7"/>
      <c r="AS289" s="7"/>
      <c r="AT289" s="7"/>
      <c r="AU289" s="7"/>
      <c r="AV289" s="7"/>
      <c r="AW289" s="7"/>
      <c r="AX289" s="7"/>
      <c r="AY289" s="7"/>
      <c r="AZ289" s="7"/>
    </row>
    <row r="290" customFormat="false" ht="150" hidden="false" customHeight="true" outlineLevel="0" collapsed="false">
      <c r="A290" s="6" t="s">
        <v>1872</v>
      </c>
      <c r="B290" s="6" t="s">
        <v>1329</v>
      </c>
      <c r="C290" s="6" t="s">
        <v>76</v>
      </c>
      <c r="D290" s="6" t="s">
        <v>145</v>
      </c>
      <c r="E290" s="6" t="s">
        <v>146</v>
      </c>
      <c r="F290" s="6"/>
      <c r="G290" s="6" t="s">
        <v>1362</v>
      </c>
      <c r="H290" s="6" t="s">
        <v>1330</v>
      </c>
      <c r="I290" s="6" t="s">
        <v>81</v>
      </c>
      <c r="J290" s="6" t="s">
        <v>621</v>
      </c>
      <c r="K290" s="6" t="s">
        <v>1854</v>
      </c>
      <c r="L290" s="6" t="s">
        <v>1855</v>
      </c>
      <c r="M290" s="6" t="s">
        <v>1856</v>
      </c>
      <c r="N290" s="6"/>
      <c r="O290" s="6"/>
      <c r="P290" s="6" t="s">
        <v>1377</v>
      </c>
      <c r="Q290" s="6" t="s">
        <v>1835</v>
      </c>
      <c r="R290" s="6" t="s">
        <v>339</v>
      </c>
      <c r="S290" s="6"/>
      <c r="T290" s="6"/>
      <c r="U290" s="6"/>
      <c r="V290" s="6"/>
      <c r="W290" s="6"/>
      <c r="X290" s="6"/>
      <c r="Y290" s="6"/>
      <c r="Z290" s="6"/>
      <c r="AA290" s="6" t="s">
        <v>89</v>
      </c>
      <c r="AB290" s="6" t="s">
        <v>1873</v>
      </c>
      <c r="AC290" s="6" t="s">
        <v>1370</v>
      </c>
      <c r="AD290" s="6" t="s">
        <v>1371</v>
      </c>
      <c r="AE290" s="6" t="s">
        <v>1372</v>
      </c>
      <c r="AF290" s="6" t="s">
        <v>1871</v>
      </c>
      <c r="AG290" s="6"/>
      <c r="AH290" s="6"/>
      <c r="AI290" s="7"/>
      <c r="AJ290" s="7"/>
      <c r="AK290" s="7"/>
      <c r="AL290" s="7"/>
      <c r="AM290" s="7"/>
      <c r="AN290" s="7"/>
      <c r="AO290" s="7"/>
      <c r="AP290" s="7"/>
      <c r="AQ290" s="7"/>
      <c r="AR290" s="7"/>
      <c r="AS290" s="7"/>
      <c r="AT290" s="7"/>
      <c r="AU290" s="7"/>
      <c r="AV290" s="7"/>
      <c r="AW290" s="7"/>
      <c r="AX290" s="7"/>
      <c r="AY290" s="7"/>
      <c r="AZ290" s="7"/>
    </row>
    <row r="291" customFormat="false" ht="150" hidden="false" customHeight="true" outlineLevel="0" collapsed="false">
      <c r="A291" s="6" t="s">
        <v>1874</v>
      </c>
      <c r="B291" s="6" t="s">
        <v>1875</v>
      </c>
      <c r="C291" s="6" t="s">
        <v>1876</v>
      </c>
      <c r="D291" s="6" t="s">
        <v>123</v>
      </c>
      <c r="E291" s="6" t="s">
        <v>124</v>
      </c>
      <c r="F291" s="6"/>
      <c r="G291" s="6" t="s">
        <v>1362</v>
      </c>
      <c r="H291" s="6" t="s">
        <v>1330</v>
      </c>
      <c r="I291" s="6" t="s">
        <v>81</v>
      </c>
      <c r="J291" s="6" t="s">
        <v>621</v>
      </c>
      <c r="K291" s="6" t="s">
        <v>1331</v>
      </c>
      <c r="L291" s="6" t="s">
        <v>1332</v>
      </c>
      <c r="M291" s="6" t="s">
        <v>1877</v>
      </c>
      <c r="N291" s="6"/>
      <c r="O291" s="6"/>
      <c r="P291" s="6"/>
      <c r="Q291" s="6"/>
      <c r="R291" s="6"/>
      <c r="S291" s="6"/>
      <c r="T291" s="6"/>
      <c r="U291" s="6"/>
      <c r="V291" s="6"/>
      <c r="W291" s="6"/>
      <c r="X291" s="6"/>
      <c r="Y291" s="6"/>
      <c r="Z291" s="6"/>
      <c r="AA291" s="6" t="s">
        <v>89</v>
      </c>
      <c r="AB291" s="6" t="s">
        <v>1878</v>
      </c>
      <c r="AC291" s="6" t="s">
        <v>1879</v>
      </c>
      <c r="AD291" s="6" t="s">
        <v>1880</v>
      </c>
      <c r="AE291" s="6" t="s">
        <v>1881</v>
      </c>
      <c r="AF291" s="6" t="s">
        <v>1882</v>
      </c>
      <c r="AG291" s="6"/>
      <c r="AH291" s="6"/>
      <c r="AI291" s="7"/>
      <c r="AJ291" s="7"/>
      <c r="AK291" s="7"/>
      <c r="AL291" s="7"/>
      <c r="AM291" s="7"/>
      <c r="AN291" s="7"/>
      <c r="AO291" s="7"/>
      <c r="AP291" s="7"/>
      <c r="AQ291" s="7"/>
      <c r="AR291" s="7"/>
      <c r="AS291" s="7"/>
      <c r="AT291" s="7"/>
      <c r="AU291" s="7"/>
      <c r="AV291" s="7"/>
      <c r="AW291" s="7"/>
      <c r="AX291" s="7"/>
      <c r="AY291" s="7"/>
      <c r="AZ291" s="7"/>
    </row>
    <row r="292" customFormat="false" ht="150" hidden="false" customHeight="true" outlineLevel="0" collapsed="false">
      <c r="A292" s="6" t="s">
        <v>1883</v>
      </c>
      <c r="B292" s="6" t="s">
        <v>1875</v>
      </c>
      <c r="C292" s="6" t="s">
        <v>1876</v>
      </c>
      <c r="D292" s="6" t="s">
        <v>123</v>
      </c>
      <c r="E292" s="6" t="s">
        <v>124</v>
      </c>
      <c r="F292" s="6"/>
      <c r="G292" s="6" t="s">
        <v>1362</v>
      </c>
      <c r="H292" s="6" t="s">
        <v>1330</v>
      </c>
      <c r="I292" s="6" t="s">
        <v>81</v>
      </c>
      <c r="J292" s="6" t="s">
        <v>621</v>
      </c>
      <c r="K292" s="6" t="s">
        <v>1331</v>
      </c>
      <c r="L292" s="6" t="s">
        <v>1332</v>
      </c>
      <c r="M292" s="6" t="s">
        <v>1877</v>
      </c>
      <c r="N292" s="6"/>
      <c r="O292" s="6"/>
      <c r="P292" s="6"/>
      <c r="Q292" s="6"/>
      <c r="R292" s="6"/>
      <c r="S292" s="6"/>
      <c r="T292" s="6"/>
      <c r="U292" s="6"/>
      <c r="V292" s="6"/>
      <c r="W292" s="6"/>
      <c r="X292" s="6"/>
      <c r="Y292" s="6"/>
      <c r="Z292" s="6"/>
      <c r="AA292" s="6" t="s">
        <v>89</v>
      </c>
      <c r="AB292" s="6" t="s">
        <v>1884</v>
      </c>
      <c r="AC292" s="6" t="s">
        <v>1885</v>
      </c>
      <c r="AD292" s="6" t="s">
        <v>1880</v>
      </c>
      <c r="AE292" s="6" t="s">
        <v>1881</v>
      </c>
      <c r="AF292" s="6" t="s">
        <v>1882</v>
      </c>
      <c r="AG292" s="6"/>
      <c r="AH292" s="6"/>
      <c r="AI292" s="7"/>
      <c r="AJ292" s="7"/>
      <c r="AK292" s="7"/>
      <c r="AL292" s="7"/>
      <c r="AM292" s="7"/>
      <c r="AN292" s="7"/>
      <c r="AO292" s="7"/>
      <c r="AP292" s="7"/>
      <c r="AQ292" s="7"/>
      <c r="AR292" s="7"/>
      <c r="AS292" s="7"/>
      <c r="AT292" s="7"/>
      <c r="AU292" s="7"/>
      <c r="AV292" s="7"/>
      <c r="AW292" s="7"/>
      <c r="AX292" s="7"/>
      <c r="AY292" s="7"/>
      <c r="AZ292" s="7"/>
    </row>
    <row r="293" customFormat="false" ht="150" hidden="false" customHeight="true" outlineLevel="0" collapsed="false">
      <c r="A293" s="6" t="s">
        <v>1886</v>
      </c>
      <c r="B293" s="6" t="s">
        <v>1875</v>
      </c>
      <c r="C293" s="6" t="s">
        <v>1876</v>
      </c>
      <c r="D293" s="6" t="s">
        <v>123</v>
      </c>
      <c r="E293" s="6" t="s">
        <v>124</v>
      </c>
      <c r="F293" s="6"/>
      <c r="G293" s="6" t="s">
        <v>1362</v>
      </c>
      <c r="H293" s="6" t="s">
        <v>1330</v>
      </c>
      <c r="I293" s="6" t="s">
        <v>81</v>
      </c>
      <c r="J293" s="6" t="s">
        <v>621</v>
      </c>
      <c r="K293" s="6" t="s">
        <v>1331</v>
      </c>
      <c r="L293" s="6" t="s">
        <v>1332</v>
      </c>
      <c r="M293" s="6" t="s">
        <v>1877</v>
      </c>
      <c r="N293" s="6"/>
      <c r="O293" s="6"/>
      <c r="P293" s="6"/>
      <c r="Q293" s="6"/>
      <c r="R293" s="6"/>
      <c r="S293" s="6"/>
      <c r="T293" s="6"/>
      <c r="U293" s="6"/>
      <c r="V293" s="6"/>
      <c r="W293" s="6"/>
      <c r="X293" s="6"/>
      <c r="Y293" s="6"/>
      <c r="Z293" s="6"/>
      <c r="AA293" s="6" t="s">
        <v>89</v>
      </c>
      <c r="AB293" s="6" t="s">
        <v>1887</v>
      </c>
      <c r="AC293" s="6" t="s">
        <v>1888</v>
      </c>
      <c r="AD293" s="6" t="s">
        <v>1880</v>
      </c>
      <c r="AE293" s="6" t="s">
        <v>1881</v>
      </c>
      <c r="AF293" s="6" t="s">
        <v>1882</v>
      </c>
      <c r="AG293" s="6"/>
      <c r="AH293" s="6"/>
      <c r="AI293" s="7"/>
      <c r="AJ293" s="7"/>
      <c r="AK293" s="7"/>
      <c r="AL293" s="7"/>
      <c r="AM293" s="7"/>
      <c r="AN293" s="7"/>
      <c r="AO293" s="7"/>
      <c r="AP293" s="7"/>
      <c r="AQ293" s="7"/>
      <c r="AR293" s="7"/>
      <c r="AS293" s="7"/>
      <c r="AT293" s="7"/>
      <c r="AU293" s="7"/>
      <c r="AV293" s="7"/>
      <c r="AW293" s="7"/>
      <c r="AX293" s="7"/>
      <c r="AY293" s="7"/>
      <c r="AZ293" s="7"/>
    </row>
    <row r="294" customFormat="false" ht="150" hidden="false" customHeight="true" outlineLevel="0" collapsed="false">
      <c r="A294" s="6" t="s">
        <v>1889</v>
      </c>
      <c r="B294" s="6" t="s">
        <v>1875</v>
      </c>
      <c r="C294" s="6" t="s">
        <v>1876</v>
      </c>
      <c r="D294" s="6" t="s">
        <v>123</v>
      </c>
      <c r="E294" s="6" t="s">
        <v>124</v>
      </c>
      <c r="F294" s="6"/>
      <c r="G294" s="6" t="s">
        <v>1362</v>
      </c>
      <c r="H294" s="6" t="s">
        <v>1330</v>
      </c>
      <c r="I294" s="6" t="s">
        <v>81</v>
      </c>
      <c r="J294" s="6" t="s">
        <v>621</v>
      </c>
      <c r="K294" s="6" t="s">
        <v>1331</v>
      </c>
      <c r="L294" s="6" t="s">
        <v>1332</v>
      </c>
      <c r="M294" s="6" t="s">
        <v>1877</v>
      </c>
      <c r="N294" s="6"/>
      <c r="O294" s="6"/>
      <c r="P294" s="6"/>
      <c r="Q294" s="6"/>
      <c r="R294" s="6"/>
      <c r="S294" s="6"/>
      <c r="T294" s="6"/>
      <c r="U294" s="6"/>
      <c r="V294" s="6"/>
      <c r="W294" s="6"/>
      <c r="X294" s="6"/>
      <c r="Y294" s="6"/>
      <c r="Z294" s="6"/>
      <c r="AA294" s="6" t="s">
        <v>89</v>
      </c>
      <c r="AB294" s="6" t="s">
        <v>1890</v>
      </c>
      <c r="AC294" s="6" t="s">
        <v>1891</v>
      </c>
      <c r="AD294" s="6" t="s">
        <v>1880</v>
      </c>
      <c r="AE294" s="6" t="s">
        <v>1881</v>
      </c>
      <c r="AF294" s="6" t="s">
        <v>1882</v>
      </c>
      <c r="AG294" s="6"/>
      <c r="AH294" s="6"/>
      <c r="AI294" s="7"/>
      <c r="AJ294" s="7"/>
      <c r="AK294" s="7"/>
      <c r="AL294" s="7"/>
      <c r="AM294" s="7"/>
      <c r="AN294" s="7"/>
      <c r="AO294" s="7"/>
      <c r="AP294" s="7"/>
      <c r="AQ294" s="7"/>
      <c r="AR294" s="7"/>
      <c r="AS294" s="7"/>
      <c r="AT294" s="7"/>
      <c r="AU294" s="7"/>
      <c r="AV294" s="7"/>
      <c r="AW294" s="7"/>
      <c r="AX294" s="7"/>
      <c r="AY294" s="7"/>
      <c r="AZ294" s="7"/>
    </row>
    <row r="295" customFormat="false" ht="150" hidden="false" customHeight="true" outlineLevel="0" collapsed="false">
      <c r="A295" s="6" t="s">
        <v>1892</v>
      </c>
      <c r="B295" s="6" t="s">
        <v>1875</v>
      </c>
      <c r="C295" s="6" t="s">
        <v>1876</v>
      </c>
      <c r="D295" s="6" t="s">
        <v>123</v>
      </c>
      <c r="E295" s="6" t="s">
        <v>124</v>
      </c>
      <c r="F295" s="6"/>
      <c r="G295" s="6" t="s">
        <v>1362</v>
      </c>
      <c r="H295" s="6" t="s">
        <v>1330</v>
      </c>
      <c r="I295" s="6" t="s">
        <v>81</v>
      </c>
      <c r="J295" s="6" t="s">
        <v>621</v>
      </c>
      <c r="K295" s="6" t="s">
        <v>1331</v>
      </c>
      <c r="L295" s="6" t="s">
        <v>1332</v>
      </c>
      <c r="M295" s="6" t="s">
        <v>1877</v>
      </c>
      <c r="N295" s="6"/>
      <c r="O295" s="6"/>
      <c r="P295" s="6"/>
      <c r="Q295" s="6"/>
      <c r="R295" s="6"/>
      <c r="S295" s="6"/>
      <c r="T295" s="6"/>
      <c r="U295" s="6"/>
      <c r="V295" s="6"/>
      <c r="W295" s="6"/>
      <c r="X295" s="6"/>
      <c r="Y295" s="6"/>
      <c r="Z295" s="6"/>
      <c r="AA295" s="6" t="s">
        <v>89</v>
      </c>
      <c r="AB295" s="6" t="s">
        <v>1893</v>
      </c>
      <c r="AC295" s="6" t="s">
        <v>1894</v>
      </c>
      <c r="AD295" s="6" t="s">
        <v>1880</v>
      </c>
      <c r="AE295" s="6" t="s">
        <v>1881</v>
      </c>
      <c r="AF295" s="6" t="s">
        <v>1882</v>
      </c>
      <c r="AG295" s="6"/>
      <c r="AH295" s="6"/>
      <c r="AI295" s="7"/>
      <c r="AJ295" s="7"/>
      <c r="AK295" s="7"/>
      <c r="AL295" s="7"/>
      <c r="AM295" s="7"/>
      <c r="AN295" s="7"/>
      <c r="AO295" s="7"/>
      <c r="AP295" s="7"/>
      <c r="AQ295" s="7"/>
      <c r="AR295" s="7"/>
      <c r="AS295" s="7"/>
      <c r="AT295" s="7"/>
      <c r="AU295" s="7"/>
      <c r="AV295" s="7"/>
      <c r="AW295" s="7"/>
      <c r="AX295" s="7"/>
      <c r="AY295" s="7"/>
      <c r="AZ295" s="7"/>
    </row>
    <row r="296" customFormat="false" ht="150" hidden="false" customHeight="true" outlineLevel="0" collapsed="false">
      <c r="A296" s="6" t="s">
        <v>1895</v>
      </c>
      <c r="B296" s="6" t="s">
        <v>1875</v>
      </c>
      <c r="C296" s="6" t="s">
        <v>1876</v>
      </c>
      <c r="D296" s="6" t="s">
        <v>123</v>
      </c>
      <c r="E296" s="6" t="s">
        <v>124</v>
      </c>
      <c r="F296" s="6"/>
      <c r="G296" s="6" t="s">
        <v>1362</v>
      </c>
      <c r="H296" s="6" t="s">
        <v>1330</v>
      </c>
      <c r="I296" s="6" t="s">
        <v>81</v>
      </c>
      <c r="J296" s="6" t="s">
        <v>621</v>
      </c>
      <c r="K296" s="6" t="s">
        <v>1331</v>
      </c>
      <c r="L296" s="6" t="s">
        <v>1332</v>
      </c>
      <c r="M296" s="6" t="s">
        <v>1877</v>
      </c>
      <c r="N296" s="6"/>
      <c r="O296" s="6"/>
      <c r="P296" s="6"/>
      <c r="Q296" s="6"/>
      <c r="R296" s="6"/>
      <c r="S296" s="6"/>
      <c r="T296" s="6"/>
      <c r="U296" s="6"/>
      <c r="V296" s="6"/>
      <c r="W296" s="6"/>
      <c r="X296" s="6"/>
      <c r="Y296" s="6"/>
      <c r="Z296" s="6"/>
      <c r="AA296" s="6" t="s">
        <v>89</v>
      </c>
      <c r="AB296" s="6" t="s">
        <v>1896</v>
      </c>
      <c r="AC296" s="6" t="s">
        <v>1897</v>
      </c>
      <c r="AD296" s="6" t="s">
        <v>1880</v>
      </c>
      <c r="AE296" s="6" t="s">
        <v>1881</v>
      </c>
      <c r="AF296" s="6" t="s">
        <v>1882</v>
      </c>
      <c r="AG296" s="6"/>
      <c r="AH296" s="6"/>
      <c r="AI296" s="7"/>
      <c r="AJ296" s="7"/>
      <c r="AK296" s="7"/>
      <c r="AL296" s="7"/>
      <c r="AM296" s="7"/>
      <c r="AN296" s="7"/>
      <c r="AO296" s="7"/>
      <c r="AP296" s="7"/>
      <c r="AQ296" s="7"/>
      <c r="AR296" s="7"/>
      <c r="AS296" s="7"/>
      <c r="AT296" s="7"/>
      <c r="AU296" s="7"/>
      <c r="AV296" s="7"/>
      <c r="AW296" s="7"/>
      <c r="AX296" s="7"/>
      <c r="AY296" s="7"/>
      <c r="AZ296" s="7"/>
    </row>
    <row r="297" customFormat="false" ht="150" hidden="false" customHeight="true" outlineLevel="0" collapsed="false">
      <c r="A297" s="6" t="s">
        <v>1898</v>
      </c>
      <c r="B297" s="6" t="s">
        <v>1875</v>
      </c>
      <c r="C297" s="6" t="s">
        <v>1876</v>
      </c>
      <c r="D297" s="6" t="s">
        <v>123</v>
      </c>
      <c r="E297" s="6" t="s">
        <v>124</v>
      </c>
      <c r="F297" s="6"/>
      <c r="G297" s="6" t="s">
        <v>1362</v>
      </c>
      <c r="H297" s="6" t="s">
        <v>1330</v>
      </c>
      <c r="I297" s="6" t="s">
        <v>81</v>
      </c>
      <c r="J297" s="6" t="s">
        <v>621</v>
      </c>
      <c r="K297" s="6" t="s">
        <v>1331</v>
      </c>
      <c r="L297" s="6" t="s">
        <v>1332</v>
      </c>
      <c r="M297" s="6" t="s">
        <v>1877</v>
      </c>
      <c r="N297" s="6"/>
      <c r="O297" s="6"/>
      <c r="P297" s="6"/>
      <c r="Q297" s="6"/>
      <c r="R297" s="6"/>
      <c r="S297" s="6"/>
      <c r="T297" s="6"/>
      <c r="U297" s="6"/>
      <c r="V297" s="6"/>
      <c r="W297" s="6"/>
      <c r="X297" s="6"/>
      <c r="Y297" s="6"/>
      <c r="Z297" s="6"/>
      <c r="AA297" s="6" t="s">
        <v>89</v>
      </c>
      <c r="AB297" s="6" t="s">
        <v>1899</v>
      </c>
      <c r="AC297" s="6" t="s">
        <v>1900</v>
      </c>
      <c r="AD297" s="6" t="s">
        <v>1880</v>
      </c>
      <c r="AE297" s="6" t="s">
        <v>1881</v>
      </c>
      <c r="AF297" s="6" t="s">
        <v>1882</v>
      </c>
      <c r="AG297" s="6"/>
      <c r="AH297" s="6"/>
      <c r="AI297" s="7"/>
      <c r="AJ297" s="7"/>
      <c r="AK297" s="7"/>
      <c r="AL297" s="7"/>
      <c r="AM297" s="7"/>
      <c r="AN297" s="7"/>
      <c r="AO297" s="7"/>
      <c r="AP297" s="7"/>
      <c r="AQ297" s="7"/>
      <c r="AR297" s="7"/>
      <c r="AS297" s="7"/>
      <c r="AT297" s="7"/>
      <c r="AU297" s="7"/>
      <c r="AV297" s="7"/>
      <c r="AW297" s="7"/>
      <c r="AX297" s="7"/>
      <c r="AY297" s="7"/>
      <c r="AZ297" s="7"/>
    </row>
    <row r="298" customFormat="false" ht="150" hidden="false" customHeight="true" outlineLevel="0" collapsed="false">
      <c r="A298" s="6" t="s">
        <v>1901</v>
      </c>
      <c r="B298" s="6" t="s">
        <v>1875</v>
      </c>
      <c r="C298" s="6" t="s">
        <v>1876</v>
      </c>
      <c r="D298" s="6" t="s">
        <v>123</v>
      </c>
      <c r="E298" s="6" t="s">
        <v>124</v>
      </c>
      <c r="F298" s="6"/>
      <c r="G298" s="6" t="s">
        <v>1362</v>
      </c>
      <c r="H298" s="6" t="s">
        <v>1330</v>
      </c>
      <c r="I298" s="6" t="s">
        <v>81</v>
      </c>
      <c r="J298" s="6" t="s">
        <v>621</v>
      </c>
      <c r="K298" s="6" t="s">
        <v>1331</v>
      </c>
      <c r="L298" s="6" t="s">
        <v>1332</v>
      </c>
      <c r="M298" s="6" t="s">
        <v>1877</v>
      </c>
      <c r="N298" s="6"/>
      <c r="O298" s="6"/>
      <c r="P298" s="6"/>
      <c r="Q298" s="6"/>
      <c r="R298" s="6"/>
      <c r="S298" s="6"/>
      <c r="T298" s="6"/>
      <c r="U298" s="6"/>
      <c r="V298" s="6"/>
      <c r="W298" s="6"/>
      <c r="X298" s="6"/>
      <c r="Y298" s="6"/>
      <c r="Z298" s="6"/>
      <c r="AA298" s="6" t="s">
        <v>89</v>
      </c>
      <c r="AB298" s="6" t="s">
        <v>1902</v>
      </c>
      <c r="AC298" s="6" t="s">
        <v>1903</v>
      </c>
      <c r="AD298" s="6" t="s">
        <v>1880</v>
      </c>
      <c r="AE298" s="6" t="s">
        <v>1881</v>
      </c>
      <c r="AF298" s="6" t="s">
        <v>1882</v>
      </c>
      <c r="AG298" s="6"/>
      <c r="AH298" s="6"/>
      <c r="AI298" s="7"/>
      <c r="AJ298" s="7"/>
      <c r="AK298" s="7"/>
      <c r="AL298" s="7"/>
      <c r="AM298" s="7"/>
      <c r="AN298" s="7"/>
      <c r="AO298" s="7"/>
      <c r="AP298" s="7"/>
      <c r="AQ298" s="7"/>
      <c r="AR298" s="7"/>
      <c r="AS298" s="7"/>
      <c r="AT298" s="7"/>
      <c r="AU298" s="7"/>
      <c r="AV298" s="7"/>
      <c r="AW298" s="7"/>
      <c r="AX298" s="7"/>
      <c r="AY298" s="7"/>
      <c r="AZ298" s="7"/>
    </row>
    <row r="299" customFormat="false" ht="150" hidden="false" customHeight="true" outlineLevel="0" collapsed="false">
      <c r="A299" s="6" t="s">
        <v>1904</v>
      </c>
      <c r="B299" s="6" t="s">
        <v>1875</v>
      </c>
      <c r="C299" s="6" t="s">
        <v>1876</v>
      </c>
      <c r="D299" s="6" t="s">
        <v>123</v>
      </c>
      <c r="E299" s="6" t="s">
        <v>124</v>
      </c>
      <c r="F299" s="6"/>
      <c r="G299" s="6" t="s">
        <v>1362</v>
      </c>
      <c r="H299" s="6" t="s">
        <v>1330</v>
      </c>
      <c r="I299" s="6" t="s">
        <v>81</v>
      </c>
      <c r="J299" s="6" t="s">
        <v>621</v>
      </c>
      <c r="K299" s="6" t="s">
        <v>1331</v>
      </c>
      <c r="L299" s="6" t="s">
        <v>1332</v>
      </c>
      <c r="M299" s="6" t="s">
        <v>1877</v>
      </c>
      <c r="N299" s="6"/>
      <c r="O299" s="6"/>
      <c r="P299" s="6"/>
      <c r="Q299" s="6"/>
      <c r="R299" s="6"/>
      <c r="S299" s="6"/>
      <c r="T299" s="6"/>
      <c r="U299" s="6"/>
      <c r="V299" s="6"/>
      <c r="W299" s="6"/>
      <c r="X299" s="6"/>
      <c r="Y299" s="6"/>
      <c r="Z299" s="6"/>
      <c r="AA299" s="6" t="s">
        <v>89</v>
      </c>
      <c r="AB299" s="6" t="s">
        <v>1905</v>
      </c>
      <c r="AC299" s="6" t="s">
        <v>1906</v>
      </c>
      <c r="AD299" s="6" t="s">
        <v>1880</v>
      </c>
      <c r="AE299" s="6" t="s">
        <v>1881</v>
      </c>
      <c r="AF299" s="6" t="s">
        <v>1882</v>
      </c>
      <c r="AG299" s="6"/>
      <c r="AH299" s="6"/>
      <c r="AI299" s="7"/>
      <c r="AJ299" s="7"/>
      <c r="AK299" s="7"/>
      <c r="AL299" s="7"/>
      <c r="AM299" s="7"/>
      <c r="AN299" s="7"/>
      <c r="AO299" s="7"/>
      <c r="AP299" s="7"/>
      <c r="AQ299" s="7"/>
      <c r="AR299" s="7"/>
      <c r="AS299" s="7"/>
      <c r="AT299" s="7"/>
      <c r="AU299" s="7"/>
      <c r="AV299" s="7"/>
      <c r="AW299" s="7"/>
      <c r="AX299" s="7"/>
      <c r="AY299" s="7"/>
      <c r="AZ299" s="7"/>
    </row>
    <row r="300" customFormat="false" ht="150" hidden="false" customHeight="true" outlineLevel="0" collapsed="false">
      <c r="A300" s="6" t="s">
        <v>1907</v>
      </c>
      <c r="B300" s="6" t="s">
        <v>1875</v>
      </c>
      <c r="C300" s="6" t="s">
        <v>1876</v>
      </c>
      <c r="D300" s="6" t="s">
        <v>123</v>
      </c>
      <c r="E300" s="6" t="s">
        <v>124</v>
      </c>
      <c r="F300" s="6"/>
      <c r="G300" s="6" t="s">
        <v>1362</v>
      </c>
      <c r="H300" s="6" t="s">
        <v>1330</v>
      </c>
      <c r="I300" s="6" t="s">
        <v>81</v>
      </c>
      <c r="J300" s="6" t="s">
        <v>621</v>
      </c>
      <c r="K300" s="6" t="s">
        <v>1331</v>
      </c>
      <c r="L300" s="6" t="s">
        <v>1332</v>
      </c>
      <c r="M300" s="6" t="s">
        <v>1877</v>
      </c>
      <c r="N300" s="6"/>
      <c r="O300" s="6"/>
      <c r="P300" s="6"/>
      <c r="Q300" s="6"/>
      <c r="R300" s="6"/>
      <c r="S300" s="6"/>
      <c r="T300" s="6"/>
      <c r="U300" s="6"/>
      <c r="V300" s="6"/>
      <c r="W300" s="6"/>
      <c r="X300" s="6"/>
      <c r="Y300" s="6"/>
      <c r="Z300" s="6"/>
      <c r="AA300" s="6" t="s">
        <v>89</v>
      </c>
      <c r="AB300" s="6" t="s">
        <v>1908</v>
      </c>
      <c r="AC300" s="6" t="s">
        <v>1909</v>
      </c>
      <c r="AD300" s="6" t="s">
        <v>1880</v>
      </c>
      <c r="AE300" s="6" t="s">
        <v>1881</v>
      </c>
      <c r="AF300" s="6" t="s">
        <v>1882</v>
      </c>
      <c r="AG300" s="6"/>
      <c r="AH300" s="6"/>
      <c r="AI300" s="7"/>
      <c r="AJ300" s="7"/>
      <c r="AK300" s="7"/>
      <c r="AL300" s="7"/>
      <c r="AM300" s="7"/>
      <c r="AN300" s="7"/>
      <c r="AO300" s="7"/>
      <c r="AP300" s="7"/>
      <c r="AQ300" s="7"/>
      <c r="AR300" s="7"/>
      <c r="AS300" s="7"/>
      <c r="AT300" s="7"/>
      <c r="AU300" s="7"/>
      <c r="AV300" s="7"/>
      <c r="AW300" s="7"/>
      <c r="AX300" s="7"/>
      <c r="AY300" s="7"/>
      <c r="AZ300" s="7"/>
    </row>
    <row r="301" customFormat="false" ht="150" hidden="false" customHeight="true" outlineLevel="0" collapsed="false">
      <c r="A301" s="6" t="s">
        <v>1910</v>
      </c>
      <c r="B301" s="6" t="s">
        <v>1875</v>
      </c>
      <c r="C301" s="6" t="s">
        <v>1876</v>
      </c>
      <c r="D301" s="6" t="s">
        <v>123</v>
      </c>
      <c r="E301" s="6" t="s">
        <v>124</v>
      </c>
      <c r="F301" s="6"/>
      <c r="G301" s="6" t="s">
        <v>1362</v>
      </c>
      <c r="H301" s="6" t="s">
        <v>1330</v>
      </c>
      <c r="I301" s="6" t="s">
        <v>81</v>
      </c>
      <c r="J301" s="6" t="s">
        <v>621</v>
      </c>
      <c r="K301" s="6" t="s">
        <v>1374</v>
      </c>
      <c r="L301" s="6" t="s">
        <v>1375</v>
      </c>
      <c r="M301" s="6" t="s">
        <v>1911</v>
      </c>
      <c r="N301" s="6"/>
      <c r="O301" s="6"/>
      <c r="P301" s="6" t="s">
        <v>1377</v>
      </c>
      <c r="Q301" s="6"/>
      <c r="R301" s="6" t="s">
        <v>180</v>
      </c>
      <c r="S301" s="6"/>
      <c r="T301" s="6"/>
      <c r="U301" s="6"/>
      <c r="V301" s="6"/>
      <c r="W301" s="6"/>
      <c r="X301" s="6"/>
      <c r="Y301" s="6"/>
      <c r="Z301" s="6"/>
      <c r="AA301" s="6" t="s">
        <v>89</v>
      </c>
      <c r="AB301" s="6" t="s">
        <v>1912</v>
      </c>
      <c r="AC301" s="6" t="s">
        <v>1879</v>
      </c>
      <c r="AD301" s="6" t="s">
        <v>1913</v>
      </c>
      <c r="AE301" s="6" t="s">
        <v>1914</v>
      </c>
      <c r="AF301" s="6" t="s">
        <v>1915</v>
      </c>
      <c r="AG301" s="6"/>
      <c r="AH301" s="6"/>
      <c r="AI301" s="7"/>
      <c r="AJ301" s="7"/>
      <c r="AK301" s="7"/>
      <c r="AL301" s="7"/>
      <c r="AM301" s="7"/>
      <c r="AN301" s="7"/>
      <c r="AO301" s="7"/>
      <c r="AP301" s="7"/>
      <c r="AQ301" s="7"/>
      <c r="AR301" s="7"/>
      <c r="AS301" s="7"/>
      <c r="AT301" s="7"/>
      <c r="AU301" s="7"/>
      <c r="AV301" s="7"/>
      <c r="AW301" s="7"/>
      <c r="AX301" s="7"/>
      <c r="AY301" s="7"/>
      <c r="AZ301" s="7"/>
    </row>
    <row r="302" customFormat="false" ht="150" hidden="false" customHeight="true" outlineLevel="0" collapsed="false">
      <c r="A302" s="6" t="s">
        <v>1916</v>
      </c>
      <c r="B302" s="6" t="s">
        <v>1875</v>
      </c>
      <c r="C302" s="6" t="s">
        <v>1876</v>
      </c>
      <c r="D302" s="6" t="s">
        <v>123</v>
      </c>
      <c r="E302" s="6" t="s">
        <v>124</v>
      </c>
      <c r="F302" s="6"/>
      <c r="G302" s="6" t="s">
        <v>1362</v>
      </c>
      <c r="H302" s="6" t="s">
        <v>1330</v>
      </c>
      <c r="I302" s="6" t="s">
        <v>81</v>
      </c>
      <c r="J302" s="6" t="s">
        <v>621</v>
      </c>
      <c r="K302" s="6" t="s">
        <v>1374</v>
      </c>
      <c r="L302" s="6" t="s">
        <v>1375</v>
      </c>
      <c r="M302" s="6" t="s">
        <v>1911</v>
      </c>
      <c r="N302" s="6"/>
      <c r="O302" s="6"/>
      <c r="P302" s="6" t="s">
        <v>1377</v>
      </c>
      <c r="Q302" s="6"/>
      <c r="R302" s="6" t="s">
        <v>180</v>
      </c>
      <c r="S302" s="6"/>
      <c r="T302" s="6"/>
      <c r="U302" s="6"/>
      <c r="V302" s="6"/>
      <c r="W302" s="6"/>
      <c r="X302" s="6"/>
      <c r="Y302" s="6"/>
      <c r="Z302" s="6"/>
      <c r="AA302" s="6" t="s">
        <v>89</v>
      </c>
      <c r="AB302" s="6" t="s">
        <v>1917</v>
      </c>
      <c r="AC302" s="6" t="s">
        <v>1885</v>
      </c>
      <c r="AD302" s="6" t="s">
        <v>1913</v>
      </c>
      <c r="AE302" s="6" t="s">
        <v>1914</v>
      </c>
      <c r="AF302" s="6" t="s">
        <v>1915</v>
      </c>
      <c r="AG302" s="6"/>
      <c r="AH302" s="6"/>
      <c r="AI302" s="7"/>
      <c r="AJ302" s="7"/>
      <c r="AK302" s="7"/>
      <c r="AL302" s="7"/>
      <c r="AM302" s="7"/>
      <c r="AN302" s="7"/>
      <c r="AO302" s="7"/>
      <c r="AP302" s="7"/>
      <c r="AQ302" s="7"/>
      <c r="AR302" s="7"/>
      <c r="AS302" s="7"/>
      <c r="AT302" s="7"/>
      <c r="AU302" s="7"/>
      <c r="AV302" s="7"/>
      <c r="AW302" s="7"/>
      <c r="AX302" s="7"/>
      <c r="AY302" s="7"/>
      <c r="AZ302" s="7"/>
    </row>
    <row r="303" customFormat="false" ht="150" hidden="false" customHeight="true" outlineLevel="0" collapsed="false">
      <c r="A303" s="6" t="s">
        <v>1918</v>
      </c>
      <c r="B303" s="6" t="s">
        <v>1875</v>
      </c>
      <c r="C303" s="6" t="s">
        <v>1876</v>
      </c>
      <c r="D303" s="6" t="s">
        <v>123</v>
      </c>
      <c r="E303" s="6" t="s">
        <v>124</v>
      </c>
      <c r="F303" s="6"/>
      <c r="G303" s="6" t="s">
        <v>1362</v>
      </c>
      <c r="H303" s="6" t="s">
        <v>1330</v>
      </c>
      <c r="I303" s="6" t="s">
        <v>81</v>
      </c>
      <c r="J303" s="6" t="s">
        <v>621</v>
      </c>
      <c r="K303" s="6" t="s">
        <v>1374</v>
      </c>
      <c r="L303" s="6" t="s">
        <v>1375</v>
      </c>
      <c r="M303" s="6" t="s">
        <v>1911</v>
      </c>
      <c r="N303" s="6"/>
      <c r="O303" s="6"/>
      <c r="P303" s="6" t="s">
        <v>1377</v>
      </c>
      <c r="Q303" s="6"/>
      <c r="R303" s="6" t="s">
        <v>180</v>
      </c>
      <c r="S303" s="6"/>
      <c r="T303" s="6"/>
      <c r="U303" s="6"/>
      <c r="V303" s="6"/>
      <c r="W303" s="6"/>
      <c r="X303" s="6"/>
      <c r="Y303" s="6"/>
      <c r="Z303" s="6"/>
      <c r="AA303" s="6" t="s">
        <v>89</v>
      </c>
      <c r="AB303" s="6" t="s">
        <v>1919</v>
      </c>
      <c r="AC303" s="6" t="s">
        <v>1888</v>
      </c>
      <c r="AD303" s="6" t="s">
        <v>1913</v>
      </c>
      <c r="AE303" s="6" t="s">
        <v>1914</v>
      </c>
      <c r="AF303" s="6" t="s">
        <v>1915</v>
      </c>
      <c r="AG303" s="6"/>
      <c r="AH303" s="6"/>
      <c r="AI303" s="7"/>
      <c r="AJ303" s="7"/>
      <c r="AK303" s="7"/>
      <c r="AL303" s="7"/>
      <c r="AM303" s="7"/>
      <c r="AN303" s="7"/>
      <c r="AO303" s="7"/>
      <c r="AP303" s="7"/>
      <c r="AQ303" s="7"/>
      <c r="AR303" s="7"/>
      <c r="AS303" s="7"/>
      <c r="AT303" s="7"/>
      <c r="AU303" s="7"/>
      <c r="AV303" s="7"/>
      <c r="AW303" s="7"/>
      <c r="AX303" s="7"/>
      <c r="AY303" s="7"/>
      <c r="AZ303" s="7"/>
    </row>
    <row r="304" customFormat="false" ht="150" hidden="false" customHeight="true" outlineLevel="0" collapsed="false">
      <c r="A304" s="6" t="s">
        <v>1920</v>
      </c>
      <c r="B304" s="6" t="s">
        <v>1875</v>
      </c>
      <c r="C304" s="6" t="s">
        <v>1876</v>
      </c>
      <c r="D304" s="6" t="s">
        <v>123</v>
      </c>
      <c r="E304" s="6" t="s">
        <v>124</v>
      </c>
      <c r="F304" s="6"/>
      <c r="G304" s="6" t="s">
        <v>1362</v>
      </c>
      <c r="H304" s="6" t="s">
        <v>1330</v>
      </c>
      <c r="I304" s="6" t="s">
        <v>81</v>
      </c>
      <c r="J304" s="6" t="s">
        <v>621</v>
      </c>
      <c r="K304" s="6" t="s">
        <v>1374</v>
      </c>
      <c r="L304" s="6" t="s">
        <v>1375</v>
      </c>
      <c r="M304" s="6" t="s">
        <v>1911</v>
      </c>
      <c r="N304" s="6"/>
      <c r="O304" s="6"/>
      <c r="P304" s="6" t="s">
        <v>1377</v>
      </c>
      <c r="Q304" s="6"/>
      <c r="R304" s="6" t="s">
        <v>180</v>
      </c>
      <c r="S304" s="6"/>
      <c r="T304" s="6"/>
      <c r="U304" s="6"/>
      <c r="V304" s="6"/>
      <c r="W304" s="6"/>
      <c r="X304" s="6"/>
      <c r="Y304" s="6"/>
      <c r="Z304" s="6"/>
      <c r="AA304" s="6" t="s">
        <v>89</v>
      </c>
      <c r="AB304" s="6" t="s">
        <v>1921</v>
      </c>
      <c r="AC304" s="6" t="s">
        <v>1891</v>
      </c>
      <c r="AD304" s="6" t="s">
        <v>1913</v>
      </c>
      <c r="AE304" s="6" t="s">
        <v>1914</v>
      </c>
      <c r="AF304" s="6" t="s">
        <v>1915</v>
      </c>
      <c r="AG304" s="6"/>
      <c r="AH304" s="6"/>
      <c r="AI304" s="7"/>
      <c r="AJ304" s="7"/>
      <c r="AK304" s="7"/>
      <c r="AL304" s="7"/>
      <c r="AM304" s="7"/>
      <c r="AN304" s="7"/>
      <c r="AO304" s="7"/>
      <c r="AP304" s="7"/>
      <c r="AQ304" s="7"/>
      <c r="AR304" s="7"/>
      <c r="AS304" s="7"/>
      <c r="AT304" s="7"/>
      <c r="AU304" s="7"/>
      <c r="AV304" s="7"/>
      <c r="AW304" s="7"/>
      <c r="AX304" s="7"/>
      <c r="AY304" s="7"/>
      <c r="AZ304" s="7"/>
    </row>
    <row r="305" customFormat="false" ht="150" hidden="false" customHeight="true" outlineLevel="0" collapsed="false">
      <c r="A305" s="6" t="s">
        <v>1922</v>
      </c>
      <c r="B305" s="6" t="s">
        <v>1875</v>
      </c>
      <c r="C305" s="6" t="s">
        <v>1876</v>
      </c>
      <c r="D305" s="6" t="s">
        <v>123</v>
      </c>
      <c r="E305" s="6" t="s">
        <v>124</v>
      </c>
      <c r="F305" s="6"/>
      <c r="G305" s="6" t="s">
        <v>1362</v>
      </c>
      <c r="H305" s="6" t="s">
        <v>1330</v>
      </c>
      <c r="I305" s="6" t="s">
        <v>81</v>
      </c>
      <c r="J305" s="6" t="s">
        <v>621</v>
      </c>
      <c r="K305" s="6" t="s">
        <v>1374</v>
      </c>
      <c r="L305" s="6" t="s">
        <v>1375</v>
      </c>
      <c r="M305" s="6" t="s">
        <v>1911</v>
      </c>
      <c r="N305" s="6"/>
      <c r="O305" s="6"/>
      <c r="P305" s="6" t="s">
        <v>1377</v>
      </c>
      <c r="Q305" s="6"/>
      <c r="R305" s="6" t="s">
        <v>180</v>
      </c>
      <c r="S305" s="6"/>
      <c r="T305" s="6"/>
      <c r="U305" s="6"/>
      <c r="V305" s="6"/>
      <c r="W305" s="6"/>
      <c r="X305" s="6"/>
      <c r="Y305" s="6"/>
      <c r="Z305" s="6"/>
      <c r="AA305" s="6" t="s">
        <v>89</v>
      </c>
      <c r="AB305" s="6" t="s">
        <v>1923</v>
      </c>
      <c r="AC305" s="6" t="s">
        <v>1894</v>
      </c>
      <c r="AD305" s="6" t="s">
        <v>1913</v>
      </c>
      <c r="AE305" s="6" t="s">
        <v>1914</v>
      </c>
      <c r="AF305" s="6" t="s">
        <v>1915</v>
      </c>
      <c r="AG305" s="6"/>
      <c r="AH305" s="6"/>
      <c r="AI305" s="7"/>
      <c r="AJ305" s="7"/>
      <c r="AK305" s="7"/>
      <c r="AL305" s="7"/>
      <c r="AM305" s="7"/>
      <c r="AN305" s="7"/>
      <c r="AO305" s="7"/>
      <c r="AP305" s="7"/>
      <c r="AQ305" s="7"/>
      <c r="AR305" s="7"/>
      <c r="AS305" s="7"/>
      <c r="AT305" s="7"/>
      <c r="AU305" s="7"/>
      <c r="AV305" s="7"/>
      <c r="AW305" s="7"/>
      <c r="AX305" s="7"/>
      <c r="AY305" s="7"/>
      <c r="AZ305" s="7"/>
    </row>
    <row r="306" customFormat="false" ht="150" hidden="false" customHeight="true" outlineLevel="0" collapsed="false">
      <c r="A306" s="6" t="s">
        <v>1924</v>
      </c>
      <c r="B306" s="6" t="s">
        <v>1875</v>
      </c>
      <c r="C306" s="6" t="s">
        <v>1876</v>
      </c>
      <c r="D306" s="6" t="s">
        <v>123</v>
      </c>
      <c r="E306" s="6" t="s">
        <v>124</v>
      </c>
      <c r="F306" s="6"/>
      <c r="G306" s="6" t="s">
        <v>1362</v>
      </c>
      <c r="H306" s="6" t="s">
        <v>1330</v>
      </c>
      <c r="I306" s="6" t="s">
        <v>81</v>
      </c>
      <c r="J306" s="6" t="s">
        <v>621</v>
      </c>
      <c r="K306" s="6" t="s">
        <v>1374</v>
      </c>
      <c r="L306" s="6" t="s">
        <v>1375</v>
      </c>
      <c r="M306" s="6" t="s">
        <v>1911</v>
      </c>
      <c r="N306" s="6"/>
      <c r="O306" s="6"/>
      <c r="P306" s="6" t="s">
        <v>1377</v>
      </c>
      <c r="Q306" s="6"/>
      <c r="R306" s="6" t="s">
        <v>180</v>
      </c>
      <c r="S306" s="6"/>
      <c r="T306" s="6"/>
      <c r="U306" s="6"/>
      <c r="V306" s="6"/>
      <c r="W306" s="6"/>
      <c r="X306" s="6"/>
      <c r="Y306" s="6"/>
      <c r="Z306" s="6"/>
      <c r="AA306" s="6" t="s">
        <v>89</v>
      </c>
      <c r="AB306" s="6" t="s">
        <v>1925</v>
      </c>
      <c r="AC306" s="6" t="s">
        <v>1897</v>
      </c>
      <c r="AD306" s="6" t="s">
        <v>1913</v>
      </c>
      <c r="AE306" s="6" t="s">
        <v>1914</v>
      </c>
      <c r="AF306" s="6" t="s">
        <v>1915</v>
      </c>
      <c r="AG306" s="6"/>
      <c r="AH306" s="6"/>
      <c r="AI306" s="7"/>
      <c r="AJ306" s="7"/>
      <c r="AK306" s="7"/>
      <c r="AL306" s="7"/>
      <c r="AM306" s="7"/>
      <c r="AN306" s="7"/>
      <c r="AO306" s="7"/>
      <c r="AP306" s="7"/>
      <c r="AQ306" s="7"/>
      <c r="AR306" s="7"/>
      <c r="AS306" s="7"/>
      <c r="AT306" s="7"/>
      <c r="AU306" s="7"/>
      <c r="AV306" s="7"/>
      <c r="AW306" s="7"/>
      <c r="AX306" s="7"/>
      <c r="AY306" s="7"/>
      <c r="AZ306" s="7"/>
    </row>
    <row r="307" customFormat="false" ht="150" hidden="false" customHeight="true" outlineLevel="0" collapsed="false">
      <c r="A307" s="6" t="s">
        <v>1926</v>
      </c>
      <c r="B307" s="6" t="s">
        <v>1875</v>
      </c>
      <c r="C307" s="6" t="s">
        <v>1876</v>
      </c>
      <c r="D307" s="6" t="s">
        <v>123</v>
      </c>
      <c r="E307" s="6" t="s">
        <v>124</v>
      </c>
      <c r="F307" s="6"/>
      <c r="G307" s="6" t="s">
        <v>1362</v>
      </c>
      <c r="H307" s="6" t="s">
        <v>1330</v>
      </c>
      <c r="I307" s="6" t="s">
        <v>81</v>
      </c>
      <c r="J307" s="6" t="s">
        <v>621</v>
      </c>
      <c r="K307" s="6" t="s">
        <v>1374</v>
      </c>
      <c r="L307" s="6" t="s">
        <v>1375</v>
      </c>
      <c r="M307" s="6" t="s">
        <v>1911</v>
      </c>
      <c r="N307" s="6"/>
      <c r="O307" s="6"/>
      <c r="P307" s="6" t="s">
        <v>1377</v>
      </c>
      <c r="Q307" s="6"/>
      <c r="R307" s="6" t="s">
        <v>180</v>
      </c>
      <c r="S307" s="6"/>
      <c r="T307" s="6"/>
      <c r="U307" s="6"/>
      <c r="V307" s="6"/>
      <c r="W307" s="6"/>
      <c r="X307" s="6"/>
      <c r="Y307" s="6"/>
      <c r="Z307" s="6"/>
      <c r="AA307" s="6" t="s">
        <v>89</v>
      </c>
      <c r="AB307" s="6" t="s">
        <v>1927</v>
      </c>
      <c r="AC307" s="6" t="s">
        <v>1900</v>
      </c>
      <c r="AD307" s="6" t="s">
        <v>1913</v>
      </c>
      <c r="AE307" s="6" t="s">
        <v>1914</v>
      </c>
      <c r="AF307" s="6" t="s">
        <v>1915</v>
      </c>
      <c r="AG307" s="6"/>
      <c r="AH307" s="6"/>
      <c r="AI307" s="7"/>
      <c r="AJ307" s="7"/>
      <c r="AK307" s="7"/>
      <c r="AL307" s="7"/>
      <c r="AM307" s="7"/>
      <c r="AN307" s="7"/>
      <c r="AO307" s="7"/>
      <c r="AP307" s="7"/>
      <c r="AQ307" s="7"/>
      <c r="AR307" s="7"/>
      <c r="AS307" s="7"/>
      <c r="AT307" s="7"/>
      <c r="AU307" s="7"/>
      <c r="AV307" s="7"/>
      <c r="AW307" s="7"/>
      <c r="AX307" s="7"/>
      <c r="AY307" s="7"/>
      <c r="AZ307" s="7"/>
    </row>
    <row r="308" customFormat="false" ht="150" hidden="false" customHeight="true" outlineLevel="0" collapsed="false">
      <c r="A308" s="6" t="s">
        <v>1928</v>
      </c>
      <c r="B308" s="6" t="s">
        <v>1875</v>
      </c>
      <c r="C308" s="6" t="s">
        <v>1876</v>
      </c>
      <c r="D308" s="6" t="s">
        <v>123</v>
      </c>
      <c r="E308" s="6" t="s">
        <v>124</v>
      </c>
      <c r="F308" s="6"/>
      <c r="G308" s="6" t="s">
        <v>1362</v>
      </c>
      <c r="H308" s="6" t="s">
        <v>1330</v>
      </c>
      <c r="I308" s="6" t="s">
        <v>81</v>
      </c>
      <c r="J308" s="6" t="s">
        <v>621</v>
      </c>
      <c r="K308" s="6" t="s">
        <v>1374</v>
      </c>
      <c r="L308" s="6" t="s">
        <v>1375</v>
      </c>
      <c r="M308" s="6" t="s">
        <v>1911</v>
      </c>
      <c r="N308" s="6"/>
      <c r="O308" s="6"/>
      <c r="P308" s="6" t="s">
        <v>1377</v>
      </c>
      <c r="Q308" s="6"/>
      <c r="R308" s="6" t="s">
        <v>180</v>
      </c>
      <c r="S308" s="6"/>
      <c r="T308" s="6"/>
      <c r="U308" s="6"/>
      <c r="V308" s="6"/>
      <c r="W308" s="6"/>
      <c r="X308" s="6"/>
      <c r="Y308" s="6"/>
      <c r="Z308" s="6"/>
      <c r="AA308" s="6" t="s">
        <v>89</v>
      </c>
      <c r="AB308" s="6" t="s">
        <v>1929</v>
      </c>
      <c r="AC308" s="6" t="s">
        <v>1903</v>
      </c>
      <c r="AD308" s="6" t="s">
        <v>1913</v>
      </c>
      <c r="AE308" s="6" t="s">
        <v>1914</v>
      </c>
      <c r="AF308" s="6" t="s">
        <v>1915</v>
      </c>
      <c r="AG308" s="6"/>
      <c r="AH308" s="6"/>
      <c r="AI308" s="7"/>
      <c r="AJ308" s="7"/>
      <c r="AK308" s="7"/>
      <c r="AL308" s="7"/>
      <c r="AM308" s="7"/>
      <c r="AN308" s="7"/>
      <c r="AO308" s="7"/>
      <c r="AP308" s="7"/>
      <c r="AQ308" s="7"/>
      <c r="AR308" s="7"/>
      <c r="AS308" s="7"/>
      <c r="AT308" s="7"/>
      <c r="AU308" s="7"/>
      <c r="AV308" s="7"/>
      <c r="AW308" s="7"/>
      <c r="AX308" s="7"/>
      <c r="AY308" s="7"/>
      <c r="AZ308" s="7"/>
    </row>
    <row r="309" customFormat="false" ht="150" hidden="false" customHeight="true" outlineLevel="0" collapsed="false">
      <c r="A309" s="6" t="s">
        <v>1930</v>
      </c>
      <c r="B309" s="6" t="s">
        <v>1875</v>
      </c>
      <c r="C309" s="6" t="s">
        <v>1876</v>
      </c>
      <c r="D309" s="6" t="s">
        <v>123</v>
      </c>
      <c r="E309" s="6" t="s">
        <v>124</v>
      </c>
      <c r="F309" s="6"/>
      <c r="G309" s="6" t="s">
        <v>1362</v>
      </c>
      <c r="H309" s="6" t="s">
        <v>1330</v>
      </c>
      <c r="I309" s="6" t="s">
        <v>81</v>
      </c>
      <c r="J309" s="6" t="s">
        <v>621</v>
      </c>
      <c r="K309" s="6" t="s">
        <v>1374</v>
      </c>
      <c r="L309" s="6" t="s">
        <v>1375</v>
      </c>
      <c r="M309" s="6" t="s">
        <v>1911</v>
      </c>
      <c r="N309" s="6"/>
      <c r="O309" s="6"/>
      <c r="P309" s="6" t="s">
        <v>1377</v>
      </c>
      <c r="Q309" s="6"/>
      <c r="R309" s="6" t="s">
        <v>180</v>
      </c>
      <c r="S309" s="6"/>
      <c r="T309" s="6"/>
      <c r="U309" s="6"/>
      <c r="V309" s="6"/>
      <c r="W309" s="6"/>
      <c r="X309" s="6"/>
      <c r="Y309" s="6"/>
      <c r="Z309" s="6"/>
      <c r="AA309" s="6" t="s">
        <v>89</v>
      </c>
      <c r="AB309" s="6" t="s">
        <v>1931</v>
      </c>
      <c r="AC309" s="6" t="s">
        <v>1906</v>
      </c>
      <c r="AD309" s="6" t="s">
        <v>1913</v>
      </c>
      <c r="AE309" s="6" t="s">
        <v>1914</v>
      </c>
      <c r="AF309" s="6" t="s">
        <v>1915</v>
      </c>
      <c r="AG309" s="6"/>
      <c r="AH309" s="6"/>
      <c r="AI309" s="7"/>
      <c r="AJ309" s="7"/>
      <c r="AK309" s="7"/>
      <c r="AL309" s="7"/>
      <c r="AM309" s="7"/>
      <c r="AN309" s="7"/>
      <c r="AO309" s="7"/>
      <c r="AP309" s="7"/>
      <c r="AQ309" s="7"/>
      <c r="AR309" s="7"/>
      <c r="AS309" s="7"/>
      <c r="AT309" s="7"/>
      <c r="AU309" s="7"/>
      <c r="AV309" s="7"/>
      <c r="AW309" s="7"/>
      <c r="AX309" s="7"/>
      <c r="AY309" s="7"/>
      <c r="AZ309" s="7"/>
    </row>
    <row r="310" customFormat="false" ht="150" hidden="false" customHeight="true" outlineLevel="0" collapsed="false">
      <c r="A310" s="6" t="s">
        <v>1932</v>
      </c>
      <c r="B310" s="6" t="s">
        <v>1875</v>
      </c>
      <c r="C310" s="6" t="s">
        <v>1876</v>
      </c>
      <c r="D310" s="6" t="s">
        <v>123</v>
      </c>
      <c r="E310" s="6" t="s">
        <v>124</v>
      </c>
      <c r="F310" s="6"/>
      <c r="G310" s="6" t="s">
        <v>1362</v>
      </c>
      <c r="H310" s="6" t="s">
        <v>1330</v>
      </c>
      <c r="I310" s="6" t="s">
        <v>81</v>
      </c>
      <c r="J310" s="6" t="s">
        <v>621</v>
      </c>
      <c r="K310" s="6" t="s">
        <v>1374</v>
      </c>
      <c r="L310" s="6" t="s">
        <v>1375</v>
      </c>
      <c r="M310" s="6" t="s">
        <v>1911</v>
      </c>
      <c r="N310" s="6"/>
      <c r="O310" s="6"/>
      <c r="P310" s="6" t="s">
        <v>1377</v>
      </c>
      <c r="Q310" s="6"/>
      <c r="R310" s="6" t="s">
        <v>180</v>
      </c>
      <c r="S310" s="6"/>
      <c r="T310" s="6"/>
      <c r="U310" s="6"/>
      <c r="V310" s="6"/>
      <c r="W310" s="6"/>
      <c r="X310" s="6"/>
      <c r="Y310" s="6"/>
      <c r="Z310" s="6"/>
      <c r="AA310" s="6" t="s">
        <v>89</v>
      </c>
      <c r="AB310" s="6" t="s">
        <v>1933</v>
      </c>
      <c r="AC310" s="6" t="s">
        <v>1909</v>
      </c>
      <c r="AD310" s="6" t="s">
        <v>1913</v>
      </c>
      <c r="AE310" s="6" t="s">
        <v>1914</v>
      </c>
      <c r="AF310" s="6" t="s">
        <v>1915</v>
      </c>
      <c r="AG310" s="6"/>
      <c r="AH310" s="6"/>
      <c r="AI310" s="7"/>
      <c r="AJ310" s="7"/>
      <c r="AK310" s="7"/>
      <c r="AL310" s="7"/>
      <c r="AM310" s="7"/>
      <c r="AN310" s="7"/>
      <c r="AO310" s="7"/>
      <c r="AP310" s="7"/>
      <c r="AQ310" s="7"/>
      <c r="AR310" s="7"/>
      <c r="AS310" s="7"/>
      <c r="AT310" s="7"/>
      <c r="AU310" s="7"/>
      <c r="AV310" s="7"/>
      <c r="AW310" s="7"/>
      <c r="AX310" s="7"/>
      <c r="AY310" s="7"/>
      <c r="AZ310" s="7"/>
    </row>
    <row r="311" customFormat="false" ht="150" hidden="false" customHeight="true" outlineLevel="0" collapsed="false">
      <c r="A311" s="6" t="s">
        <v>1934</v>
      </c>
      <c r="B311" s="6" t="s">
        <v>1875</v>
      </c>
      <c r="C311" s="6" t="s">
        <v>1876</v>
      </c>
      <c r="D311" s="6" t="s">
        <v>123</v>
      </c>
      <c r="E311" s="6" t="s">
        <v>124</v>
      </c>
      <c r="F311" s="6"/>
      <c r="G311" s="6" t="s">
        <v>1362</v>
      </c>
      <c r="H311" s="6" t="s">
        <v>1330</v>
      </c>
      <c r="I311" s="6" t="s">
        <v>81</v>
      </c>
      <c r="J311" s="6" t="s">
        <v>621</v>
      </c>
      <c r="K311" s="6" t="s">
        <v>1396</v>
      </c>
      <c r="L311" s="6" t="s">
        <v>1397</v>
      </c>
      <c r="M311" s="6" t="s">
        <v>1935</v>
      </c>
      <c r="N311" s="6"/>
      <c r="O311" s="6"/>
      <c r="P311" s="6" t="s">
        <v>1399</v>
      </c>
      <c r="Q311" s="6"/>
      <c r="R311" s="6" t="s">
        <v>1400</v>
      </c>
      <c r="S311" s="6"/>
      <c r="T311" s="6"/>
      <c r="U311" s="6"/>
      <c r="V311" s="6"/>
      <c r="W311" s="6"/>
      <c r="X311" s="6"/>
      <c r="Y311" s="6"/>
      <c r="Z311" s="6"/>
      <c r="AA311" s="6" t="s">
        <v>89</v>
      </c>
      <c r="AB311" s="6" t="s">
        <v>1936</v>
      </c>
      <c r="AC311" s="6" t="s">
        <v>1879</v>
      </c>
      <c r="AD311" s="6" t="s">
        <v>1937</v>
      </c>
      <c r="AE311" s="6" t="s">
        <v>1938</v>
      </c>
      <c r="AF311" s="6" t="s">
        <v>1939</v>
      </c>
      <c r="AG311" s="6"/>
      <c r="AH311" s="6"/>
      <c r="AI311" s="7"/>
      <c r="AJ311" s="7"/>
      <c r="AK311" s="7"/>
      <c r="AL311" s="7"/>
      <c r="AM311" s="7"/>
      <c r="AN311" s="7"/>
      <c r="AO311" s="7"/>
      <c r="AP311" s="7"/>
      <c r="AQ311" s="7"/>
      <c r="AR311" s="7"/>
      <c r="AS311" s="7"/>
      <c r="AT311" s="7"/>
      <c r="AU311" s="7"/>
      <c r="AV311" s="7"/>
      <c r="AW311" s="7"/>
      <c r="AX311" s="7"/>
      <c r="AY311" s="7"/>
      <c r="AZ311" s="7"/>
    </row>
    <row r="312" customFormat="false" ht="150" hidden="false" customHeight="true" outlineLevel="0" collapsed="false">
      <c r="A312" s="6" t="s">
        <v>1940</v>
      </c>
      <c r="B312" s="6" t="s">
        <v>1875</v>
      </c>
      <c r="C312" s="6" t="s">
        <v>1876</v>
      </c>
      <c r="D312" s="6" t="s">
        <v>123</v>
      </c>
      <c r="E312" s="6" t="s">
        <v>124</v>
      </c>
      <c r="F312" s="6"/>
      <c r="G312" s="6" t="s">
        <v>1362</v>
      </c>
      <c r="H312" s="6" t="s">
        <v>1330</v>
      </c>
      <c r="I312" s="6" t="s">
        <v>81</v>
      </c>
      <c r="J312" s="6" t="s">
        <v>621</v>
      </c>
      <c r="K312" s="6" t="s">
        <v>1396</v>
      </c>
      <c r="L312" s="6" t="s">
        <v>1397</v>
      </c>
      <c r="M312" s="6" t="s">
        <v>1935</v>
      </c>
      <c r="N312" s="6"/>
      <c r="O312" s="6"/>
      <c r="P312" s="6" t="s">
        <v>1399</v>
      </c>
      <c r="Q312" s="6"/>
      <c r="R312" s="6" t="s">
        <v>1400</v>
      </c>
      <c r="S312" s="6"/>
      <c r="T312" s="6"/>
      <c r="U312" s="6"/>
      <c r="V312" s="6"/>
      <c r="W312" s="6"/>
      <c r="X312" s="6"/>
      <c r="Y312" s="6"/>
      <c r="Z312" s="6"/>
      <c r="AA312" s="6" t="s">
        <v>89</v>
      </c>
      <c r="AB312" s="6" t="s">
        <v>1941</v>
      </c>
      <c r="AC312" s="6" t="s">
        <v>1885</v>
      </c>
      <c r="AD312" s="6" t="s">
        <v>1937</v>
      </c>
      <c r="AE312" s="6" t="s">
        <v>1938</v>
      </c>
      <c r="AF312" s="6" t="s">
        <v>1939</v>
      </c>
      <c r="AG312" s="6"/>
      <c r="AH312" s="6"/>
      <c r="AI312" s="7"/>
      <c r="AJ312" s="7"/>
      <c r="AK312" s="7"/>
      <c r="AL312" s="7"/>
      <c r="AM312" s="7"/>
      <c r="AN312" s="7"/>
      <c r="AO312" s="7"/>
      <c r="AP312" s="7"/>
      <c r="AQ312" s="7"/>
      <c r="AR312" s="7"/>
      <c r="AS312" s="7"/>
      <c r="AT312" s="7"/>
      <c r="AU312" s="7"/>
      <c r="AV312" s="7"/>
      <c r="AW312" s="7"/>
      <c r="AX312" s="7"/>
      <c r="AY312" s="7"/>
      <c r="AZ312" s="7"/>
    </row>
    <row r="313" customFormat="false" ht="150" hidden="false" customHeight="true" outlineLevel="0" collapsed="false">
      <c r="A313" s="6" t="s">
        <v>1942</v>
      </c>
      <c r="B313" s="6" t="s">
        <v>1875</v>
      </c>
      <c r="C313" s="6" t="s">
        <v>1876</v>
      </c>
      <c r="D313" s="6" t="s">
        <v>123</v>
      </c>
      <c r="E313" s="6" t="s">
        <v>124</v>
      </c>
      <c r="F313" s="6"/>
      <c r="G313" s="6" t="s">
        <v>1362</v>
      </c>
      <c r="H313" s="6" t="s">
        <v>1330</v>
      </c>
      <c r="I313" s="6" t="s">
        <v>81</v>
      </c>
      <c r="J313" s="6" t="s">
        <v>621</v>
      </c>
      <c r="K313" s="6" t="s">
        <v>1396</v>
      </c>
      <c r="L313" s="6" t="s">
        <v>1397</v>
      </c>
      <c r="M313" s="6" t="s">
        <v>1935</v>
      </c>
      <c r="N313" s="6"/>
      <c r="O313" s="6"/>
      <c r="P313" s="6" t="s">
        <v>1399</v>
      </c>
      <c r="Q313" s="6"/>
      <c r="R313" s="6" t="s">
        <v>1400</v>
      </c>
      <c r="S313" s="6"/>
      <c r="T313" s="6"/>
      <c r="U313" s="6"/>
      <c r="V313" s="6"/>
      <c r="W313" s="6"/>
      <c r="X313" s="6"/>
      <c r="Y313" s="6"/>
      <c r="Z313" s="6"/>
      <c r="AA313" s="6" t="s">
        <v>89</v>
      </c>
      <c r="AB313" s="6" t="s">
        <v>1943</v>
      </c>
      <c r="AC313" s="6" t="s">
        <v>1888</v>
      </c>
      <c r="AD313" s="6" t="s">
        <v>1937</v>
      </c>
      <c r="AE313" s="6" t="s">
        <v>1938</v>
      </c>
      <c r="AF313" s="6" t="s">
        <v>1939</v>
      </c>
      <c r="AG313" s="6"/>
      <c r="AH313" s="6"/>
      <c r="AI313" s="7"/>
      <c r="AJ313" s="7"/>
      <c r="AK313" s="7"/>
      <c r="AL313" s="7"/>
      <c r="AM313" s="7"/>
      <c r="AN313" s="7"/>
      <c r="AO313" s="7"/>
      <c r="AP313" s="7"/>
      <c r="AQ313" s="7"/>
      <c r="AR313" s="7"/>
      <c r="AS313" s="7"/>
      <c r="AT313" s="7"/>
      <c r="AU313" s="7"/>
      <c r="AV313" s="7"/>
      <c r="AW313" s="7"/>
      <c r="AX313" s="7"/>
      <c r="AY313" s="7"/>
      <c r="AZ313" s="7"/>
    </row>
    <row r="314" customFormat="false" ht="150" hidden="false" customHeight="true" outlineLevel="0" collapsed="false">
      <c r="A314" s="6" t="s">
        <v>1944</v>
      </c>
      <c r="B314" s="6" t="s">
        <v>1875</v>
      </c>
      <c r="C314" s="6" t="s">
        <v>1876</v>
      </c>
      <c r="D314" s="6" t="s">
        <v>123</v>
      </c>
      <c r="E314" s="6" t="s">
        <v>124</v>
      </c>
      <c r="F314" s="6"/>
      <c r="G314" s="6" t="s">
        <v>1362</v>
      </c>
      <c r="H314" s="6" t="s">
        <v>1330</v>
      </c>
      <c r="I314" s="6" t="s">
        <v>81</v>
      </c>
      <c r="J314" s="6" t="s">
        <v>621</v>
      </c>
      <c r="K314" s="6" t="s">
        <v>1396</v>
      </c>
      <c r="L314" s="6" t="s">
        <v>1397</v>
      </c>
      <c r="M314" s="6" t="s">
        <v>1935</v>
      </c>
      <c r="N314" s="6"/>
      <c r="O314" s="6"/>
      <c r="P314" s="6" t="s">
        <v>1399</v>
      </c>
      <c r="Q314" s="6"/>
      <c r="R314" s="6" t="s">
        <v>1400</v>
      </c>
      <c r="S314" s="6"/>
      <c r="T314" s="6"/>
      <c r="U314" s="6"/>
      <c r="V314" s="6"/>
      <c r="W314" s="6"/>
      <c r="X314" s="6"/>
      <c r="Y314" s="6"/>
      <c r="Z314" s="6"/>
      <c r="AA314" s="6" t="s">
        <v>89</v>
      </c>
      <c r="AB314" s="6" t="s">
        <v>1945</v>
      </c>
      <c r="AC314" s="6" t="s">
        <v>1891</v>
      </c>
      <c r="AD314" s="6" t="s">
        <v>1937</v>
      </c>
      <c r="AE314" s="6" t="s">
        <v>1938</v>
      </c>
      <c r="AF314" s="6" t="s">
        <v>1939</v>
      </c>
      <c r="AG314" s="6"/>
      <c r="AH314" s="6"/>
      <c r="AI314" s="7"/>
      <c r="AJ314" s="7"/>
      <c r="AK314" s="7"/>
      <c r="AL314" s="7"/>
      <c r="AM314" s="7"/>
      <c r="AN314" s="7"/>
      <c r="AO314" s="7"/>
      <c r="AP314" s="7"/>
      <c r="AQ314" s="7"/>
      <c r="AR314" s="7"/>
      <c r="AS314" s="7"/>
      <c r="AT314" s="7"/>
      <c r="AU314" s="7"/>
      <c r="AV314" s="7"/>
      <c r="AW314" s="7"/>
      <c r="AX314" s="7"/>
      <c r="AY314" s="7"/>
      <c r="AZ314" s="7"/>
    </row>
    <row r="315" customFormat="false" ht="150" hidden="false" customHeight="true" outlineLevel="0" collapsed="false">
      <c r="A315" s="6" t="s">
        <v>1946</v>
      </c>
      <c r="B315" s="6" t="s">
        <v>1875</v>
      </c>
      <c r="C315" s="6" t="s">
        <v>1876</v>
      </c>
      <c r="D315" s="6" t="s">
        <v>123</v>
      </c>
      <c r="E315" s="6" t="s">
        <v>124</v>
      </c>
      <c r="F315" s="6"/>
      <c r="G315" s="6" t="s">
        <v>1362</v>
      </c>
      <c r="H315" s="6" t="s">
        <v>1330</v>
      </c>
      <c r="I315" s="6" t="s">
        <v>81</v>
      </c>
      <c r="J315" s="6" t="s">
        <v>621</v>
      </c>
      <c r="K315" s="6" t="s">
        <v>1396</v>
      </c>
      <c r="L315" s="6" t="s">
        <v>1397</v>
      </c>
      <c r="M315" s="6" t="s">
        <v>1935</v>
      </c>
      <c r="N315" s="6"/>
      <c r="O315" s="6"/>
      <c r="P315" s="6" t="s">
        <v>1399</v>
      </c>
      <c r="Q315" s="6"/>
      <c r="R315" s="6" t="s">
        <v>1400</v>
      </c>
      <c r="S315" s="6"/>
      <c r="T315" s="6"/>
      <c r="U315" s="6"/>
      <c r="V315" s="6"/>
      <c r="W315" s="6"/>
      <c r="X315" s="6"/>
      <c r="Y315" s="6"/>
      <c r="Z315" s="6"/>
      <c r="AA315" s="6" t="s">
        <v>89</v>
      </c>
      <c r="AB315" s="6" t="s">
        <v>1947</v>
      </c>
      <c r="AC315" s="6" t="s">
        <v>1894</v>
      </c>
      <c r="AD315" s="6" t="s">
        <v>1937</v>
      </c>
      <c r="AE315" s="6" t="s">
        <v>1938</v>
      </c>
      <c r="AF315" s="6" t="s">
        <v>1939</v>
      </c>
      <c r="AG315" s="6"/>
      <c r="AH315" s="6"/>
      <c r="AI315" s="7"/>
      <c r="AJ315" s="7"/>
      <c r="AK315" s="7"/>
      <c r="AL315" s="7"/>
      <c r="AM315" s="7"/>
      <c r="AN315" s="7"/>
      <c r="AO315" s="7"/>
      <c r="AP315" s="7"/>
      <c r="AQ315" s="7"/>
      <c r="AR315" s="7"/>
      <c r="AS315" s="7"/>
      <c r="AT315" s="7"/>
      <c r="AU315" s="7"/>
      <c r="AV315" s="7"/>
      <c r="AW315" s="7"/>
      <c r="AX315" s="7"/>
      <c r="AY315" s="7"/>
      <c r="AZ315" s="7"/>
    </row>
    <row r="316" customFormat="false" ht="150" hidden="false" customHeight="true" outlineLevel="0" collapsed="false">
      <c r="A316" s="6" t="s">
        <v>1948</v>
      </c>
      <c r="B316" s="6" t="s">
        <v>1875</v>
      </c>
      <c r="C316" s="6" t="s">
        <v>1876</v>
      </c>
      <c r="D316" s="6" t="s">
        <v>123</v>
      </c>
      <c r="E316" s="6" t="s">
        <v>124</v>
      </c>
      <c r="F316" s="6"/>
      <c r="G316" s="6" t="s">
        <v>1362</v>
      </c>
      <c r="H316" s="6" t="s">
        <v>1330</v>
      </c>
      <c r="I316" s="6" t="s">
        <v>81</v>
      </c>
      <c r="J316" s="6" t="s">
        <v>621</v>
      </c>
      <c r="K316" s="6" t="s">
        <v>1396</v>
      </c>
      <c r="L316" s="6" t="s">
        <v>1397</v>
      </c>
      <c r="M316" s="6" t="s">
        <v>1935</v>
      </c>
      <c r="N316" s="6"/>
      <c r="O316" s="6"/>
      <c r="P316" s="6" t="s">
        <v>1399</v>
      </c>
      <c r="Q316" s="6"/>
      <c r="R316" s="6" t="s">
        <v>1400</v>
      </c>
      <c r="S316" s="6"/>
      <c r="T316" s="6"/>
      <c r="U316" s="6"/>
      <c r="V316" s="6"/>
      <c r="W316" s="6"/>
      <c r="X316" s="6"/>
      <c r="Y316" s="6"/>
      <c r="Z316" s="6"/>
      <c r="AA316" s="6" t="s">
        <v>89</v>
      </c>
      <c r="AB316" s="6" t="s">
        <v>1949</v>
      </c>
      <c r="AC316" s="6" t="s">
        <v>1897</v>
      </c>
      <c r="AD316" s="6" t="s">
        <v>1937</v>
      </c>
      <c r="AE316" s="6" t="s">
        <v>1938</v>
      </c>
      <c r="AF316" s="6" t="s">
        <v>1939</v>
      </c>
      <c r="AG316" s="6"/>
      <c r="AH316" s="6"/>
      <c r="AI316" s="7"/>
      <c r="AJ316" s="7"/>
      <c r="AK316" s="7"/>
      <c r="AL316" s="7"/>
      <c r="AM316" s="7"/>
      <c r="AN316" s="7"/>
      <c r="AO316" s="7"/>
      <c r="AP316" s="7"/>
      <c r="AQ316" s="7"/>
      <c r="AR316" s="7"/>
      <c r="AS316" s="7"/>
      <c r="AT316" s="7"/>
      <c r="AU316" s="7"/>
      <c r="AV316" s="7"/>
      <c r="AW316" s="7"/>
      <c r="AX316" s="7"/>
      <c r="AY316" s="7"/>
      <c r="AZ316" s="7"/>
    </row>
    <row r="317" customFormat="false" ht="150" hidden="false" customHeight="true" outlineLevel="0" collapsed="false">
      <c r="A317" s="6" t="s">
        <v>1950</v>
      </c>
      <c r="B317" s="6" t="s">
        <v>1875</v>
      </c>
      <c r="C317" s="6" t="s">
        <v>1876</v>
      </c>
      <c r="D317" s="6" t="s">
        <v>123</v>
      </c>
      <c r="E317" s="6" t="s">
        <v>124</v>
      </c>
      <c r="F317" s="6"/>
      <c r="G317" s="6" t="s">
        <v>1362</v>
      </c>
      <c r="H317" s="6" t="s">
        <v>1330</v>
      </c>
      <c r="I317" s="6" t="s">
        <v>81</v>
      </c>
      <c r="J317" s="6" t="s">
        <v>621</v>
      </c>
      <c r="K317" s="6" t="s">
        <v>1396</v>
      </c>
      <c r="L317" s="6" t="s">
        <v>1397</v>
      </c>
      <c r="M317" s="6" t="s">
        <v>1935</v>
      </c>
      <c r="N317" s="6"/>
      <c r="O317" s="6"/>
      <c r="P317" s="6" t="s">
        <v>1399</v>
      </c>
      <c r="Q317" s="6"/>
      <c r="R317" s="6" t="s">
        <v>1400</v>
      </c>
      <c r="S317" s="6"/>
      <c r="T317" s="6"/>
      <c r="U317" s="6"/>
      <c r="V317" s="6"/>
      <c r="W317" s="6"/>
      <c r="X317" s="6"/>
      <c r="Y317" s="6"/>
      <c r="Z317" s="6"/>
      <c r="AA317" s="6" t="s">
        <v>89</v>
      </c>
      <c r="AB317" s="6" t="s">
        <v>1951</v>
      </c>
      <c r="AC317" s="6" t="s">
        <v>1900</v>
      </c>
      <c r="AD317" s="6" t="s">
        <v>1937</v>
      </c>
      <c r="AE317" s="6" t="s">
        <v>1938</v>
      </c>
      <c r="AF317" s="6" t="s">
        <v>1939</v>
      </c>
      <c r="AG317" s="6"/>
      <c r="AH317" s="6"/>
      <c r="AI317" s="7"/>
      <c r="AJ317" s="7"/>
      <c r="AK317" s="7"/>
      <c r="AL317" s="7"/>
      <c r="AM317" s="7"/>
      <c r="AN317" s="7"/>
      <c r="AO317" s="7"/>
      <c r="AP317" s="7"/>
      <c r="AQ317" s="7"/>
      <c r="AR317" s="7"/>
      <c r="AS317" s="7"/>
      <c r="AT317" s="7"/>
      <c r="AU317" s="7"/>
      <c r="AV317" s="7"/>
      <c r="AW317" s="7"/>
      <c r="AX317" s="7"/>
      <c r="AY317" s="7"/>
      <c r="AZ317" s="7"/>
    </row>
    <row r="318" customFormat="false" ht="150" hidden="false" customHeight="true" outlineLevel="0" collapsed="false">
      <c r="A318" s="6" t="s">
        <v>1952</v>
      </c>
      <c r="B318" s="6" t="s">
        <v>1875</v>
      </c>
      <c r="C318" s="6" t="s">
        <v>1876</v>
      </c>
      <c r="D318" s="6" t="s">
        <v>123</v>
      </c>
      <c r="E318" s="6" t="s">
        <v>124</v>
      </c>
      <c r="F318" s="6"/>
      <c r="G318" s="6" t="s">
        <v>1362</v>
      </c>
      <c r="H318" s="6" t="s">
        <v>1330</v>
      </c>
      <c r="I318" s="6" t="s">
        <v>81</v>
      </c>
      <c r="J318" s="6" t="s">
        <v>621</v>
      </c>
      <c r="K318" s="6" t="s">
        <v>1396</v>
      </c>
      <c r="L318" s="6" t="s">
        <v>1397</v>
      </c>
      <c r="M318" s="6" t="s">
        <v>1935</v>
      </c>
      <c r="N318" s="6"/>
      <c r="O318" s="6"/>
      <c r="P318" s="6" t="s">
        <v>1399</v>
      </c>
      <c r="Q318" s="6"/>
      <c r="R318" s="6" t="s">
        <v>1400</v>
      </c>
      <c r="S318" s="6"/>
      <c r="T318" s="6"/>
      <c r="U318" s="6"/>
      <c r="V318" s="6"/>
      <c r="W318" s="6"/>
      <c r="X318" s="6"/>
      <c r="Y318" s="6"/>
      <c r="Z318" s="6"/>
      <c r="AA318" s="6" t="s">
        <v>89</v>
      </c>
      <c r="AB318" s="6" t="s">
        <v>1953</v>
      </c>
      <c r="AC318" s="6" t="s">
        <v>1903</v>
      </c>
      <c r="AD318" s="6" t="s">
        <v>1937</v>
      </c>
      <c r="AE318" s="6" t="s">
        <v>1938</v>
      </c>
      <c r="AF318" s="6" t="s">
        <v>1939</v>
      </c>
      <c r="AG318" s="6"/>
      <c r="AH318" s="6"/>
      <c r="AI318" s="7"/>
      <c r="AJ318" s="7"/>
      <c r="AK318" s="7"/>
      <c r="AL318" s="7"/>
      <c r="AM318" s="7"/>
      <c r="AN318" s="7"/>
      <c r="AO318" s="7"/>
      <c r="AP318" s="7"/>
      <c r="AQ318" s="7"/>
      <c r="AR318" s="7"/>
      <c r="AS318" s="7"/>
      <c r="AT318" s="7"/>
      <c r="AU318" s="7"/>
      <c r="AV318" s="7"/>
      <c r="AW318" s="7"/>
      <c r="AX318" s="7"/>
      <c r="AY318" s="7"/>
      <c r="AZ318" s="7"/>
    </row>
    <row r="319" customFormat="false" ht="150" hidden="false" customHeight="true" outlineLevel="0" collapsed="false">
      <c r="A319" s="6" t="s">
        <v>1954</v>
      </c>
      <c r="B319" s="6" t="s">
        <v>1875</v>
      </c>
      <c r="C319" s="6" t="s">
        <v>1876</v>
      </c>
      <c r="D319" s="6" t="s">
        <v>123</v>
      </c>
      <c r="E319" s="6" t="s">
        <v>124</v>
      </c>
      <c r="F319" s="6"/>
      <c r="G319" s="6" t="s">
        <v>1362</v>
      </c>
      <c r="H319" s="6" t="s">
        <v>1330</v>
      </c>
      <c r="I319" s="6" t="s">
        <v>81</v>
      </c>
      <c r="J319" s="6" t="s">
        <v>621</v>
      </c>
      <c r="K319" s="6" t="s">
        <v>1396</v>
      </c>
      <c r="L319" s="6" t="s">
        <v>1397</v>
      </c>
      <c r="M319" s="6" t="s">
        <v>1935</v>
      </c>
      <c r="N319" s="6"/>
      <c r="O319" s="6"/>
      <c r="P319" s="6" t="s">
        <v>1399</v>
      </c>
      <c r="Q319" s="6"/>
      <c r="R319" s="6" t="s">
        <v>1400</v>
      </c>
      <c r="S319" s="6"/>
      <c r="T319" s="6"/>
      <c r="U319" s="6"/>
      <c r="V319" s="6"/>
      <c r="W319" s="6"/>
      <c r="X319" s="6"/>
      <c r="Y319" s="6"/>
      <c r="Z319" s="6"/>
      <c r="AA319" s="6" t="s">
        <v>89</v>
      </c>
      <c r="AB319" s="6" t="s">
        <v>1955</v>
      </c>
      <c r="AC319" s="6" t="s">
        <v>1906</v>
      </c>
      <c r="AD319" s="6" t="s">
        <v>1937</v>
      </c>
      <c r="AE319" s="6" t="s">
        <v>1938</v>
      </c>
      <c r="AF319" s="6" t="s">
        <v>1939</v>
      </c>
      <c r="AG319" s="6"/>
      <c r="AH319" s="6"/>
      <c r="AI319" s="7"/>
      <c r="AJ319" s="7"/>
      <c r="AK319" s="7"/>
      <c r="AL319" s="7"/>
      <c r="AM319" s="7"/>
      <c r="AN319" s="7"/>
      <c r="AO319" s="7"/>
      <c r="AP319" s="7"/>
      <c r="AQ319" s="7"/>
      <c r="AR319" s="7"/>
      <c r="AS319" s="7"/>
      <c r="AT319" s="7"/>
      <c r="AU319" s="7"/>
      <c r="AV319" s="7"/>
      <c r="AW319" s="7"/>
      <c r="AX319" s="7"/>
      <c r="AY319" s="7"/>
      <c r="AZ319" s="7"/>
    </row>
    <row r="320" customFormat="false" ht="150" hidden="false" customHeight="true" outlineLevel="0" collapsed="false">
      <c r="A320" s="6" t="s">
        <v>1956</v>
      </c>
      <c r="B320" s="6" t="s">
        <v>1875</v>
      </c>
      <c r="C320" s="6" t="s">
        <v>1876</v>
      </c>
      <c r="D320" s="6" t="s">
        <v>123</v>
      </c>
      <c r="E320" s="6" t="s">
        <v>124</v>
      </c>
      <c r="F320" s="6"/>
      <c r="G320" s="6" t="s">
        <v>1362</v>
      </c>
      <c r="H320" s="6" t="s">
        <v>1330</v>
      </c>
      <c r="I320" s="6" t="s">
        <v>81</v>
      </c>
      <c r="J320" s="6" t="s">
        <v>621</v>
      </c>
      <c r="K320" s="6" t="s">
        <v>1396</v>
      </c>
      <c r="L320" s="6" t="s">
        <v>1397</v>
      </c>
      <c r="M320" s="6" t="s">
        <v>1935</v>
      </c>
      <c r="N320" s="6"/>
      <c r="O320" s="6"/>
      <c r="P320" s="6" t="s">
        <v>1399</v>
      </c>
      <c r="Q320" s="6"/>
      <c r="R320" s="6" t="s">
        <v>1400</v>
      </c>
      <c r="S320" s="6"/>
      <c r="T320" s="6"/>
      <c r="U320" s="6"/>
      <c r="V320" s="6"/>
      <c r="W320" s="6"/>
      <c r="X320" s="6"/>
      <c r="Y320" s="6"/>
      <c r="Z320" s="6"/>
      <c r="AA320" s="6" t="s">
        <v>89</v>
      </c>
      <c r="AB320" s="6" t="s">
        <v>1957</v>
      </c>
      <c r="AC320" s="6" t="s">
        <v>1909</v>
      </c>
      <c r="AD320" s="6" t="s">
        <v>1937</v>
      </c>
      <c r="AE320" s="6" t="s">
        <v>1938</v>
      </c>
      <c r="AF320" s="6" t="s">
        <v>1939</v>
      </c>
      <c r="AG320" s="6"/>
      <c r="AH320" s="6"/>
      <c r="AI320" s="7"/>
      <c r="AJ320" s="7"/>
      <c r="AK320" s="7"/>
      <c r="AL320" s="7"/>
      <c r="AM320" s="7"/>
      <c r="AN320" s="7"/>
      <c r="AO320" s="7"/>
      <c r="AP320" s="7"/>
      <c r="AQ320" s="7"/>
      <c r="AR320" s="7"/>
      <c r="AS320" s="7"/>
      <c r="AT320" s="7"/>
      <c r="AU320" s="7"/>
      <c r="AV320" s="7"/>
      <c r="AW320" s="7"/>
      <c r="AX320" s="7"/>
      <c r="AY320" s="7"/>
      <c r="AZ320" s="7"/>
    </row>
    <row r="321" customFormat="false" ht="150" hidden="false" customHeight="true" outlineLevel="0" collapsed="false">
      <c r="A321" s="6" t="s">
        <v>1958</v>
      </c>
      <c r="B321" s="6" t="s">
        <v>1875</v>
      </c>
      <c r="C321" s="6" t="s">
        <v>1876</v>
      </c>
      <c r="D321" s="6" t="s">
        <v>123</v>
      </c>
      <c r="E321" s="6" t="s">
        <v>124</v>
      </c>
      <c r="F321" s="6"/>
      <c r="G321" s="6" t="s">
        <v>1362</v>
      </c>
      <c r="H321" s="6" t="s">
        <v>1330</v>
      </c>
      <c r="I321" s="6" t="s">
        <v>81</v>
      </c>
      <c r="J321" s="6" t="s">
        <v>621</v>
      </c>
      <c r="K321" s="6" t="s">
        <v>1419</v>
      </c>
      <c r="L321" s="6" t="s">
        <v>1420</v>
      </c>
      <c r="M321" s="6" t="s">
        <v>1959</v>
      </c>
      <c r="N321" s="6"/>
      <c r="O321" s="6"/>
      <c r="P321" s="6" t="s">
        <v>1422</v>
      </c>
      <c r="Q321" s="6"/>
      <c r="R321" s="6" t="s">
        <v>636</v>
      </c>
      <c r="S321" s="6"/>
      <c r="T321" s="6"/>
      <c r="U321" s="6"/>
      <c r="V321" s="6"/>
      <c r="W321" s="6"/>
      <c r="X321" s="6"/>
      <c r="Y321" s="6"/>
      <c r="Z321" s="6"/>
      <c r="AA321" s="6" t="s">
        <v>89</v>
      </c>
      <c r="AB321" s="6" t="s">
        <v>1960</v>
      </c>
      <c r="AC321" s="6" t="s">
        <v>1879</v>
      </c>
      <c r="AD321" s="6" t="s">
        <v>1961</v>
      </c>
      <c r="AE321" s="6" t="s">
        <v>1962</v>
      </c>
      <c r="AF321" s="6" t="s">
        <v>1963</v>
      </c>
      <c r="AG321" s="6"/>
      <c r="AH321" s="6"/>
      <c r="AI321" s="7"/>
      <c r="AJ321" s="7"/>
      <c r="AK321" s="7"/>
      <c r="AL321" s="7"/>
      <c r="AM321" s="7"/>
      <c r="AN321" s="7"/>
      <c r="AO321" s="7"/>
      <c r="AP321" s="7"/>
      <c r="AQ321" s="7"/>
      <c r="AR321" s="7"/>
      <c r="AS321" s="7"/>
      <c r="AT321" s="7"/>
      <c r="AU321" s="7"/>
      <c r="AV321" s="7"/>
      <c r="AW321" s="7"/>
      <c r="AX321" s="7"/>
      <c r="AY321" s="7"/>
      <c r="AZ321" s="7"/>
    </row>
    <row r="322" customFormat="false" ht="150" hidden="false" customHeight="true" outlineLevel="0" collapsed="false">
      <c r="A322" s="6" t="s">
        <v>1964</v>
      </c>
      <c r="B322" s="6" t="s">
        <v>1875</v>
      </c>
      <c r="C322" s="6" t="s">
        <v>1876</v>
      </c>
      <c r="D322" s="6" t="s">
        <v>123</v>
      </c>
      <c r="E322" s="6" t="s">
        <v>124</v>
      </c>
      <c r="F322" s="6"/>
      <c r="G322" s="6" t="s">
        <v>1362</v>
      </c>
      <c r="H322" s="6" t="s">
        <v>1330</v>
      </c>
      <c r="I322" s="6" t="s">
        <v>81</v>
      </c>
      <c r="J322" s="6" t="s">
        <v>621</v>
      </c>
      <c r="K322" s="6" t="s">
        <v>1419</v>
      </c>
      <c r="L322" s="6" t="s">
        <v>1420</v>
      </c>
      <c r="M322" s="6" t="s">
        <v>1959</v>
      </c>
      <c r="N322" s="6"/>
      <c r="O322" s="6"/>
      <c r="P322" s="6" t="s">
        <v>1422</v>
      </c>
      <c r="Q322" s="6"/>
      <c r="R322" s="6" t="s">
        <v>636</v>
      </c>
      <c r="S322" s="6"/>
      <c r="T322" s="6"/>
      <c r="U322" s="6"/>
      <c r="V322" s="6"/>
      <c r="W322" s="6"/>
      <c r="X322" s="6"/>
      <c r="Y322" s="6"/>
      <c r="Z322" s="6"/>
      <c r="AA322" s="6" t="s">
        <v>89</v>
      </c>
      <c r="AB322" s="6" t="s">
        <v>1965</v>
      </c>
      <c r="AC322" s="6" t="s">
        <v>1885</v>
      </c>
      <c r="AD322" s="6" t="s">
        <v>1961</v>
      </c>
      <c r="AE322" s="6" t="s">
        <v>1962</v>
      </c>
      <c r="AF322" s="6" t="s">
        <v>1963</v>
      </c>
      <c r="AG322" s="6"/>
      <c r="AH322" s="6"/>
      <c r="AI322" s="7"/>
      <c r="AJ322" s="7"/>
      <c r="AK322" s="7"/>
      <c r="AL322" s="7"/>
      <c r="AM322" s="7"/>
      <c r="AN322" s="7"/>
      <c r="AO322" s="7"/>
      <c r="AP322" s="7"/>
      <c r="AQ322" s="7"/>
      <c r="AR322" s="7"/>
      <c r="AS322" s="7"/>
      <c r="AT322" s="7"/>
      <c r="AU322" s="7"/>
      <c r="AV322" s="7"/>
      <c r="AW322" s="7"/>
      <c r="AX322" s="7"/>
      <c r="AY322" s="7"/>
      <c r="AZ322" s="7"/>
    </row>
    <row r="323" customFormat="false" ht="150" hidden="false" customHeight="true" outlineLevel="0" collapsed="false">
      <c r="A323" s="6" t="s">
        <v>1966</v>
      </c>
      <c r="B323" s="6" t="s">
        <v>1875</v>
      </c>
      <c r="C323" s="6" t="s">
        <v>1876</v>
      </c>
      <c r="D323" s="6" t="s">
        <v>123</v>
      </c>
      <c r="E323" s="6" t="s">
        <v>124</v>
      </c>
      <c r="F323" s="6"/>
      <c r="G323" s="6" t="s">
        <v>1362</v>
      </c>
      <c r="H323" s="6" t="s">
        <v>1330</v>
      </c>
      <c r="I323" s="6" t="s">
        <v>81</v>
      </c>
      <c r="J323" s="6" t="s">
        <v>621</v>
      </c>
      <c r="K323" s="6" t="s">
        <v>1419</v>
      </c>
      <c r="L323" s="6" t="s">
        <v>1420</v>
      </c>
      <c r="M323" s="6" t="s">
        <v>1959</v>
      </c>
      <c r="N323" s="6"/>
      <c r="O323" s="6"/>
      <c r="P323" s="6" t="s">
        <v>1422</v>
      </c>
      <c r="Q323" s="6"/>
      <c r="R323" s="6" t="s">
        <v>636</v>
      </c>
      <c r="S323" s="6"/>
      <c r="T323" s="6"/>
      <c r="U323" s="6"/>
      <c r="V323" s="6"/>
      <c r="W323" s="6"/>
      <c r="X323" s="6"/>
      <c r="Y323" s="6"/>
      <c r="Z323" s="6"/>
      <c r="AA323" s="6" t="s">
        <v>89</v>
      </c>
      <c r="AB323" s="6" t="s">
        <v>1967</v>
      </c>
      <c r="AC323" s="6" t="s">
        <v>1888</v>
      </c>
      <c r="AD323" s="6" t="s">
        <v>1961</v>
      </c>
      <c r="AE323" s="6" t="s">
        <v>1962</v>
      </c>
      <c r="AF323" s="6" t="s">
        <v>1963</v>
      </c>
      <c r="AG323" s="6"/>
      <c r="AH323" s="6"/>
      <c r="AI323" s="7"/>
      <c r="AJ323" s="7"/>
      <c r="AK323" s="7"/>
      <c r="AL323" s="7"/>
      <c r="AM323" s="7"/>
      <c r="AN323" s="7"/>
      <c r="AO323" s="7"/>
      <c r="AP323" s="7"/>
      <c r="AQ323" s="7"/>
      <c r="AR323" s="7"/>
      <c r="AS323" s="7"/>
      <c r="AT323" s="7"/>
      <c r="AU323" s="7"/>
      <c r="AV323" s="7"/>
      <c r="AW323" s="7"/>
      <c r="AX323" s="7"/>
      <c r="AY323" s="7"/>
      <c r="AZ323" s="7"/>
    </row>
    <row r="324" customFormat="false" ht="150" hidden="false" customHeight="true" outlineLevel="0" collapsed="false">
      <c r="A324" s="6" t="s">
        <v>1968</v>
      </c>
      <c r="B324" s="6" t="s">
        <v>1875</v>
      </c>
      <c r="C324" s="6" t="s">
        <v>1876</v>
      </c>
      <c r="D324" s="6" t="s">
        <v>123</v>
      </c>
      <c r="E324" s="6" t="s">
        <v>124</v>
      </c>
      <c r="F324" s="6"/>
      <c r="G324" s="6" t="s">
        <v>1362</v>
      </c>
      <c r="H324" s="6" t="s">
        <v>1330</v>
      </c>
      <c r="I324" s="6" t="s">
        <v>81</v>
      </c>
      <c r="J324" s="6" t="s">
        <v>621</v>
      </c>
      <c r="K324" s="6" t="s">
        <v>1419</v>
      </c>
      <c r="L324" s="6" t="s">
        <v>1420</v>
      </c>
      <c r="M324" s="6" t="s">
        <v>1959</v>
      </c>
      <c r="N324" s="6"/>
      <c r="O324" s="6"/>
      <c r="P324" s="6" t="s">
        <v>1422</v>
      </c>
      <c r="Q324" s="6"/>
      <c r="R324" s="6" t="s">
        <v>636</v>
      </c>
      <c r="S324" s="6"/>
      <c r="T324" s="6"/>
      <c r="U324" s="6"/>
      <c r="V324" s="6"/>
      <c r="W324" s="6"/>
      <c r="X324" s="6"/>
      <c r="Y324" s="6"/>
      <c r="Z324" s="6"/>
      <c r="AA324" s="6" t="s">
        <v>89</v>
      </c>
      <c r="AB324" s="6" t="s">
        <v>1969</v>
      </c>
      <c r="AC324" s="6" t="s">
        <v>1891</v>
      </c>
      <c r="AD324" s="6" t="s">
        <v>1961</v>
      </c>
      <c r="AE324" s="6" t="s">
        <v>1962</v>
      </c>
      <c r="AF324" s="6" t="s">
        <v>1963</v>
      </c>
      <c r="AG324" s="6"/>
      <c r="AH324" s="6"/>
      <c r="AI324" s="7"/>
      <c r="AJ324" s="7"/>
      <c r="AK324" s="7"/>
      <c r="AL324" s="7"/>
      <c r="AM324" s="7"/>
      <c r="AN324" s="7"/>
      <c r="AO324" s="7"/>
      <c r="AP324" s="7"/>
      <c r="AQ324" s="7"/>
      <c r="AR324" s="7"/>
      <c r="AS324" s="7"/>
      <c r="AT324" s="7"/>
      <c r="AU324" s="7"/>
      <c r="AV324" s="7"/>
      <c r="AW324" s="7"/>
      <c r="AX324" s="7"/>
      <c r="AY324" s="7"/>
      <c r="AZ324" s="7"/>
    </row>
    <row r="325" customFormat="false" ht="150" hidden="false" customHeight="true" outlineLevel="0" collapsed="false">
      <c r="A325" s="6" t="s">
        <v>1970</v>
      </c>
      <c r="B325" s="6" t="s">
        <v>1875</v>
      </c>
      <c r="C325" s="6" t="s">
        <v>1876</v>
      </c>
      <c r="D325" s="6" t="s">
        <v>123</v>
      </c>
      <c r="E325" s="6" t="s">
        <v>124</v>
      </c>
      <c r="F325" s="6"/>
      <c r="G325" s="6" t="s">
        <v>1362</v>
      </c>
      <c r="H325" s="6" t="s">
        <v>1330</v>
      </c>
      <c r="I325" s="6" t="s">
        <v>81</v>
      </c>
      <c r="J325" s="6" t="s">
        <v>621</v>
      </c>
      <c r="K325" s="6" t="s">
        <v>1419</v>
      </c>
      <c r="L325" s="6" t="s">
        <v>1420</v>
      </c>
      <c r="M325" s="6" t="s">
        <v>1959</v>
      </c>
      <c r="N325" s="6"/>
      <c r="O325" s="6"/>
      <c r="P325" s="6" t="s">
        <v>1422</v>
      </c>
      <c r="Q325" s="6"/>
      <c r="R325" s="6" t="s">
        <v>636</v>
      </c>
      <c r="S325" s="6"/>
      <c r="T325" s="6"/>
      <c r="U325" s="6"/>
      <c r="V325" s="6"/>
      <c r="W325" s="6"/>
      <c r="X325" s="6"/>
      <c r="Y325" s="6"/>
      <c r="Z325" s="6"/>
      <c r="AA325" s="6" t="s">
        <v>89</v>
      </c>
      <c r="AB325" s="6" t="s">
        <v>1971</v>
      </c>
      <c r="AC325" s="6" t="s">
        <v>1894</v>
      </c>
      <c r="AD325" s="6" t="s">
        <v>1961</v>
      </c>
      <c r="AE325" s="6" t="s">
        <v>1962</v>
      </c>
      <c r="AF325" s="6" t="s">
        <v>1963</v>
      </c>
      <c r="AG325" s="6"/>
      <c r="AH325" s="6"/>
      <c r="AI325" s="7"/>
      <c r="AJ325" s="7"/>
      <c r="AK325" s="7"/>
      <c r="AL325" s="7"/>
      <c r="AM325" s="7"/>
      <c r="AN325" s="7"/>
      <c r="AO325" s="7"/>
      <c r="AP325" s="7"/>
      <c r="AQ325" s="7"/>
      <c r="AR325" s="7"/>
      <c r="AS325" s="7"/>
      <c r="AT325" s="7"/>
      <c r="AU325" s="7"/>
      <c r="AV325" s="7"/>
      <c r="AW325" s="7"/>
      <c r="AX325" s="7"/>
      <c r="AY325" s="7"/>
      <c r="AZ325" s="7"/>
    </row>
    <row r="326" customFormat="false" ht="150" hidden="false" customHeight="true" outlineLevel="0" collapsed="false">
      <c r="A326" s="6" t="s">
        <v>1972</v>
      </c>
      <c r="B326" s="6" t="s">
        <v>1875</v>
      </c>
      <c r="C326" s="6" t="s">
        <v>1876</v>
      </c>
      <c r="D326" s="6" t="s">
        <v>123</v>
      </c>
      <c r="E326" s="6" t="s">
        <v>124</v>
      </c>
      <c r="F326" s="6"/>
      <c r="G326" s="6" t="s">
        <v>1362</v>
      </c>
      <c r="H326" s="6" t="s">
        <v>1330</v>
      </c>
      <c r="I326" s="6" t="s">
        <v>81</v>
      </c>
      <c r="J326" s="6" t="s">
        <v>621</v>
      </c>
      <c r="K326" s="6" t="s">
        <v>1419</v>
      </c>
      <c r="L326" s="6" t="s">
        <v>1420</v>
      </c>
      <c r="M326" s="6" t="s">
        <v>1959</v>
      </c>
      <c r="N326" s="6"/>
      <c r="O326" s="6"/>
      <c r="P326" s="6" t="s">
        <v>1422</v>
      </c>
      <c r="Q326" s="6"/>
      <c r="R326" s="6" t="s">
        <v>636</v>
      </c>
      <c r="S326" s="6"/>
      <c r="T326" s="6"/>
      <c r="U326" s="6"/>
      <c r="V326" s="6"/>
      <c r="W326" s="6"/>
      <c r="X326" s="6"/>
      <c r="Y326" s="6"/>
      <c r="Z326" s="6"/>
      <c r="AA326" s="6" t="s">
        <v>89</v>
      </c>
      <c r="AB326" s="6" t="s">
        <v>1973</v>
      </c>
      <c r="AC326" s="6" t="s">
        <v>1897</v>
      </c>
      <c r="AD326" s="6" t="s">
        <v>1961</v>
      </c>
      <c r="AE326" s="6" t="s">
        <v>1962</v>
      </c>
      <c r="AF326" s="6" t="s">
        <v>1963</v>
      </c>
      <c r="AG326" s="6"/>
      <c r="AH326" s="6"/>
      <c r="AI326" s="7"/>
      <c r="AJ326" s="7"/>
      <c r="AK326" s="7"/>
      <c r="AL326" s="7"/>
      <c r="AM326" s="7"/>
      <c r="AN326" s="7"/>
      <c r="AO326" s="7"/>
      <c r="AP326" s="7"/>
      <c r="AQ326" s="7"/>
      <c r="AR326" s="7"/>
      <c r="AS326" s="7"/>
      <c r="AT326" s="7"/>
      <c r="AU326" s="7"/>
      <c r="AV326" s="7"/>
      <c r="AW326" s="7"/>
      <c r="AX326" s="7"/>
      <c r="AY326" s="7"/>
      <c r="AZ326" s="7"/>
    </row>
    <row r="327" customFormat="false" ht="150" hidden="false" customHeight="true" outlineLevel="0" collapsed="false">
      <c r="A327" s="6" t="s">
        <v>1974</v>
      </c>
      <c r="B327" s="6" t="s">
        <v>1875</v>
      </c>
      <c r="C327" s="6" t="s">
        <v>1876</v>
      </c>
      <c r="D327" s="6" t="s">
        <v>123</v>
      </c>
      <c r="E327" s="6" t="s">
        <v>124</v>
      </c>
      <c r="F327" s="6"/>
      <c r="G327" s="6" t="s">
        <v>1362</v>
      </c>
      <c r="H327" s="6" t="s">
        <v>1330</v>
      </c>
      <c r="I327" s="6" t="s">
        <v>81</v>
      </c>
      <c r="J327" s="6" t="s">
        <v>621</v>
      </c>
      <c r="K327" s="6" t="s">
        <v>1419</v>
      </c>
      <c r="L327" s="6" t="s">
        <v>1420</v>
      </c>
      <c r="M327" s="6" t="s">
        <v>1959</v>
      </c>
      <c r="N327" s="6"/>
      <c r="O327" s="6"/>
      <c r="P327" s="6" t="s">
        <v>1422</v>
      </c>
      <c r="Q327" s="6"/>
      <c r="R327" s="6" t="s">
        <v>636</v>
      </c>
      <c r="S327" s="6"/>
      <c r="T327" s="6"/>
      <c r="U327" s="6"/>
      <c r="V327" s="6"/>
      <c r="W327" s="6"/>
      <c r="X327" s="6"/>
      <c r="Y327" s="6"/>
      <c r="Z327" s="6"/>
      <c r="AA327" s="6" t="s">
        <v>89</v>
      </c>
      <c r="AB327" s="6" t="s">
        <v>1975</v>
      </c>
      <c r="AC327" s="6" t="s">
        <v>1900</v>
      </c>
      <c r="AD327" s="6" t="s">
        <v>1961</v>
      </c>
      <c r="AE327" s="6" t="s">
        <v>1962</v>
      </c>
      <c r="AF327" s="6" t="s">
        <v>1963</v>
      </c>
      <c r="AG327" s="6"/>
      <c r="AH327" s="6"/>
      <c r="AI327" s="7"/>
      <c r="AJ327" s="7"/>
      <c r="AK327" s="7"/>
      <c r="AL327" s="7"/>
      <c r="AM327" s="7"/>
      <c r="AN327" s="7"/>
      <c r="AO327" s="7"/>
      <c r="AP327" s="7"/>
      <c r="AQ327" s="7"/>
      <c r="AR327" s="7"/>
      <c r="AS327" s="7"/>
      <c r="AT327" s="7"/>
      <c r="AU327" s="7"/>
      <c r="AV327" s="7"/>
      <c r="AW327" s="7"/>
      <c r="AX327" s="7"/>
      <c r="AY327" s="7"/>
      <c r="AZ327" s="7"/>
    </row>
    <row r="328" customFormat="false" ht="150" hidden="false" customHeight="true" outlineLevel="0" collapsed="false">
      <c r="A328" s="6" t="s">
        <v>1976</v>
      </c>
      <c r="B328" s="6" t="s">
        <v>1875</v>
      </c>
      <c r="C328" s="6" t="s">
        <v>1876</v>
      </c>
      <c r="D328" s="6" t="s">
        <v>123</v>
      </c>
      <c r="E328" s="6" t="s">
        <v>124</v>
      </c>
      <c r="F328" s="6"/>
      <c r="G328" s="6" t="s">
        <v>1362</v>
      </c>
      <c r="H328" s="6" t="s">
        <v>1330</v>
      </c>
      <c r="I328" s="6" t="s">
        <v>81</v>
      </c>
      <c r="J328" s="6" t="s">
        <v>621</v>
      </c>
      <c r="K328" s="6" t="s">
        <v>1419</v>
      </c>
      <c r="L328" s="6" t="s">
        <v>1420</v>
      </c>
      <c r="M328" s="6" t="s">
        <v>1959</v>
      </c>
      <c r="N328" s="6"/>
      <c r="O328" s="6"/>
      <c r="P328" s="6" t="s">
        <v>1422</v>
      </c>
      <c r="Q328" s="6"/>
      <c r="R328" s="6" t="s">
        <v>636</v>
      </c>
      <c r="S328" s="6"/>
      <c r="T328" s="6"/>
      <c r="U328" s="6"/>
      <c r="V328" s="6"/>
      <c r="W328" s="6"/>
      <c r="X328" s="6"/>
      <c r="Y328" s="6"/>
      <c r="Z328" s="6"/>
      <c r="AA328" s="6" t="s">
        <v>89</v>
      </c>
      <c r="AB328" s="6" t="s">
        <v>1977</v>
      </c>
      <c r="AC328" s="6" t="s">
        <v>1903</v>
      </c>
      <c r="AD328" s="6" t="s">
        <v>1961</v>
      </c>
      <c r="AE328" s="6" t="s">
        <v>1962</v>
      </c>
      <c r="AF328" s="6" t="s">
        <v>1963</v>
      </c>
      <c r="AG328" s="6"/>
      <c r="AH328" s="6"/>
      <c r="AI328" s="7"/>
      <c r="AJ328" s="7"/>
      <c r="AK328" s="7"/>
      <c r="AL328" s="7"/>
      <c r="AM328" s="7"/>
      <c r="AN328" s="7"/>
      <c r="AO328" s="7"/>
      <c r="AP328" s="7"/>
      <c r="AQ328" s="7"/>
      <c r="AR328" s="7"/>
      <c r="AS328" s="7"/>
      <c r="AT328" s="7"/>
      <c r="AU328" s="7"/>
      <c r="AV328" s="7"/>
      <c r="AW328" s="7"/>
      <c r="AX328" s="7"/>
      <c r="AY328" s="7"/>
      <c r="AZ328" s="7"/>
    </row>
    <row r="329" customFormat="false" ht="150" hidden="false" customHeight="true" outlineLevel="0" collapsed="false">
      <c r="A329" s="6" t="s">
        <v>1978</v>
      </c>
      <c r="B329" s="6" t="s">
        <v>1875</v>
      </c>
      <c r="C329" s="6" t="s">
        <v>1876</v>
      </c>
      <c r="D329" s="6" t="s">
        <v>123</v>
      </c>
      <c r="E329" s="6" t="s">
        <v>124</v>
      </c>
      <c r="F329" s="6"/>
      <c r="G329" s="6" t="s">
        <v>1362</v>
      </c>
      <c r="H329" s="6" t="s">
        <v>1330</v>
      </c>
      <c r="I329" s="6" t="s">
        <v>81</v>
      </c>
      <c r="J329" s="6" t="s">
        <v>621</v>
      </c>
      <c r="K329" s="6" t="s">
        <v>1419</v>
      </c>
      <c r="L329" s="6" t="s">
        <v>1420</v>
      </c>
      <c r="M329" s="6" t="s">
        <v>1959</v>
      </c>
      <c r="N329" s="6"/>
      <c r="O329" s="6"/>
      <c r="P329" s="6" t="s">
        <v>1422</v>
      </c>
      <c r="Q329" s="6"/>
      <c r="R329" s="6" t="s">
        <v>636</v>
      </c>
      <c r="S329" s="6"/>
      <c r="T329" s="6"/>
      <c r="U329" s="6"/>
      <c r="V329" s="6"/>
      <c r="W329" s="6"/>
      <c r="X329" s="6"/>
      <c r="Y329" s="6"/>
      <c r="Z329" s="6"/>
      <c r="AA329" s="6" t="s">
        <v>89</v>
      </c>
      <c r="AB329" s="6" t="s">
        <v>1979</v>
      </c>
      <c r="AC329" s="6" t="s">
        <v>1906</v>
      </c>
      <c r="AD329" s="6" t="s">
        <v>1961</v>
      </c>
      <c r="AE329" s="6" t="s">
        <v>1962</v>
      </c>
      <c r="AF329" s="6" t="s">
        <v>1963</v>
      </c>
      <c r="AG329" s="6"/>
      <c r="AH329" s="6"/>
      <c r="AI329" s="7"/>
      <c r="AJ329" s="7"/>
      <c r="AK329" s="7"/>
      <c r="AL329" s="7"/>
      <c r="AM329" s="7"/>
      <c r="AN329" s="7"/>
      <c r="AO329" s="7"/>
      <c r="AP329" s="7"/>
      <c r="AQ329" s="7"/>
      <c r="AR329" s="7"/>
      <c r="AS329" s="7"/>
      <c r="AT329" s="7"/>
      <c r="AU329" s="7"/>
      <c r="AV329" s="7"/>
      <c r="AW329" s="7"/>
      <c r="AX329" s="7"/>
      <c r="AY329" s="7"/>
      <c r="AZ329" s="7"/>
    </row>
    <row r="330" customFormat="false" ht="150" hidden="false" customHeight="true" outlineLevel="0" collapsed="false">
      <c r="A330" s="6" t="s">
        <v>1980</v>
      </c>
      <c r="B330" s="6" t="s">
        <v>1875</v>
      </c>
      <c r="C330" s="6" t="s">
        <v>1876</v>
      </c>
      <c r="D330" s="6" t="s">
        <v>123</v>
      </c>
      <c r="E330" s="6" t="s">
        <v>124</v>
      </c>
      <c r="F330" s="6"/>
      <c r="G330" s="6" t="s">
        <v>1362</v>
      </c>
      <c r="H330" s="6" t="s">
        <v>1330</v>
      </c>
      <c r="I330" s="6" t="s">
        <v>81</v>
      </c>
      <c r="J330" s="6" t="s">
        <v>621</v>
      </c>
      <c r="K330" s="6" t="s">
        <v>1419</v>
      </c>
      <c r="L330" s="6" t="s">
        <v>1420</v>
      </c>
      <c r="M330" s="6" t="s">
        <v>1959</v>
      </c>
      <c r="N330" s="6"/>
      <c r="O330" s="6"/>
      <c r="P330" s="6" t="s">
        <v>1422</v>
      </c>
      <c r="Q330" s="6"/>
      <c r="R330" s="6" t="s">
        <v>636</v>
      </c>
      <c r="S330" s="6"/>
      <c r="T330" s="6"/>
      <c r="U330" s="6"/>
      <c r="V330" s="6"/>
      <c r="W330" s="6"/>
      <c r="X330" s="6"/>
      <c r="Y330" s="6"/>
      <c r="Z330" s="6"/>
      <c r="AA330" s="6" t="s">
        <v>89</v>
      </c>
      <c r="AB330" s="6" t="s">
        <v>1981</v>
      </c>
      <c r="AC330" s="6" t="s">
        <v>1909</v>
      </c>
      <c r="AD330" s="6" t="s">
        <v>1961</v>
      </c>
      <c r="AE330" s="6" t="s">
        <v>1962</v>
      </c>
      <c r="AF330" s="6" t="s">
        <v>1963</v>
      </c>
      <c r="AG330" s="6"/>
      <c r="AH330" s="6"/>
      <c r="AI330" s="7"/>
      <c r="AJ330" s="7"/>
      <c r="AK330" s="7"/>
      <c r="AL330" s="7"/>
      <c r="AM330" s="7"/>
      <c r="AN330" s="7"/>
      <c r="AO330" s="7"/>
      <c r="AP330" s="7"/>
      <c r="AQ330" s="7"/>
      <c r="AR330" s="7"/>
      <c r="AS330" s="7"/>
      <c r="AT330" s="7"/>
      <c r="AU330" s="7"/>
      <c r="AV330" s="7"/>
      <c r="AW330" s="7"/>
      <c r="AX330" s="7"/>
      <c r="AY330" s="7"/>
      <c r="AZ330" s="7"/>
    </row>
    <row r="331" customFormat="false" ht="150" hidden="false" customHeight="true" outlineLevel="0" collapsed="false">
      <c r="A331" s="6" t="s">
        <v>1982</v>
      </c>
      <c r="B331" s="6" t="s">
        <v>1875</v>
      </c>
      <c r="C331" s="6" t="s">
        <v>1876</v>
      </c>
      <c r="D331" s="6" t="s">
        <v>77</v>
      </c>
      <c r="E331" s="6" t="s">
        <v>78</v>
      </c>
      <c r="F331" s="6"/>
      <c r="G331" s="6" t="s">
        <v>1362</v>
      </c>
      <c r="H331" s="6" t="s">
        <v>1330</v>
      </c>
      <c r="I331" s="6" t="s">
        <v>81</v>
      </c>
      <c r="J331" s="6" t="s">
        <v>621</v>
      </c>
      <c r="K331" s="6" t="s">
        <v>1441</v>
      </c>
      <c r="L331" s="6" t="s">
        <v>1442</v>
      </c>
      <c r="M331" s="6" t="s">
        <v>1983</v>
      </c>
      <c r="N331" s="6"/>
      <c r="O331" s="6"/>
      <c r="P331" s="6" t="s">
        <v>1444</v>
      </c>
      <c r="Q331" s="6"/>
      <c r="R331" s="6"/>
      <c r="S331" s="6"/>
      <c r="T331" s="6"/>
      <c r="U331" s="6"/>
      <c r="V331" s="6"/>
      <c r="W331" s="6"/>
      <c r="X331" s="6"/>
      <c r="Y331" s="6"/>
      <c r="Z331" s="6"/>
      <c r="AA331" s="6" t="s">
        <v>89</v>
      </c>
      <c r="AB331" s="6" t="s">
        <v>1984</v>
      </c>
      <c r="AC331" s="6" t="s">
        <v>1879</v>
      </c>
      <c r="AD331" s="6" t="s">
        <v>1985</v>
      </c>
      <c r="AE331" s="6" t="s">
        <v>1986</v>
      </c>
      <c r="AF331" s="6" t="s">
        <v>1987</v>
      </c>
      <c r="AG331" s="6"/>
      <c r="AH331" s="6"/>
      <c r="AI331" s="7"/>
      <c r="AJ331" s="7"/>
      <c r="AK331" s="7"/>
      <c r="AL331" s="7"/>
      <c r="AM331" s="7"/>
      <c r="AN331" s="7"/>
      <c r="AO331" s="7"/>
      <c r="AP331" s="7"/>
      <c r="AQ331" s="7"/>
      <c r="AR331" s="7"/>
      <c r="AS331" s="7"/>
      <c r="AT331" s="7"/>
      <c r="AU331" s="7"/>
      <c r="AV331" s="7"/>
      <c r="AW331" s="7"/>
      <c r="AX331" s="7"/>
      <c r="AY331" s="7"/>
      <c r="AZ331" s="7"/>
    </row>
    <row r="332" customFormat="false" ht="150" hidden="false" customHeight="true" outlineLevel="0" collapsed="false">
      <c r="A332" s="6" t="s">
        <v>1988</v>
      </c>
      <c r="B332" s="6" t="s">
        <v>1875</v>
      </c>
      <c r="C332" s="6" t="s">
        <v>1876</v>
      </c>
      <c r="D332" s="6" t="s">
        <v>77</v>
      </c>
      <c r="E332" s="6" t="s">
        <v>78</v>
      </c>
      <c r="F332" s="6"/>
      <c r="G332" s="6" t="s">
        <v>1362</v>
      </c>
      <c r="H332" s="6" t="s">
        <v>1330</v>
      </c>
      <c r="I332" s="6" t="s">
        <v>81</v>
      </c>
      <c r="J332" s="6" t="s">
        <v>621</v>
      </c>
      <c r="K332" s="6" t="s">
        <v>1441</v>
      </c>
      <c r="L332" s="6" t="s">
        <v>1442</v>
      </c>
      <c r="M332" s="6" t="s">
        <v>1983</v>
      </c>
      <c r="N332" s="6"/>
      <c r="O332" s="6"/>
      <c r="P332" s="6" t="s">
        <v>1444</v>
      </c>
      <c r="Q332" s="6"/>
      <c r="R332" s="6"/>
      <c r="S332" s="6"/>
      <c r="T332" s="6"/>
      <c r="U332" s="6"/>
      <c r="V332" s="6"/>
      <c r="W332" s="6"/>
      <c r="X332" s="6"/>
      <c r="Y332" s="6"/>
      <c r="Z332" s="6"/>
      <c r="AA332" s="6" t="s">
        <v>89</v>
      </c>
      <c r="AB332" s="6" t="s">
        <v>1989</v>
      </c>
      <c r="AC332" s="6" t="s">
        <v>1885</v>
      </c>
      <c r="AD332" s="6" t="s">
        <v>1985</v>
      </c>
      <c r="AE332" s="6" t="s">
        <v>1986</v>
      </c>
      <c r="AF332" s="6" t="s">
        <v>1987</v>
      </c>
      <c r="AG332" s="6"/>
      <c r="AH332" s="6"/>
      <c r="AI332" s="7"/>
      <c r="AJ332" s="7"/>
      <c r="AK332" s="7"/>
      <c r="AL332" s="7"/>
      <c r="AM332" s="7"/>
      <c r="AN332" s="7"/>
      <c r="AO332" s="7"/>
      <c r="AP332" s="7"/>
      <c r="AQ332" s="7"/>
      <c r="AR332" s="7"/>
      <c r="AS332" s="7"/>
      <c r="AT332" s="7"/>
      <c r="AU332" s="7"/>
      <c r="AV332" s="7"/>
      <c r="AW332" s="7"/>
      <c r="AX332" s="7"/>
      <c r="AY332" s="7"/>
      <c r="AZ332" s="7"/>
    </row>
    <row r="333" customFormat="false" ht="150" hidden="false" customHeight="true" outlineLevel="0" collapsed="false">
      <c r="A333" s="6" t="s">
        <v>1990</v>
      </c>
      <c r="B333" s="6" t="s">
        <v>1875</v>
      </c>
      <c r="C333" s="6" t="s">
        <v>1876</v>
      </c>
      <c r="D333" s="6" t="s">
        <v>77</v>
      </c>
      <c r="E333" s="6" t="s">
        <v>78</v>
      </c>
      <c r="F333" s="6"/>
      <c r="G333" s="6" t="s">
        <v>1362</v>
      </c>
      <c r="H333" s="6" t="s">
        <v>1330</v>
      </c>
      <c r="I333" s="6" t="s">
        <v>81</v>
      </c>
      <c r="J333" s="6" t="s">
        <v>621</v>
      </c>
      <c r="K333" s="6" t="s">
        <v>1441</v>
      </c>
      <c r="L333" s="6" t="s">
        <v>1442</v>
      </c>
      <c r="M333" s="6" t="s">
        <v>1983</v>
      </c>
      <c r="N333" s="6"/>
      <c r="O333" s="6"/>
      <c r="P333" s="6" t="s">
        <v>1444</v>
      </c>
      <c r="Q333" s="6"/>
      <c r="R333" s="6"/>
      <c r="S333" s="6"/>
      <c r="T333" s="6"/>
      <c r="U333" s="6"/>
      <c r="V333" s="6"/>
      <c r="W333" s="6"/>
      <c r="X333" s="6"/>
      <c r="Y333" s="6"/>
      <c r="Z333" s="6"/>
      <c r="AA333" s="6" t="s">
        <v>89</v>
      </c>
      <c r="AB333" s="6" t="s">
        <v>1991</v>
      </c>
      <c r="AC333" s="6" t="s">
        <v>1888</v>
      </c>
      <c r="AD333" s="6" t="s">
        <v>1985</v>
      </c>
      <c r="AE333" s="6" t="s">
        <v>1986</v>
      </c>
      <c r="AF333" s="6" t="s">
        <v>1987</v>
      </c>
      <c r="AG333" s="6"/>
      <c r="AH333" s="6"/>
      <c r="AI333" s="7"/>
      <c r="AJ333" s="7"/>
      <c r="AK333" s="7"/>
      <c r="AL333" s="7"/>
      <c r="AM333" s="7"/>
      <c r="AN333" s="7"/>
      <c r="AO333" s="7"/>
      <c r="AP333" s="7"/>
      <c r="AQ333" s="7"/>
      <c r="AR333" s="7"/>
      <c r="AS333" s="7"/>
      <c r="AT333" s="7"/>
      <c r="AU333" s="7"/>
      <c r="AV333" s="7"/>
      <c r="AW333" s="7"/>
      <c r="AX333" s="7"/>
      <c r="AY333" s="7"/>
      <c r="AZ333" s="7"/>
    </row>
    <row r="334" customFormat="false" ht="150" hidden="false" customHeight="true" outlineLevel="0" collapsed="false">
      <c r="A334" s="6" t="s">
        <v>1992</v>
      </c>
      <c r="B334" s="6" t="s">
        <v>1875</v>
      </c>
      <c r="C334" s="6" t="s">
        <v>1876</v>
      </c>
      <c r="D334" s="6" t="s">
        <v>77</v>
      </c>
      <c r="E334" s="6" t="s">
        <v>78</v>
      </c>
      <c r="F334" s="6"/>
      <c r="G334" s="6" t="s">
        <v>1362</v>
      </c>
      <c r="H334" s="6" t="s">
        <v>1330</v>
      </c>
      <c r="I334" s="6" t="s">
        <v>81</v>
      </c>
      <c r="J334" s="6" t="s">
        <v>621</v>
      </c>
      <c r="K334" s="6" t="s">
        <v>1441</v>
      </c>
      <c r="L334" s="6" t="s">
        <v>1442</v>
      </c>
      <c r="M334" s="6" t="s">
        <v>1983</v>
      </c>
      <c r="N334" s="6"/>
      <c r="O334" s="6"/>
      <c r="P334" s="6" t="s">
        <v>1444</v>
      </c>
      <c r="Q334" s="6"/>
      <c r="R334" s="6"/>
      <c r="S334" s="6"/>
      <c r="T334" s="6"/>
      <c r="U334" s="6"/>
      <c r="V334" s="6"/>
      <c r="W334" s="6"/>
      <c r="X334" s="6"/>
      <c r="Y334" s="6"/>
      <c r="Z334" s="6"/>
      <c r="AA334" s="6" t="s">
        <v>89</v>
      </c>
      <c r="AB334" s="6" t="s">
        <v>1993</v>
      </c>
      <c r="AC334" s="6" t="s">
        <v>1891</v>
      </c>
      <c r="AD334" s="6" t="s">
        <v>1985</v>
      </c>
      <c r="AE334" s="6" t="s">
        <v>1986</v>
      </c>
      <c r="AF334" s="6" t="s">
        <v>1987</v>
      </c>
      <c r="AG334" s="6"/>
      <c r="AH334" s="6"/>
      <c r="AI334" s="7"/>
      <c r="AJ334" s="7"/>
      <c r="AK334" s="7"/>
      <c r="AL334" s="7"/>
      <c r="AM334" s="7"/>
      <c r="AN334" s="7"/>
      <c r="AO334" s="7"/>
      <c r="AP334" s="7"/>
      <c r="AQ334" s="7"/>
      <c r="AR334" s="7"/>
      <c r="AS334" s="7"/>
      <c r="AT334" s="7"/>
      <c r="AU334" s="7"/>
      <c r="AV334" s="7"/>
      <c r="AW334" s="7"/>
      <c r="AX334" s="7"/>
      <c r="AY334" s="7"/>
      <c r="AZ334" s="7"/>
    </row>
    <row r="335" customFormat="false" ht="150" hidden="false" customHeight="true" outlineLevel="0" collapsed="false">
      <c r="A335" s="6" t="s">
        <v>1994</v>
      </c>
      <c r="B335" s="6" t="s">
        <v>1875</v>
      </c>
      <c r="C335" s="6" t="s">
        <v>1876</v>
      </c>
      <c r="D335" s="6" t="s">
        <v>77</v>
      </c>
      <c r="E335" s="6" t="s">
        <v>78</v>
      </c>
      <c r="F335" s="6"/>
      <c r="G335" s="6" t="s">
        <v>1362</v>
      </c>
      <c r="H335" s="6" t="s">
        <v>1330</v>
      </c>
      <c r="I335" s="6" t="s">
        <v>81</v>
      </c>
      <c r="J335" s="6" t="s">
        <v>621</v>
      </c>
      <c r="K335" s="6" t="s">
        <v>1441</v>
      </c>
      <c r="L335" s="6" t="s">
        <v>1442</v>
      </c>
      <c r="M335" s="6" t="s">
        <v>1983</v>
      </c>
      <c r="N335" s="6"/>
      <c r="O335" s="6"/>
      <c r="P335" s="6" t="s">
        <v>1444</v>
      </c>
      <c r="Q335" s="6"/>
      <c r="R335" s="6"/>
      <c r="S335" s="6"/>
      <c r="T335" s="6"/>
      <c r="U335" s="6"/>
      <c r="V335" s="6"/>
      <c r="W335" s="6"/>
      <c r="X335" s="6"/>
      <c r="Y335" s="6"/>
      <c r="Z335" s="6"/>
      <c r="AA335" s="6" t="s">
        <v>89</v>
      </c>
      <c r="AB335" s="6" t="s">
        <v>1995</v>
      </c>
      <c r="AC335" s="6" t="s">
        <v>1894</v>
      </c>
      <c r="AD335" s="6" t="s">
        <v>1985</v>
      </c>
      <c r="AE335" s="6" t="s">
        <v>1986</v>
      </c>
      <c r="AF335" s="6" t="s">
        <v>1987</v>
      </c>
      <c r="AG335" s="6"/>
      <c r="AH335" s="6"/>
      <c r="AI335" s="7"/>
      <c r="AJ335" s="7"/>
      <c r="AK335" s="7"/>
      <c r="AL335" s="7"/>
      <c r="AM335" s="7"/>
      <c r="AN335" s="7"/>
      <c r="AO335" s="7"/>
      <c r="AP335" s="7"/>
      <c r="AQ335" s="7"/>
      <c r="AR335" s="7"/>
      <c r="AS335" s="7"/>
      <c r="AT335" s="7"/>
      <c r="AU335" s="7"/>
      <c r="AV335" s="7"/>
      <c r="AW335" s="7"/>
      <c r="AX335" s="7"/>
      <c r="AY335" s="7"/>
      <c r="AZ335" s="7"/>
    </row>
    <row r="336" customFormat="false" ht="150" hidden="false" customHeight="true" outlineLevel="0" collapsed="false">
      <c r="A336" s="6" t="s">
        <v>1996</v>
      </c>
      <c r="B336" s="6" t="s">
        <v>1875</v>
      </c>
      <c r="C336" s="6" t="s">
        <v>1876</v>
      </c>
      <c r="D336" s="6" t="s">
        <v>77</v>
      </c>
      <c r="E336" s="6" t="s">
        <v>78</v>
      </c>
      <c r="F336" s="6"/>
      <c r="G336" s="6" t="s">
        <v>1362</v>
      </c>
      <c r="H336" s="6" t="s">
        <v>1330</v>
      </c>
      <c r="I336" s="6" t="s">
        <v>81</v>
      </c>
      <c r="J336" s="6" t="s">
        <v>621</v>
      </c>
      <c r="K336" s="6" t="s">
        <v>1441</v>
      </c>
      <c r="L336" s="6" t="s">
        <v>1442</v>
      </c>
      <c r="M336" s="6" t="s">
        <v>1983</v>
      </c>
      <c r="N336" s="6"/>
      <c r="O336" s="6"/>
      <c r="P336" s="6" t="s">
        <v>1444</v>
      </c>
      <c r="Q336" s="6"/>
      <c r="R336" s="6"/>
      <c r="S336" s="6"/>
      <c r="T336" s="6"/>
      <c r="U336" s="6"/>
      <c r="V336" s="6"/>
      <c r="W336" s="6"/>
      <c r="X336" s="6"/>
      <c r="Y336" s="6"/>
      <c r="Z336" s="6"/>
      <c r="AA336" s="6" t="s">
        <v>89</v>
      </c>
      <c r="AB336" s="6" t="s">
        <v>1997</v>
      </c>
      <c r="AC336" s="6" t="s">
        <v>1897</v>
      </c>
      <c r="AD336" s="6" t="s">
        <v>1985</v>
      </c>
      <c r="AE336" s="6" t="s">
        <v>1986</v>
      </c>
      <c r="AF336" s="6" t="s">
        <v>1987</v>
      </c>
      <c r="AG336" s="6"/>
      <c r="AH336" s="6"/>
      <c r="AI336" s="7"/>
      <c r="AJ336" s="7"/>
      <c r="AK336" s="7"/>
      <c r="AL336" s="7"/>
      <c r="AM336" s="7"/>
      <c r="AN336" s="7"/>
      <c r="AO336" s="7"/>
      <c r="AP336" s="7"/>
      <c r="AQ336" s="7"/>
      <c r="AR336" s="7"/>
      <c r="AS336" s="7"/>
      <c r="AT336" s="7"/>
      <c r="AU336" s="7"/>
      <c r="AV336" s="7"/>
      <c r="AW336" s="7"/>
      <c r="AX336" s="7"/>
      <c r="AY336" s="7"/>
      <c r="AZ336" s="7"/>
    </row>
    <row r="337" customFormat="false" ht="150" hidden="false" customHeight="true" outlineLevel="0" collapsed="false">
      <c r="A337" s="6" t="s">
        <v>1998</v>
      </c>
      <c r="B337" s="6" t="s">
        <v>1875</v>
      </c>
      <c r="C337" s="6" t="s">
        <v>1876</v>
      </c>
      <c r="D337" s="6" t="s">
        <v>77</v>
      </c>
      <c r="E337" s="6" t="s">
        <v>78</v>
      </c>
      <c r="F337" s="6"/>
      <c r="G337" s="6" t="s">
        <v>1362</v>
      </c>
      <c r="H337" s="6" t="s">
        <v>1330</v>
      </c>
      <c r="I337" s="6" t="s">
        <v>81</v>
      </c>
      <c r="J337" s="6" t="s">
        <v>621</v>
      </c>
      <c r="K337" s="6" t="s">
        <v>1441</v>
      </c>
      <c r="L337" s="6" t="s">
        <v>1442</v>
      </c>
      <c r="M337" s="6" t="s">
        <v>1983</v>
      </c>
      <c r="N337" s="6"/>
      <c r="O337" s="6"/>
      <c r="P337" s="6" t="s">
        <v>1444</v>
      </c>
      <c r="Q337" s="6"/>
      <c r="R337" s="6"/>
      <c r="S337" s="6"/>
      <c r="T337" s="6"/>
      <c r="U337" s="6"/>
      <c r="V337" s="6"/>
      <c r="W337" s="6"/>
      <c r="X337" s="6"/>
      <c r="Y337" s="6"/>
      <c r="Z337" s="6"/>
      <c r="AA337" s="6" t="s">
        <v>89</v>
      </c>
      <c r="AB337" s="6" t="s">
        <v>1999</v>
      </c>
      <c r="AC337" s="6" t="s">
        <v>1900</v>
      </c>
      <c r="AD337" s="6" t="s">
        <v>1985</v>
      </c>
      <c r="AE337" s="6" t="s">
        <v>1986</v>
      </c>
      <c r="AF337" s="6" t="s">
        <v>1987</v>
      </c>
      <c r="AG337" s="6"/>
      <c r="AH337" s="6"/>
      <c r="AI337" s="7"/>
      <c r="AJ337" s="7"/>
      <c r="AK337" s="7"/>
      <c r="AL337" s="7"/>
      <c r="AM337" s="7"/>
      <c r="AN337" s="7"/>
      <c r="AO337" s="7"/>
      <c r="AP337" s="7"/>
      <c r="AQ337" s="7"/>
      <c r="AR337" s="7"/>
      <c r="AS337" s="7"/>
      <c r="AT337" s="7"/>
      <c r="AU337" s="7"/>
      <c r="AV337" s="7"/>
      <c r="AW337" s="7"/>
      <c r="AX337" s="7"/>
      <c r="AY337" s="7"/>
      <c r="AZ337" s="7"/>
    </row>
    <row r="338" customFormat="false" ht="150" hidden="false" customHeight="true" outlineLevel="0" collapsed="false">
      <c r="A338" s="6" t="s">
        <v>2000</v>
      </c>
      <c r="B338" s="6" t="s">
        <v>1875</v>
      </c>
      <c r="C338" s="6" t="s">
        <v>1876</v>
      </c>
      <c r="D338" s="6" t="s">
        <v>77</v>
      </c>
      <c r="E338" s="6" t="s">
        <v>78</v>
      </c>
      <c r="F338" s="6"/>
      <c r="G338" s="6" t="s">
        <v>1362</v>
      </c>
      <c r="H338" s="6" t="s">
        <v>1330</v>
      </c>
      <c r="I338" s="6" t="s">
        <v>81</v>
      </c>
      <c r="J338" s="6" t="s">
        <v>621</v>
      </c>
      <c r="K338" s="6" t="s">
        <v>1441</v>
      </c>
      <c r="L338" s="6" t="s">
        <v>1442</v>
      </c>
      <c r="M338" s="6" t="s">
        <v>1983</v>
      </c>
      <c r="N338" s="6"/>
      <c r="O338" s="6"/>
      <c r="P338" s="6" t="s">
        <v>1444</v>
      </c>
      <c r="Q338" s="6"/>
      <c r="R338" s="6"/>
      <c r="S338" s="6"/>
      <c r="T338" s="6"/>
      <c r="U338" s="6"/>
      <c r="V338" s="6"/>
      <c r="W338" s="6"/>
      <c r="X338" s="6"/>
      <c r="Y338" s="6"/>
      <c r="Z338" s="6"/>
      <c r="AA338" s="6" t="s">
        <v>89</v>
      </c>
      <c r="AB338" s="6" t="s">
        <v>2001</v>
      </c>
      <c r="AC338" s="6" t="s">
        <v>1903</v>
      </c>
      <c r="AD338" s="6" t="s">
        <v>1985</v>
      </c>
      <c r="AE338" s="6" t="s">
        <v>1986</v>
      </c>
      <c r="AF338" s="6" t="s">
        <v>1987</v>
      </c>
      <c r="AG338" s="6"/>
      <c r="AH338" s="6"/>
      <c r="AI338" s="7"/>
      <c r="AJ338" s="7"/>
      <c r="AK338" s="7"/>
      <c r="AL338" s="7"/>
      <c r="AM338" s="7"/>
      <c r="AN338" s="7"/>
      <c r="AO338" s="7"/>
      <c r="AP338" s="7"/>
      <c r="AQ338" s="7"/>
      <c r="AR338" s="7"/>
      <c r="AS338" s="7"/>
      <c r="AT338" s="7"/>
      <c r="AU338" s="7"/>
      <c r="AV338" s="7"/>
      <c r="AW338" s="7"/>
      <c r="AX338" s="7"/>
      <c r="AY338" s="7"/>
      <c r="AZ338" s="7"/>
    </row>
    <row r="339" customFormat="false" ht="150" hidden="false" customHeight="true" outlineLevel="0" collapsed="false">
      <c r="A339" s="6" t="s">
        <v>2002</v>
      </c>
      <c r="B339" s="6" t="s">
        <v>1875</v>
      </c>
      <c r="C339" s="6" t="s">
        <v>1876</v>
      </c>
      <c r="D339" s="6" t="s">
        <v>77</v>
      </c>
      <c r="E339" s="6" t="s">
        <v>78</v>
      </c>
      <c r="F339" s="6"/>
      <c r="G339" s="6" t="s">
        <v>1362</v>
      </c>
      <c r="H339" s="6" t="s">
        <v>1330</v>
      </c>
      <c r="I339" s="6" t="s">
        <v>81</v>
      </c>
      <c r="J339" s="6" t="s">
        <v>621</v>
      </c>
      <c r="K339" s="6" t="s">
        <v>1441</v>
      </c>
      <c r="L339" s="6" t="s">
        <v>1442</v>
      </c>
      <c r="M339" s="6" t="s">
        <v>1983</v>
      </c>
      <c r="N339" s="6"/>
      <c r="O339" s="6"/>
      <c r="P339" s="6" t="s">
        <v>1444</v>
      </c>
      <c r="Q339" s="6"/>
      <c r="R339" s="6"/>
      <c r="S339" s="6"/>
      <c r="T339" s="6"/>
      <c r="U339" s="6"/>
      <c r="V339" s="6"/>
      <c r="W339" s="6"/>
      <c r="X339" s="6"/>
      <c r="Y339" s="6"/>
      <c r="Z339" s="6"/>
      <c r="AA339" s="6" t="s">
        <v>89</v>
      </c>
      <c r="AB339" s="6" t="s">
        <v>2003</v>
      </c>
      <c r="AC339" s="6" t="s">
        <v>1906</v>
      </c>
      <c r="AD339" s="6" t="s">
        <v>1985</v>
      </c>
      <c r="AE339" s="6" t="s">
        <v>1986</v>
      </c>
      <c r="AF339" s="6" t="s">
        <v>1987</v>
      </c>
      <c r="AG339" s="6"/>
      <c r="AH339" s="6"/>
      <c r="AI339" s="7"/>
      <c r="AJ339" s="7"/>
      <c r="AK339" s="7"/>
      <c r="AL339" s="7"/>
      <c r="AM339" s="7"/>
      <c r="AN339" s="7"/>
      <c r="AO339" s="7"/>
      <c r="AP339" s="7"/>
      <c r="AQ339" s="7"/>
      <c r="AR339" s="7"/>
      <c r="AS339" s="7"/>
      <c r="AT339" s="7"/>
      <c r="AU339" s="7"/>
      <c r="AV339" s="7"/>
      <c r="AW339" s="7"/>
      <c r="AX339" s="7"/>
      <c r="AY339" s="7"/>
      <c r="AZ339" s="7"/>
    </row>
    <row r="340" customFormat="false" ht="150" hidden="false" customHeight="true" outlineLevel="0" collapsed="false">
      <c r="A340" s="6" t="s">
        <v>2004</v>
      </c>
      <c r="B340" s="6" t="s">
        <v>1875</v>
      </c>
      <c r="C340" s="6" t="s">
        <v>1876</v>
      </c>
      <c r="D340" s="6" t="s">
        <v>77</v>
      </c>
      <c r="E340" s="6" t="s">
        <v>78</v>
      </c>
      <c r="F340" s="6"/>
      <c r="G340" s="6" t="s">
        <v>1362</v>
      </c>
      <c r="H340" s="6" t="s">
        <v>1330</v>
      </c>
      <c r="I340" s="6" t="s">
        <v>81</v>
      </c>
      <c r="J340" s="6" t="s">
        <v>621</v>
      </c>
      <c r="K340" s="6" t="s">
        <v>1441</v>
      </c>
      <c r="L340" s="6" t="s">
        <v>1442</v>
      </c>
      <c r="M340" s="6" t="s">
        <v>1983</v>
      </c>
      <c r="N340" s="6"/>
      <c r="O340" s="6"/>
      <c r="P340" s="6" t="s">
        <v>1444</v>
      </c>
      <c r="Q340" s="6"/>
      <c r="R340" s="6"/>
      <c r="S340" s="6"/>
      <c r="T340" s="6"/>
      <c r="U340" s="6"/>
      <c r="V340" s="6"/>
      <c r="W340" s="6"/>
      <c r="X340" s="6"/>
      <c r="Y340" s="6"/>
      <c r="Z340" s="6"/>
      <c r="AA340" s="6" t="s">
        <v>89</v>
      </c>
      <c r="AB340" s="6" t="s">
        <v>2005</v>
      </c>
      <c r="AC340" s="6" t="s">
        <v>1909</v>
      </c>
      <c r="AD340" s="6" t="s">
        <v>1985</v>
      </c>
      <c r="AE340" s="6" t="s">
        <v>1986</v>
      </c>
      <c r="AF340" s="6" t="s">
        <v>1987</v>
      </c>
      <c r="AG340" s="6"/>
      <c r="AH340" s="6"/>
      <c r="AI340" s="7"/>
      <c r="AJ340" s="7"/>
      <c r="AK340" s="7"/>
      <c r="AL340" s="7"/>
      <c r="AM340" s="7"/>
      <c r="AN340" s="7"/>
      <c r="AO340" s="7"/>
      <c r="AP340" s="7"/>
      <c r="AQ340" s="7"/>
      <c r="AR340" s="7"/>
      <c r="AS340" s="7"/>
      <c r="AT340" s="7"/>
      <c r="AU340" s="7"/>
      <c r="AV340" s="7"/>
      <c r="AW340" s="7"/>
      <c r="AX340" s="7"/>
      <c r="AY340" s="7"/>
      <c r="AZ340" s="7"/>
    </row>
    <row r="341" customFormat="false" ht="150" hidden="false" customHeight="true" outlineLevel="0" collapsed="false">
      <c r="A341" s="6" t="s">
        <v>2006</v>
      </c>
      <c r="B341" s="6" t="s">
        <v>1875</v>
      </c>
      <c r="C341" s="6" t="s">
        <v>1876</v>
      </c>
      <c r="D341" s="6" t="s">
        <v>77</v>
      </c>
      <c r="E341" s="6" t="s">
        <v>78</v>
      </c>
      <c r="F341" s="6"/>
      <c r="G341" s="6" t="s">
        <v>1362</v>
      </c>
      <c r="H341" s="6" t="s">
        <v>1330</v>
      </c>
      <c r="I341" s="6" t="s">
        <v>81</v>
      </c>
      <c r="J341" s="6" t="s">
        <v>621</v>
      </c>
      <c r="K341" s="6" t="s">
        <v>177</v>
      </c>
      <c r="L341" s="6" t="s">
        <v>178</v>
      </c>
      <c r="M341" s="6" t="s">
        <v>2007</v>
      </c>
      <c r="N341" s="6"/>
      <c r="O341" s="6"/>
      <c r="P341" s="6" t="s">
        <v>179</v>
      </c>
      <c r="Q341" s="6"/>
      <c r="R341" s="6" t="s">
        <v>180</v>
      </c>
      <c r="S341" s="6"/>
      <c r="T341" s="6"/>
      <c r="U341" s="6"/>
      <c r="V341" s="6"/>
      <c r="W341" s="6"/>
      <c r="X341" s="6"/>
      <c r="Y341" s="6"/>
      <c r="Z341" s="6"/>
      <c r="AA341" s="6" t="s">
        <v>89</v>
      </c>
      <c r="AB341" s="6" t="s">
        <v>2008</v>
      </c>
      <c r="AC341" s="6" t="s">
        <v>1879</v>
      </c>
      <c r="AD341" s="6" t="s">
        <v>2009</v>
      </c>
      <c r="AE341" s="6" t="s">
        <v>2010</v>
      </c>
      <c r="AF341" s="6" t="s">
        <v>2011</v>
      </c>
      <c r="AG341" s="6"/>
      <c r="AH341" s="6"/>
      <c r="AI341" s="7"/>
      <c r="AJ341" s="7"/>
      <c r="AK341" s="7"/>
      <c r="AL341" s="7"/>
      <c r="AM341" s="7"/>
      <c r="AN341" s="7"/>
      <c r="AO341" s="7"/>
      <c r="AP341" s="7"/>
      <c r="AQ341" s="7"/>
      <c r="AR341" s="7"/>
      <c r="AS341" s="7"/>
      <c r="AT341" s="7"/>
      <c r="AU341" s="7"/>
      <c r="AV341" s="7"/>
      <c r="AW341" s="7"/>
      <c r="AX341" s="7"/>
      <c r="AY341" s="7"/>
      <c r="AZ341" s="7"/>
    </row>
    <row r="342" customFormat="false" ht="150" hidden="false" customHeight="true" outlineLevel="0" collapsed="false">
      <c r="A342" s="6" t="s">
        <v>2012</v>
      </c>
      <c r="B342" s="6" t="s">
        <v>1875</v>
      </c>
      <c r="C342" s="6" t="s">
        <v>1876</v>
      </c>
      <c r="D342" s="6" t="s">
        <v>77</v>
      </c>
      <c r="E342" s="6" t="s">
        <v>78</v>
      </c>
      <c r="F342" s="6"/>
      <c r="G342" s="6" t="s">
        <v>1362</v>
      </c>
      <c r="H342" s="6" t="s">
        <v>1330</v>
      </c>
      <c r="I342" s="6" t="s">
        <v>81</v>
      </c>
      <c r="J342" s="6" t="s">
        <v>621</v>
      </c>
      <c r="K342" s="6" t="s">
        <v>177</v>
      </c>
      <c r="L342" s="6" t="s">
        <v>178</v>
      </c>
      <c r="M342" s="6" t="s">
        <v>2007</v>
      </c>
      <c r="N342" s="6"/>
      <c r="O342" s="6"/>
      <c r="P342" s="6" t="s">
        <v>179</v>
      </c>
      <c r="Q342" s="6"/>
      <c r="R342" s="6" t="s">
        <v>180</v>
      </c>
      <c r="S342" s="6"/>
      <c r="T342" s="6"/>
      <c r="U342" s="6"/>
      <c r="V342" s="6"/>
      <c r="W342" s="6"/>
      <c r="X342" s="6"/>
      <c r="Y342" s="6"/>
      <c r="Z342" s="6"/>
      <c r="AA342" s="6" t="s">
        <v>89</v>
      </c>
      <c r="AB342" s="6" t="s">
        <v>2013</v>
      </c>
      <c r="AC342" s="6" t="s">
        <v>1885</v>
      </c>
      <c r="AD342" s="6" t="s">
        <v>2009</v>
      </c>
      <c r="AE342" s="6" t="s">
        <v>2010</v>
      </c>
      <c r="AF342" s="6" t="s">
        <v>2011</v>
      </c>
      <c r="AG342" s="6"/>
      <c r="AH342" s="6"/>
      <c r="AI342" s="7"/>
      <c r="AJ342" s="7"/>
      <c r="AK342" s="7"/>
      <c r="AL342" s="7"/>
      <c r="AM342" s="7"/>
      <c r="AN342" s="7"/>
      <c r="AO342" s="7"/>
      <c r="AP342" s="7"/>
      <c r="AQ342" s="7"/>
      <c r="AR342" s="7"/>
      <c r="AS342" s="7"/>
      <c r="AT342" s="7"/>
      <c r="AU342" s="7"/>
      <c r="AV342" s="7"/>
      <c r="AW342" s="7"/>
      <c r="AX342" s="7"/>
      <c r="AY342" s="7"/>
      <c r="AZ342" s="7"/>
    </row>
    <row r="343" customFormat="false" ht="150" hidden="false" customHeight="true" outlineLevel="0" collapsed="false">
      <c r="A343" s="6" t="s">
        <v>2014</v>
      </c>
      <c r="B343" s="6" t="s">
        <v>1875</v>
      </c>
      <c r="C343" s="6" t="s">
        <v>1876</v>
      </c>
      <c r="D343" s="6" t="s">
        <v>77</v>
      </c>
      <c r="E343" s="6" t="s">
        <v>78</v>
      </c>
      <c r="F343" s="6"/>
      <c r="G343" s="6" t="s">
        <v>1362</v>
      </c>
      <c r="H343" s="6" t="s">
        <v>1330</v>
      </c>
      <c r="I343" s="6" t="s">
        <v>81</v>
      </c>
      <c r="J343" s="6" t="s">
        <v>621</v>
      </c>
      <c r="K343" s="6" t="s">
        <v>177</v>
      </c>
      <c r="L343" s="6" t="s">
        <v>178</v>
      </c>
      <c r="M343" s="6" t="s">
        <v>2007</v>
      </c>
      <c r="N343" s="6"/>
      <c r="O343" s="6"/>
      <c r="P343" s="6" t="s">
        <v>179</v>
      </c>
      <c r="Q343" s="6"/>
      <c r="R343" s="6" t="s">
        <v>180</v>
      </c>
      <c r="S343" s="6"/>
      <c r="T343" s="6"/>
      <c r="U343" s="6"/>
      <c r="V343" s="6"/>
      <c r="W343" s="6"/>
      <c r="X343" s="6"/>
      <c r="Y343" s="6"/>
      <c r="Z343" s="6"/>
      <c r="AA343" s="6" t="s">
        <v>89</v>
      </c>
      <c r="AB343" s="6" t="s">
        <v>2015</v>
      </c>
      <c r="AC343" s="6" t="s">
        <v>1888</v>
      </c>
      <c r="AD343" s="6" t="s">
        <v>2009</v>
      </c>
      <c r="AE343" s="6" t="s">
        <v>2010</v>
      </c>
      <c r="AF343" s="6" t="s">
        <v>2011</v>
      </c>
      <c r="AG343" s="6"/>
      <c r="AH343" s="6"/>
      <c r="AI343" s="7"/>
      <c r="AJ343" s="7"/>
      <c r="AK343" s="7"/>
      <c r="AL343" s="7"/>
      <c r="AM343" s="7"/>
      <c r="AN343" s="7"/>
      <c r="AO343" s="7"/>
      <c r="AP343" s="7"/>
      <c r="AQ343" s="7"/>
      <c r="AR343" s="7"/>
      <c r="AS343" s="7"/>
      <c r="AT343" s="7"/>
      <c r="AU343" s="7"/>
      <c r="AV343" s="7"/>
      <c r="AW343" s="7"/>
      <c r="AX343" s="7"/>
      <c r="AY343" s="7"/>
      <c r="AZ343" s="7"/>
    </row>
    <row r="344" customFormat="false" ht="150" hidden="false" customHeight="true" outlineLevel="0" collapsed="false">
      <c r="A344" s="6" t="s">
        <v>2016</v>
      </c>
      <c r="B344" s="6" t="s">
        <v>1875</v>
      </c>
      <c r="C344" s="6" t="s">
        <v>1876</v>
      </c>
      <c r="D344" s="6" t="s">
        <v>77</v>
      </c>
      <c r="E344" s="6" t="s">
        <v>78</v>
      </c>
      <c r="F344" s="6"/>
      <c r="G344" s="6" t="s">
        <v>1362</v>
      </c>
      <c r="H344" s="6" t="s">
        <v>1330</v>
      </c>
      <c r="I344" s="6" t="s">
        <v>81</v>
      </c>
      <c r="J344" s="6" t="s">
        <v>621</v>
      </c>
      <c r="K344" s="6" t="s">
        <v>177</v>
      </c>
      <c r="L344" s="6" t="s">
        <v>178</v>
      </c>
      <c r="M344" s="6" t="s">
        <v>2007</v>
      </c>
      <c r="N344" s="6"/>
      <c r="O344" s="6"/>
      <c r="P344" s="6" t="s">
        <v>179</v>
      </c>
      <c r="Q344" s="6"/>
      <c r="R344" s="6" t="s">
        <v>180</v>
      </c>
      <c r="S344" s="6"/>
      <c r="T344" s="6"/>
      <c r="U344" s="6"/>
      <c r="V344" s="6"/>
      <c r="W344" s="6"/>
      <c r="X344" s="6"/>
      <c r="Y344" s="6"/>
      <c r="Z344" s="6"/>
      <c r="AA344" s="6" t="s">
        <v>89</v>
      </c>
      <c r="AB344" s="6" t="s">
        <v>2017</v>
      </c>
      <c r="AC344" s="6" t="s">
        <v>1891</v>
      </c>
      <c r="AD344" s="6" t="s">
        <v>2009</v>
      </c>
      <c r="AE344" s="6" t="s">
        <v>2010</v>
      </c>
      <c r="AF344" s="6" t="s">
        <v>2011</v>
      </c>
      <c r="AG344" s="6"/>
      <c r="AH344" s="6"/>
      <c r="AI344" s="7"/>
      <c r="AJ344" s="7"/>
      <c r="AK344" s="7"/>
      <c r="AL344" s="7"/>
      <c r="AM344" s="7"/>
      <c r="AN344" s="7"/>
      <c r="AO344" s="7"/>
      <c r="AP344" s="7"/>
      <c r="AQ344" s="7"/>
      <c r="AR344" s="7"/>
      <c r="AS344" s="7"/>
      <c r="AT344" s="7"/>
      <c r="AU344" s="7"/>
      <c r="AV344" s="7"/>
      <c r="AW344" s="7"/>
      <c r="AX344" s="7"/>
      <c r="AY344" s="7"/>
      <c r="AZ344" s="7"/>
    </row>
    <row r="345" customFormat="false" ht="150" hidden="false" customHeight="true" outlineLevel="0" collapsed="false">
      <c r="A345" s="6" t="s">
        <v>2018</v>
      </c>
      <c r="B345" s="6" t="s">
        <v>1875</v>
      </c>
      <c r="C345" s="6" t="s">
        <v>1876</v>
      </c>
      <c r="D345" s="6" t="s">
        <v>77</v>
      </c>
      <c r="E345" s="6" t="s">
        <v>78</v>
      </c>
      <c r="F345" s="6"/>
      <c r="G345" s="6" t="s">
        <v>1362</v>
      </c>
      <c r="H345" s="6" t="s">
        <v>1330</v>
      </c>
      <c r="I345" s="6" t="s">
        <v>81</v>
      </c>
      <c r="J345" s="6" t="s">
        <v>621</v>
      </c>
      <c r="K345" s="6" t="s">
        <v>177</v>
      </c>
      <c r="L345" s="6" t="s">
        <v>178</v>
      </c>
      <c r="M345" s="6" t="s">
        <v>2007</v>
      </c>
      <c r="N345" s="6"/>
      <c r="O345" s="6"/>
      <c r="P345" s="6" t="s">
        <v>179</v>
      </c>
      <c r="Q345" s="6"/>
      <c r="R345" s="6" t="s">
        <v>180</v>
      </c>
      <c r="S345" s="6"/>
      <c r="T345" s="6"/>
      <c r="U345" s="6"/>
      <c r="V345" s="6"/>
      <c r="W345" s="6"/>
      <c r="X345" s="6"/>
      <c r="Y345" s="6"/>
      <c r="Z345" s="6"/>
      <c r="AA345" s="6" t="s">
        <v>89</v>
      </c>
      <c r="AB345" s="6" t="s">
        <v>2019</v>
      </c>
      <c r="AC345" s="6" t="s">
        <v>1894</v>
      </c>
      <c r="AD345" s="6" t="s">
        <v>2009</v>
      </c>
      <c r="AE345" s="6" t="s">
        <v>2010</v>
      </c>
      <c r="AF345" s="6" t="s">
        <v>2011</v>
      </c>
      <c r="AG345" s="6"/>
      <c r="AH345" s="6"/>
      <c r="AI345" s="7"/>
      <c r="AJ345" s="7"/>
      <c r="AK345" s="7"/>
      <c r="AL345" s="7"/>
      <c r="AM345" s="7"/>
      <c r="AN345" s="7"/>
      <c r="AO345" s="7"/>
      <c r="AP345" s="7"/>
      <c r="AQ345" s="7"/>
      <c r="AR345" s="7"/>
      <c r="AS345" s="7"/>
      <c r="AT345" s="7"/>
      <c r="AU345" s="7"/>
      <c r="AV345" s="7"/>
      <c r="AW345" s="7"/>
      <c r="AX345" s="7"/>
      <c r="AY345" s="7"/>
      <c r="AZ345" s="7"/>
    </row>
    <row r="346" customFormat="false" ht="150" hidden="false" customHeight="true" outlineLevel="0" collapsed="false">
      <c r="A346" s="6" t="s">
        <v>2020</v>
      </c>
      <c r="B346" s="6" t="s">
        <v>1875</v>
      </c>
      <c r="C346" s="6" t="s">
        <v>1876</v>
      </c>
      <c r="D346" s="6" t="s">
        <v>77</v>
      </c>
      <c r="E346" s="6" t="s">
        <v>78</v>
      </c>
      <c r="F346" s="6"/>
      <c r="G346" s="6" t="s">
        <v>1362</v>
      </c>
      <c r="H346" s="6" t="s">
        <v>1330</v>
      </c>
      <c r="I346" s="6" t="s">
        <v>81</v>
      </c>
      <c r="J346" s="6" t="s">
        <v>621</v>
      </c>
      <c r="K346" s="6" t="s">
        <v>177</v>
      </c>
      <c r="L346" s="6" t="s">
        <v>178</v>
      </c>
      <c r="M346" s="6" t="s">
        <v>2007</v>
      </c>
      <c r="N346" s="6"/>
      <c r="O346" s="6"/>
      <c r="P346" s="6" t="s">
        <v>179</v>
      </c>
      <c r="Q346" s="6"/>
      <c r="R346" s="6" t="s">
        <v>180</v>
      </c>
      <c r="S346" s="6"/>
      <c r="T346" s="6"/>
      <c r="U346" s="6"/>
      <c r="V346" s="6"/>
      <c r="W346" s="6"/>
      <c r="X346" s="6"/>
      <c r="Y346" s="6"/>
      <c r="Z346" s="6"/>
      <c r="AA346" s="6" t="s">
        <v>89</v>
      </c>
      <c r="AB346" s="6" t="s">
        <v>2021</v>
      </c>
      <c r="AC346" s="6" t="s">
        <v>1897</v>
      </c>
      <c r="AD346" s="6" t="s">
        <v>2009</v>
      </c>
      <c r="AE346" s="6" t="s">
        <v>2010</v>
      </c>
      <c r="AF346" s="6" t="s">
        <v>2011</v>
      </c>
      <c r="AG346" s="6"/>
      <c r="AH346" s="6"/>
      <c r="AI346" s="7"/>
      <c r="AJ346" s="7"/>
      <c r="AK346" s="7"/>
      <c r="AL346" s="7"/>
      <c r="AM346" s="7"/>
      <c r="AN346" s="7"/>
      <c r="AO346" s="7"/>
      <c r="AP346" s="7"/>
      <c r="AQ346" s="7"/>
      <c r="AR346" s="7"/>
      <c r="AS346" s="7"/>
      <c r="AT346" s="7"/>
      <c r="AU346" s="7"/>
      <c r="AV346" s="7"/>
      <c r="AW346" s="7"/>
      <c r="AX346" s="7"/>
      <c r="AY346" s="7"/>
      <c r="AZ346" s="7"/>
    </row>
    <row r="347" customFormat="false" ht="150" hidden="false" customHeight="true" outlineLevel="0" collapsed="false">
      <c r="A347" s="6" t="s">
        <v>2022</v>
      </c>
      <c r="B347" s="6" t="s">
        <v>1875</v>
      </c>
      <c r="C347" s="6" t="s">
        <v>1876</v>
      </c>
      <c r="D347" s="6" t="s">
        <v>77</v>
      </c>
      <c r="E347" s="6" t="s">
        <v>78</v>
      </c>
      <c r="F347" s="6"/>
      <c r="G347" s="6" t="s">
        <v>1362</v>
      </c>
      <c r="H347" s="6" t="s">
        <v>1330</v>
      </c>
      <c r="I347" s="6" t="s">
        <v>81</v>
      </c>
      <c r="J347" s="6" t="s">
        <v>621</v>
      </c>
      <c r="K347" s="6" t="s">
        <v>177</v>
      </c>
      <c r="L347" s="6" t="s">
        <v>178</v>
      </c>
      <c r="M347" s="6" t="s">
        <v>2007</v>
      </c>
      <c r="N347" s="6"/>
      <c r="O347" s="6"/>
      <c r="P347" s="6" t="s">
        <v>179</v>
      </c>
      <c r="Q347" s="6"/>
      <c r="R347" s="6" t="s">
        <v>180</v>
      </c>
      <c r="S347" s="6"/>
      <c r="T347" s="6"/>
      <c r="U347" s="6"/>
      <c r="V347" s="6"/>
      <c r="W347" s="6"/>
      <c r="X347" s="6"/>
      <c r="Y347" s="6"/>
      <c r="Z347" s="6"/>
      <c r="AA347" s="6" t="s">
        <v>89</v>
      </c>
      <c r="AB347" s="6" t="s">
        <v>2023</v>
      </c>
      <c r="AC347" s="6" t="s">
        <v>1900</v>
      </c>
      <c r="AD347" s="6" t="s">
        <v>2009</v>
      </c>
      <c r="AE347" s="6" t="s">
        <v>2010</v>
      </c>
      <c r="AF347" s="6" t="s">
        <v>2011</v>
      </c>
      <c r="AG347" s="6"/>
      <c r="AH347" s="6"/>
      <c r="AI347" s="7"/>
      <c r="AJ347" s="7"/>
      <c r="AK347" s="7"/>
      <c r="AL347" s="7"/>
      <c r="AM347" s="7"/>
      <c r="AN347" s="7"/>
      <c r="AO347" s="7"/>
      <c r="AP347" s="7"/>
      <c r="AQ347" s="7"/>
      <c r="AR347" s="7"/>
      <c r="AS347" s="7"/>
      <c r="AT347" s="7"/>
      <c r="AU347" s="7"/>
      <c r="AV347" s="7"/>
      <c r="AW347" s="7"/>
      <c r="AX347" s="7"/>
      <c r="AY347" s="7"/>
      <c r="AZ347" s="7"/>
    </row>
    <row r="348" customFormat="false" ht="150" hidden="false" customHeight="true" outlineLevel="0" collapsed="false">
      <c r="A348" s="6" t="s">
        <v>2024</v>
      </c>
      <c r="B348" s="6" t="s">
        <v>1875</v>
      </c>
      <c r="C348" s="6" t="s">
        <v>1876</v>
      </c>
      <c r="D348" s="6" t="s">
        <v>77</v>
      </c>
      <c r="E348" s="6" t="s">
        <v>78</v>
      </c>
      <c r="F348" s="6"/>
      <c r="G348" s="6" t="s">
        <v>1362</v>
      </c>
      <c r="H348" s="6" t="s">
        <v>1330</v>
      </c>
      <c r="I348" s="6" t="s">
        <v>81</v>
      </c>
      <c r="J348" s="6" t="s">
        <v>621</v>
      </c>
      <c r="K348" s="6" t="s">
        <v>177</v>
      </c>
      <c r="L348" s="6" t="s">
        <v>178</v>
      </c>
      <c r="M348" s="6" t="s">
        <v>2007</v>
      </c>
      <c r="N348" s="6"/>
      <c r="O348" s="6"/>
      <c r="P348" s="6" t="s">
        <v>179</v>
      </c>
      <c r="Q348" s="6"/>
      <c r="R348" s="6" t="s">
        <v>180</v>
      </c>
      <c r="S348" s="6"/>
      <c r="T348" s="6"/>
      <c r="U348" s="6"/>
      <c r="V348" s="6"/>
      <c r="W348" s="6"/>
      <c r="X348" s="6"/>
      <c r="Y348" s="6"/>
      <c r="Z348" s="6"/>
      <c r="AA348" s="6" t="s">
        <v>89</v>
      </c>
      <c r="AB348" s="6" t="s">
        <v>2025</v>
      </c>
      <c r="AC348" s="6" t="s">
        <v>1903</v>
      </c>
      <c r="AD348" s="6" t="s">
        <v>2009</v>
      </c>
      <c r="AE348" s="6" t="s">
        <v>2010</v>
      </c>
      <c r="AF348" s="6" t="s">
        <v>2011</v>
      </c>
      <c r="AG348" s="6"/>
      <c r="AH348" s="6"/>
      <c r="AI348" s="7"/>
      <c r="AJ348" s="7"/>
      <c r="AK348" s="7"/>
      <c r="AL348" s="7"/>
      <c r="AM348" s="7"/>
      <c r="AN348" s="7"/>
      <c r="AO348" s="7"/>
      <c r="AP348" s="7"/>
      <c r="AQ348" s="7"/>
      <c r="AR348" s="7"/>
      <c r="AS348" s="7"/>
      <c r="AT348" s="7"/>
      <c r="AU348" s="7"/>
      <c r="AV348" s="7"/>
      <c r="AW348" s="7"/>
      <c r="AX348" s="7"/>
      <c r="AY348" s="7"/>
      <c r="AZ348" s="7"/>
    </row>
    <row r="349" customFormat="false" ht="150" hidden="false" customHeight="true" outlineLevel="0" collapsed="false">
      <c r="A349" s="6" t="s">
        <v>2026</v>
      </c>
      <c r="B349" s="6" t="s">
        <v>1875</v>
      </c>
      <c r="C349" s="6" t="s">
        <v>1876</v>
      </c>
      <c r="D349" s="6" t="s">
        <v>77</v>
      </c>
      <c r="E349" s="6" t="s">
        <v>78</v>
      </c>
      <c r="F349" s="6"/>
      <c r="G349" s="6" t="s">
        <v>1362</v>
      </c>
      <c r="H349" s="6" t="s">
        <v>1330</v>
      </c>
      <c r="I349" s="6" t="s">
        <v>81</v>
      </c>
      <c r="J349" s="6" t="s">
        <v>621</v>
      </c>
      <c r="K349" s="6" t="s">
        <v>177</v>
      </c>
      <c r="L349" s="6" t="s">
        <v>178</v>
      </c>
      <c r="M349" s="6" t="s">
        <v>2007</v>
      </c>
      <c r="N349" s="6"/>
      <c r="O349" s="6"/>
      <c r="P349" s="6" t="s">
        <v>179</v>
      </c>
      <c r="Q349" s="6"/>
      <c r="R349" s="6" t="s">
        <v>180</v>
      </c>
      <c r="S349" s="6"/>
      <c r="T349" s="6"/>
      <c r="U349" s="6"/>
      <c r="V349" s="6"/>
      <c r="W349" s="6"/>
      <c r="X349" s="6"/>
      <c r="Y349" s="6"/>
      <c r="Z349" s="6"/>
      <c r="AA349" s="6" t="s">
        <v>89</v>
      </c>
      <c r="AB349" s="6" t="s">
        <v>2027</v>
      </c>
      <c r="AC349" s="6" t="s">
        <v>1906</v>
      </c>
      <c r="AD349" s="6" t="s">
        <v>2009</v>
      </c>
      <c r="AE349" s="6" t="s">
        <v>2010</v>
      </c>
      <c r="AF349" s="6" t="s">
        <v>2011</v>
      </c>
      <c r="AG349" s="6"/>
      <c r="AH349" s="6"/>
      <c r="AI349" s="7"/>
      <c r="AJ349" s="7"/>
      <c r="AK349" s="7"/>
      <c r="AL349" s="7"/>
      <c r="AM349" s="7"/>
      <c r="AN349" s="7"/>
      <c r="AO349" s="7"/>
      <c r="AP349" s="7"/>
      <c r="AQ349" s="7"/>
      <c r="AR349" s="7"/>
      <c r="AS349" s="7"/>
      <c r="AT349" s="7"/>
      <c r="AU349" s="7"/>
      <c r="AV349" s="7"/>
      <c r="AW349" s="7"/>
      <c r="AX349" s="7"/>
      <c r="AY349" s="7"/>
      <c r="AZ349" s="7"/>
    </row>
    <row r="350" customFormat="false" ht="150" hidden="false" customHeight="true" outlineLevel="0" collapsed="false">
      <c r="A350" s="6" t="s">
        <v>2028</v>
      </c>
      <c r="B350" s="6" t="s">
        <v>1875</v>
      </c>
      <c r="C350" s="6" t="s">
        <v>1876</v>
      </c>
      <c r="D350" s="6" t="s">
        <v>77</v>
      </c>
      <c r="E350" s="6" t="s">
        <v>78</v>
      </c>
      <c r="F350" s="6"/>
      <c r="G350" s="6" t="s">
        <v>1362</v>
      </c>
      <c r="H350" s="6" t="s">
        <v>1330</v>
      </c>
      <c r="I350" s="6" t="s">
        <v>81</v>
      </c>
      <c r="J350" s="6" t="s">
        <v>621</v>
      </c>
      <c r="K350" s="6" t="s">
        <v>177</v>
      </c>
      <c r="L350" s="6" t="s">
        <v>178</v>
      </c>
      <c r="M350" s="6" t="s">
        <v>2007</v>
      </c>
      <c r="N350" s="6"/>
      <c r="O350" s="6"/>
      <c r="P350" s="6" t="s">
        <v>179</v>
      </c>
      <c r="Q350" s="6"/>
      <c r="R350" s="6" t="s">
        <v>180</v>
      </c>
      <c r="S350" s="6"/>
      <c r="T350" s="6"/>
      <c r="U350" s="6"/>
      <c r="V350" s="6"/>
      <c r="W350" s="6"/>
      <c r="X350" s="6"/>
      <c r="Y350" s="6"/>
      <c r="Z350" s="6"/>
      <c r="AA350" s="6" t="s">
        <v>89</v>
      </c>
      <c r="AB350" s="6" t="s">
        <v>2029</v>
      </c>
      <c r="AC350" s="6" t="s">
        <v>1909</v>
      </c>
      <c r="AD350" s="6" t="s">
        <v>2009</v>
      </c>
      <c r="AE350" s="6" t="s">
        <v>2010</v>
      </c>
      <c r="AF350" s="6" t="s">
        <v>2011</v>
      </c>
      <c r="AG350" s="6"/>
      <c r="AH350" s="6"/>
      <c r="AI350" s="7"/>
      <c r="AJ350" s="7"/>
      <c r="AK350" s="7"/>
      <c r="AL350" s="7"/>
      <c r="AM350" s="7"/>
      <c r="AN350" s="7"/>
      <c r="AO350" s="7"/>
      <c r="AP350" s="7"/>
      <c r="AQ350" s="7"/>
      <c r="AR350" s="7"/>
      <c r="AS350" s="7"/>
      <c r="AT350" s="7"/>
      <c r="AU350" s="7"/>
      <c r="AV350" s="7"/>
      <c r="AW350" s="7"/>
      <c r="AX350" s="7"/>
      <c r="AY350" s="7"/>
      <c r="AZ350" s="7"/>
    </row>
    <row r="351" customFormat="false" ht="150" hidden="false" customHeight="true" outlineLevel="0" collapsed="false">
      <c r="A351" s="6" t="s">
        <v>2030</v>
      </c>
      <c r="B351" s="6" t="s">
        <v>1875</v>
      </c>
      <c r="C351" s="6" t="s">
        <v>1876</v>
      </c>
      <c r="D351" s="6" t="s">
        <v>77</v>
      </c>
      <c r="E351" s="6" t="s">
        <v>78</v>
      </c>
      <c r="F351" s="6"/>
      <c r="G351" s="6" t="s">
        <v>1362</v>
      </c>
      <c r="H351" s="6" t="s">
        <v>1330</v>
      </c>
      <c r="I351" s="6" t="s">
        <v>81</v>
      </c>
      <c r="J351" s="6" t="s">
        <v>621</v>
      </c>
      <c r="K351" s="6" t="s">
        <v>1482</v>
      </c>
      <c r="L351" s="6" t="s">
        <v>1483</v>
      </c>
      <c r="M351" s="6" t="s">
        <v>2031</v>
      </c>
      <c r="N351" s="6"/>
      <c r="O351" s="6"/>
      <c r="P351" s="6" t="s">
        <v>1485</v>
      </c>
      <c r="Q351" s="6"/>
      <c r="R351" s="6" t="s">
        <v>259</v>
      </c>
      <c r="S351" s="6"/>
      <c r="T351" s="6"/>
      <c r="U351" s="6"/>
      <c r="V351" s="6"/>
      <c r="W351" s="6"/>
      <c r="X351" s="6"/>
      <c r="Y351" s="6"/>
      <c r="Z351" s="6"/>
      <c r="AA351" s="6" t="s">
        <v>89</v>
      </c>
      <c r="AB351" s="6" t="s">
        <v>2032</v>
      </c>
      <c r="AC351" s="6" t="s">
        <v>1879</v>
      </c>
      <c r="AD351" s="6" t="s">
        <v>2033</v>
      </c>
      <c r="AE351" s="6" t="s">
        <v>2034</v>
      </c>
      <c r="AF351" s="6" t="s">
        <v>2035</v>
      </c>
      <c r="AG351" s="6"/>
      <c r="AH351" s="6"/>
      <c r="AI351" s="7"/>
      <c r="AJ351" s="7"/>
      <c r="AK351" s="7"/>
      <c r="AL351" s="7"/>
      <c r="AM351" s="7"/>
      <c r="AN351" s="7"/>
      <c r="AO351" s="7"/>
      <c r="AP351" s="7"/>
      <c r="AQ351" s="7"/>
      <c r="AR351" s="7"/>
      <c r="AS351" s="7"/>
      <c r="AT351" s="7"/>
      <c r="AU351" s="7"/>
      <c r="AV351" s="7"/>
      <c r="AW351" s="7"/>
      <c r="AX351" s="7"/>
      <c r="AY351" s="7"/>
      <c r="AZ351" s="7"/>
    </row>
    <row r="352" customFormat="false" ht="150" hidden="false" customHeight="true" outlineLevel="0" collapsed="false">
      <c r="A352" s="6" t="s">
        <v>2036</v>
      </c>
      <c r="B352" s="6" t="s">
        <v>1875</v>
      </c>
      <c r="C352" s="6" t="s">
        <v>1876</v>
      </c>
      <c r="D352" s="6" t="s">
        <v>77</v>
      </c>
      <c r="E352" s="6" t="s">
        <v>78</v>
      </c>
      <c r="F352" s="6"/>
      <c r="G352" s="6" t="s">
        <v>1362</v>
      </c>
      <c r="H352" s="6" t="s">
        <v>1330</v>
      </c>
      <c r="I352" s="6" t="s">
        <v>81</v>
      </c>
      <c r="J352" s="6" t="s">
        <v>621</v>
      </c>
      <c r="K352" s="6" t="s">
        <v>1482</v>
      </c>
      <c r="L352" s="6" t="s">
        <v>1483</v>
      </c>
      <c r="M352" s="6" t="s">
        <v>2031</v>
      </c>
      <c r="N352" s="6"/>
      <c r="O352" s="6"/>
      <c r="P352" s="6" t="s">
        <v>1485</v>
      </c>
      <c r="Q352" s="6"/>
      <c r="R352" s="6" t="s">
        <v>259</v>
      </c>
      <c r="S352" s="6"/>
      <c r="T352" s="6"/>
      <c r="U352" s="6"/>
      <c r="V352" s="6"/>
      <c r="W352" s="6"/>
      <c r="X352" s="6"/>
      <c r="Y352" s="6"/>
      <c r="Z352" s="6"/>
      <c r="AA352" s="6" t="s">
        <v>89</v>
      </c>
      <c r="AB352" s="6" t="s">
        <v>2037</v>
      </c>
      <c r="AC352" s="6" t="s">
        <v>1885</v>
      </c>
      <c r="AD352" s="6" t="s">
        <v>2033</v>
      </c>
      <c r="AE352" s="6" t="s">
        <v>2034</v>
      </c>
      <c r="AF352" s="6" t="s">
        <v>2035</v>
      </c>
      <c r="AG352" s="6"/>
      <c r="AH352" s="6"/>
      <c r="AI352" s="7"/>
      <c r="AJ352" s="7"/>
      <c r="AK352" s="7"/>
      <c r="AL352" s="7"/>
      <c r="AM352" s="7"/>
      <c r="AN352" s="7"/>
      <c r="AO352" s="7"/>
      <c r="AP352" s="7"/>
      <c r="AQ352" s="7"/>
      <c r="AR352" s="7"/>
      <c r="AS352" s="7"/>
      <c r="AT352" s="7"/>
      <c r="AU352" s="7"/>
      <c r="AV352" s="7"/>
      <c r="AW352" s="7"/>
      <c r="AX352" s="7"/>
      <c r="AY352" s="7"/>
      <c r="AZ352" s="7"/>
    </row>
    <row r="353" customFormat="false" ht="150" hidden="false" customHeight="true" outlineLevel="0" collapsed="false">
      <c r="A353" s="6" t="s">
        <v>2038</v>
      </c>
      <c r="B353" s="6" t="s">
        <v>1875</v>
      </c>
      <c r="C353" s="6" t="s">
        <v>1876</v>
      </c>
      <c r="D353" s="6" t="s">
        <v>77</v>
      </c>
      <c r="E353" s="6" t="s">
        <v>78</v>
      </c>
      <c r="F353" s="6"/>
      <c r="G353" s="6" t="s">
        <v>1362</v>
      </c>
      <c r="H353" s="6" t="s">
        <v>1330</v>
      </c>
      <c r="I353" s="6" t="s">
        <v>81</v>
      </c>
      <c r="J353" s="6" t="s">
        <v>621</v>
      </c>
      <c r="K353" s="6" t="s">
        <v>1482</v>
      </c>
      <c r="L353" s="6" t="s">
        <v>1483</v>
      </c>
      <c r="M353" s="6" t="s">
        <v>2031</v>
      </c>
      <c r="N353" s="6"/>
      <c r="O353" s="6"/>
      <c r="P353" s="6" t="s">
        <v>1485</v>
      </c>
      <c r="Q353" s="6"/>
      <c r="R353" s="6" t="s">
        <v>259</v>
      </c>
      <c r="S353" s="6"/>
      <c r="T353" s="6"/>
      <c r="U353" s="6"/>
      <c r="V353" s="6"/>
      <c r="W353" s="6"/>
      <c r="X353" s="6"/>
      <c r="Y353" s="6"/>
      <c r="Z353" s="6"/>
      <c r="AA353" s="6" t="s">
        <v>89</v>
      </c>
      <c r="AB353" s="6" t="s">
        <v>2039</v>
      </c>
      <c r="AC353" s="6" t="s">
        <v>1888</v>
      </c>
      <c r="AD353" s="6" t="s">
        <v>2033</v>
      </c>
      <c r="AE353" s="6" t="s">
        <v>2034</v>
      </c>
      <c r="AF353" s="6" t="s">
        <v>2035</v>
      </c>
      <c r="AG353" s="6"/>
      <c r="AH353" s="6"/>
      <c r="AI353" s="7"/>
      <c r="AJ353" s="7"/>
      <c r="AK353" s="7"/>
      <c r="AL353" s="7"/>
      <c r="AM353" s="7"/>
      <c r="AN353" s="7"/>
      <c r="AO353" s="7"/>
      <c r="AP353" s="7"/>
      <c r="AQ353" s="7"/>
      <c r="AR353" s="7"/>
      <c r="AS353" s="7"/>
      <c r="AT353" s="7"/>
      <c r="AU353" s="7"/>
      <c r="AV353" s="7"/>
      <c r="AW353" s="7"/>
      <c r="AX353" s="7"/>
      <c r="AY353" s="7"/>
      <c r="AZ353" s="7"/>
    </row>
    <row r="354" customFormat="false" ht="150" hidden="false" customHeight="true" outlineLevel="0" collapsed="false">
      <c r="A354" s="6" t="s">
        <v>2040</v>
      </c>
      <c r="B354" s="6" t="s">
        <v>1875</v>
      </c>
      <c r="C354" s="6" t="s">
        <v>1876</v>
      </c>
      <c r="D354" s="6" t="s">
        <v>77</v>
      </c>
      <c r="E354" s="6" t="s">
        <v>78</v>
      </c>
      <c r="F354" s="6"/>
      <c r="G354" s="6" t="s">
        <v>1362</v>
      </c>
      <c r="H354" s="6" t="s">
        <v>1330</v>
      </c>
      <c r="I354" s="6" t="s">
        <v>81</v>
      </c>
      <c r="J354" s="6" t="s">
        <v>621</v>
      </c>
      <c r="K354" s="6" t="s">
        <v>1482</v>
      </c>
      <c r="L354" s="6" t="s">
        <v>1483</v>
      </c>
      <c r="M354" s="6" t="s">
        <v>2031</v>
      </c>
      <c r="N354" s="6"/>
      <c r="O354" s="6"/>
      <c r="P354" s="6" t="s">
        <v>1485</v>
      </c>
      <c r="Q354" s="6"/>
      <c r="R354" s="6" t="s">
        <v>259</v>
      </c>
      <c r="S354" s="6"/>
      <c r="T354" s="6"/>
      <c r="U354" s="6"/>
      <c r="V354" s="6"/>
      <c r="W354" s="6"/>
      <c r="X354" s="6"/>
      <c r="Y354" s="6"/>
      <c r="Z354" s="6"/>
      <c r="AA354" s="6" t="s">
        <v>89</v>
      </c>
      <c r="AB354" s="6" t="s">
        <v>2041</v>
      </c>
      <c r="AC354" s="6" t="s">
        <v>1891</v>
      </c>
      <c r="AD354" s="6" t="s">
        <v>2033</v>
      </c>
      <c r="AE354" s="6" t="s">
        <v>2034</v>
      </c>
      <c r="AF354" s="6" t="s">
        <v>2035</v>
      </c>
      <c r="AG354" s="6"/>
      <c r="AH354" s="6"/>
      <c r="AI354" s="7"/>
      <c r="AJ354" s="7"/>
      <c r="AK354" s="7"/>
      <c r="AL354" s="7"/>
      <c r="AM354" s="7"/>
      <c r="AN354" s="7"/>
      <c r="AO354" s="7"/>
      <c r="AP354" s="7"/>
      <c r="AQ354" s="7"/>
      <c r="AR354" s="7"/>
      <c r="AS354" s="7"/>
      <c r="AT354" s="7"/>
      <c r="AU354" s="7"/>
      <c r="AV354" s="7"/>
      <c r="AW354" s="7"/>
      <c r="AX354" s="7"/>
      <c r="AY354" s="7"/>
      <c r="AZ354" s="7"/>
    </row>
    <row r="355" customFormat="false" ht="150" hidden="false" customHeight="true" outlineLevel="0" collapsed="false">
      <c r="A355" s="6" t="s">
        <v>2042</v>
      </c>
      <c r="B355" s="6" t="s">
        <v>1875</v>
      </c>
      <c r="C355" s="6" t="s">
        <v>1876</v>
      </c>
      <c r="D355" s="6" t="s">
        <v>77</v>
      </c>
      <c r="E355" s="6" t="s">
        <v>78</v>
      </c>
      <c r="F355" s="6"/>
      <c r="G355" s="6" t="s">
        <v>1362</v>
      </c>
      <c r="H355" s="6" t="s">
        <v>1330</v>
      </c>
      <c r="I355" s="6" t="s">
        <v>81</v>
      </c>
      <c r="J355" s="6" t="s">
        <v>621</v>
      </c>
      <c r="K355" s="6" t="s">
        <v>1482</v>
      </c>
      <c r="L355" s="6" t="s">
        <v>1483</v>
      </c>
      <c r="M355" s="6" t="s">
        <v>2031</v>
      </c>
      <c r="N355" s="6"/>
      <c r="O355" s="6"/>
      <c r="P355" s="6" t="s">
        <v>1485</v>
      </c>
      <c r="Q355" s="6"/>
      <c r="R355" s="6" t="s">
        <v>259</v>
      </c>
      <c r="S355" s="6"/>
      <c r="T355" s="6"/>
      <c r="U355" s="6"/>
      <c r="V355" s="6"/>
      <c r="W355" s="6"/>
      <c r="X355" s="6"/>
      <c r="Y355" s="6"/>
      <c r="Z355" s="6"/>
      <c r="AA355" s="6" t="s">
        <v>89</v>
      </c>
      <c r="AB355" s="6" t="s">
        <v>2043</v>
      </c>
      <c r="AC355" s="6" t="s">
        <v>1894</v>
      </c>
      <c r="AD355" s="6" t="s">
        <v>2033</v>
      </c>
      <c r="AE355" s="6" t="s">
        <v>2034</v>
      </c>
      <c r="AF355" s="6" t="s">
        <v>2035</v>
      </c>
      <c r="AG355" s="6"/>
      <c r="AH355" s="6"/>
      <c r="AI355" s="7"/>
      <c r="AJ355" s="7"/>
      <c r="AK355" s="7"/>
      <c r="AL355" s="7"/>
      <c r="AM355" s="7"/>
      <c r="AN355" s="7"/>
      <c r="AO355" s="7"/>
      <c r="AP355" s="7"/>
      <c r="AQ355" s="7"/>
      <c r="AR355" s="7"/>
      <c r="AS355" s="7"/>
      <c r="AT355" s="7"/>
      <c r="AU355" s="7"/>
      <c r="AV355" s="7"/>
      <c r="AW355" s="7"/>
      <c r="AX355" s="7"/>
      <c r="AY355" s="7"/>
      <c r="AZ355" s="7"/>
    </row>
    <row r="356" customFormat="false" ht="150" hidden="false" customHeight="true" outlineLevel="0" collapsed="false">
      <c r="A356" s="6" t="s">
        <v>2044</v>
      </c>
      <c r="B356" s="6" t="s">
        <v>1875</v>
      </c>
      <c r="C356" s="6" t="s">
        <v>1876</v>
      </c>
      <c r="D356" s="6" t="s">
        <v>77</v>
      </c>
      <c r="E356" s="6" t="s">
        <v>78</v>
      </c>
      <c r="F356" s="6"/>
      <c r="G356" s="6" t="s">
        <v>1362</v>
      </c>
      <c r="H356" s="6" t="s">
        <v>1330</v>
      </c>
      <c r="I356" s="6" t="s">
        <v>81</v>
      </c>
      <c r="J356" s="6" t="s">
        <v>621</v>
      </c>
      <c r="K356" s="6" t="s">
        <v>1482</v>
      </c>
      <c r="L356" s="6" t="s">
        <v>1483</v>
      </c>
      <c r="M356" s="6" t="s">
        <v>2031</v>
      </c>
      <c r="N356" s="6"/>
      <c r="O356" s="6"/>
      <c r="P356" s="6" t="s">
        <v>1485</v>
      </c>
      <c r="Q356" s="6"/>
      <c r="R356" s="6" t="s">
        <v>259</v>
      </c>
      <c r="S356" s="6"/>
      <c r="T356" s="6"/>
      <c r="U356" s="6"/>
      <c r="V356" s="6"/>
      <c r="W356" s="6"/>
      <c r="X356" s="6"/>
      <c r="Y356" s="6"/>
      <c r="Z356" s="6"/>
      <c r="AA356" s="6" t="s">
        <v>89</v>
      </c>
      <c r="AB356" s="6" t="s">
        <v>2045</v>
      </c>
      <c r="AC356" s="6" t="s">
        <v>1897</v>
      </c>
      <c r="AD356" s="6" t="s">
        <v>2033</v>
      </c>
      <c r="AE356" s="6" t="s">
        <v>2034</v>
      </c>
      <c r="AF356" s="6" t="s">
        <v>2035</v>
      </c>
      <c r="AG356" s="6"/>
      <c r="AH356" s="6"/>
      <c r="AI356" s="7"/>
      <c r="AJ356" s="7"/>
      <c r="AK356" s="7"/>
      <c r="AL356" s="7"/>
      <c r="AM356" s="7"/>
      <c r="AN356" s="7"/>
      <c r="AO356" s="7"/>
      <c r="AP356" s="7"/>
      <c r="AQ356" s="7"/>
      <c r="AR356" s="7"/>
      <c r="AS356" s="7"/>
      <c r="AT356" s="7"/>
      <c r="AU356" s="7"/>
      <c r="AV356" s="7"/>
      <c r="AW356" s="7"/>
      <c r="AX356" s="7"/>
      <c r="AY356" s="7"/>
      <c r="AZ356" s="7"/>
    </row>
    <row r="357" customFormat="false" ht="150" hidden="false" customHeight="true" outlineLevel="0" collapsed="false">
      <c r="A357" s="6" t="s">
        <v>2046</v>
      </c>
      <c r="B357" s="6" t="s">
        <v>1875</v>
      </c>
      <c r="C357" s="6" t="s">
        <v>1876</v>
      </c>
      <c r="D357" s="6" t="s">
        <v>77</v>
      </c>
      <c r="E357" s="6" t="s">
        <v>78</v>
      </c>
      <c r="F357" s="6"/>
      <c r="G357" s="6" t="s">
        <v>1362</v>
      </c>
      <c r="H357" s="6" t="s">
        <v>1330</v>
      </c>
      <c r="I357" s="6" t="s">
        <v>81</v>
      </c>
      <c r="J357" s="6" t="s">
        <v>621</v>
      </c>
      <c r="K357" s="6" t="s">
        <v>1482</v>
      </c>
      <c r="L357" s="6" t="s">
        <v>1483</v>
      </c>
      <c r="M357" s="6" t="s">
        <v>2031</v>
      </c>
      <c r="N357" s="6"/>
      <c r="O357" s="6"/>
      <c r="P357" s="6" t="s">
        <v>1485</v>
      </c>
      <c r="Q357" s="6"/>
      <c r="R357" s="6" t="s">
        <v>259</v>
      </c>
      <c r="S357" s="6"/>
      <c r="T357" s="6"/>
      <c r="U357" s="6"/>
      <c r="V357" s="6"/>
      <c r="W357" s="6"/>
      <c r="X357" s="6"/>
      <c r="Y357" s="6"/>
      <c r="Z357" s="6"/>
      <c r="AA357" s="6" t="s">
        <v>89</v>
      </c>
      <c r="AB357" s="6" t="s">
        <v>2047</v>
      </c>
      <c r="AC357" s="6" t="s">
        <v>1900</v>
      </c>
      <c r="AD357" s="6" t="s">
        <v>2033</v>
      </c>
      <c r="AE357" s="6" t="s">
        <v>2034</v>
      </c>
      <c r="AF357" s="6" t="s">
        <v>2035</v>
      </c>
      <c r="AG357" s="6"/>
      <c r="AH357" s="6"/>
      <c r="AI357" s="7"/>
      <c r="AJ357" s="7"/>
      <c r="AK357" s="7"/>
      <c r="AL357" s="7"/>
      <c r="AM357" s="7"/>
      <c r="AN357" s="7"/>
      <c r="AO357" s="7"/>
      <c r="AP357" s="7"/>
      <c r="AQ357" s="7"/>
      <c r="AR357" s="7"/>
      <c r="AS357" s="7"/>
      <c r="AT357" s="7"/>
      <c r="AU357" s="7"/>
      <c r="AV357" s="7"/>
      <c r="AW357" s="7"/>
      <c r="AX357" s="7"/>
      <c r="AY357" s="7"/>
      <c r="AZ357" s="7"/>
    </row>
    <row r="358" customFormat="false" ht="150" hidden="false" customHeight="true" outlineLevel="0" collapsed="false">
      <c r="A358" s="6" t="s">
        <v>2048</v>
      </c>
      <c r="B358" s="6" t="s">
        <v>1875</v>
      </c>
      <c r="C358" s="6" t="s">
        <v>1876</v>
      </c>
      <c r="D358" s="6" t="s">
        <v>77</v>
      </c>
      <c r="E358" s="6" t="s">
        <v>78</v>
      </c>
      <c r="F358" s="6"/>
      <c r="G358" s="6" t="s">
        <v>1362</v>
      </c>
      <c r="H358" s="6" t="s">
        <v>1330</v>
      </c>
      <c r="I358" s="6" t="s">
        <v>81</v>
      </c>
      <c r="J358" s="6" t="s">
        <v>621</v>
      </c>
      <c r="K358" s="6" t="s">
        <v>1482</v>
      </c>
      <c r="L358" s="6" t="s">
        <v>1483</v>
      </c>
      <c r="M358" s="6" t="s">
        <v>2031</v>
      </c>
      <c r="N358" s="6"/>
      <c r="O358" s="6"/>
      <c r="P358" s="6" t="s">
        <v>1485</v>
      </c>
      <c r="Q358" s="6"/>
      <c r="R358" s="6" t="s">
        <v>259</v>
      </c>
      <c r="S358" s="6"/>
      <c r="T358" s="6"/>
      <c r="U358" s="6"/>
      <c r="V358" s="6"/>
      <c r="W358" s="6"/>
      <c r="X358" s="6"/>
      <c r="Y358" s="6"/>
      <c r="Z358" s="6"/>
      <c r="AA358" s="6" t="s">
        <v>89</v>
      </c>
      <c r="AB358" s="6" t="s">
        <v>2049</v>
      </c>
      <c r="AC358" s="6" t="s">
        <v>1903</v>
      </c>
      <c r="AD358" s="6" t="s">
        <v>2033</v>
      </c>
      <c r="AE358" s="6" t="s">
        <v>2034</v>
      </c>
      <c r="AF358" s="6" t="s">
        <v>2035</v>
      </c>
      <c r="AG358" s="6"/>
      <c r="AH358" s="6"/>
      <c r="AI358" s="7"/>
      <c r="AJ358" s="7"/>
      <c r="AK358" s="7"/>
      <c r="AL358" s="7"/>
      <c r="AM358" s="7"/>
      <c r="AN358" s="7"/>
      <c r="AO358" s="7"/>
      <c r="AP358" s="7"/>
      <c r="AQ358" s="7"/>
      <c r="AR358" s="7"/>
      <c r="AS358" s="7"/>
      <c r="AT358" s="7"/>
      <c r="AU358" s="7"/>
      <c r="AV358" s="7"/>
      <c r="AW358" s="7"/>
      <c r="AX358" s="7"/>
      <c r="AY358" s="7"/>
      <c r="AZ358" s="7"/>
    </row>
    <row r="359" customFormat="false" ht="150" hidden="false" customHeight="true" outlineLevel="0" collapsed="false">
      <c r="A359" s="6" t="s">
        <v>2050</v>
      </c>
      <c r="B359" s="6" t="s">
        <v>1875</v>
      </c>
      <c r="C359" s="6" t="s">
        <v>1876</v>
      </c>
      <c r="D359" s="6" t="s">
        <v>77</v>
      </c>
      <c r="E359" s="6" t="s">
        <v>78</v>
      </c>
      <c r="F359" s="6"/>
      <c r="G359" s="6" t="s">
        <v>1362</v>
      </c>
      <c r="H359" s="6" t="s">
        <v>1330</v>
      </c>
      <c r="I359" s="6" t="s">
        <v>81</v>
      </c>
      <c r="J359" s="6" t="s">
        <v>621</v>
      </c>
      <c r="K359" s="6" t="s">
        <v>1482</v>
      </c>
      <c r="L359" s="6" t="s">
        <v>1483</v>
      </c>
      <c r="M359" s="6" t="s">
        <v>2031</v>
      </c>
      <c r="N359" s="6"/>
      <c r="O359" s="6"/>
      <c r="P359" s="6" t="s">
        <v>1485</v>
      </c>
      <c r="Q359" s="6"/>
      <c r="R359" s="6" t="s">
        <v>259</v>
      </c>
      <c r="S359" s="6"/>
      <c r="T359" s="6"/>
      <c r="U359" s="6"/>
      <c r="V359" s="6"/>
      <c r="W359" s="6"/>
      <c r="X359" s="6"/>
      <c r="Y359" s="6"/>
      <c r="Z359" s="6"/>
      <c r="AA359" s="6" t="s">
        <v>89</v>
      </c>
      <c r="AB359" s="6" t="s">
        <v>2051</v>
      </c>
      <c r="AC359" s="6" t="s">
        <v>1906</v>
      </c>
      <c r="AD359" s="6" t="s">
        <v>2033</v>
      </c>
      <c r="AE359" s="6" t="s">
        <v>2034</v>
      </c>
      <c r="AF359" s="6" t="s">
        <v>2035</v>
      </c>
      <c r="AG359" s="6"/>
      <c r="AH359" s="6"/>
      <c r="AI359" s="7"/>
      <c r="AJ359" s="7"/>
      <c r="AK359" s="7"/>
      <c r="AL359" s="7"/>
      <c r="AM359" s="7"/>
      <c r="AN359" s="7"/>
      <c r="AO359" s="7"/>
      <c r="AP359" s="7"/>
      <c r="AQ359" s="7"/>
      <c r="AR359" s="7"/>
      <c r="AS359" s="7"/>
      <c r="AT359" s="7"/>
      <c r="AU359" s="7"/>
      <c r="AV359" s="7"/>
      <c r="AW359" s="7"/>
      <c r="AX359" s="7"/>
      <c r="AY359" s="7"/>
      <c r="AZ359" s="7"/>
    </row>
    <row r="360" customFormat="false" ht="150" hidden="false" customHeight="true" outlineLevel="0" collapsed="false">
      <c r="A360" s="6" t="s">
        <v>2052</v>
      </c>
      <c r="B360" s="6" t="s">
        <v>1875</v>
      </c>
      <c r="C360" s="6" t="s">
        <v>1876</v>
      </c>
      <c r="D360" s="6" t="s">
        <v>77</v>
      </c>
      <c r="E360" s="6" t="s">
        <v>78</v>
      </c>
      <c r="F360" s="6"/>
      <c r="G360" s="6" t="s">
        <v>1362</v>
      </c>
      <c r="H360" s="6" t="s">
        <v>1330</v>
      </c>
      <c r="I360" s="6" t="s">
        <v>81</v>
      </c>
      <c r="J360" s="6" t="s">
        <v>621</v>
      </c>
      <c r="K360" s="6" t="s">
        <v>1482</v>
      </c>
      <c r="L360" s="6" t="s">
        <v>1483</v>
      </c>
      <c r="M360" s="6" t="s">
        <v>2031</v>
      </c>
      <c r="N360" s="6"/>
      <c r="O360" s="6"/>
      <c r="P360" s="6" t="s">
        <v>1485</v>
      </c>
      <c r="Q360" s="6"/>
      <c r="R360" s="6" t="s">
        <v>259</v>
      </c>
      <c r="S360" s="6"/>
      <c r="T360" s="6"/>
      <c r="U360" s="6"/>
      <c r="V360" s="6"/>
      <c r="W360" s="6"/>
      <c r="X360" s="6"/>
      <c r="Y360" s="6"/>
      <c r="Z360" s="6"/>
      <c r="AA360" s="6" t="s">
        <v>89</v>
      </c>
      <c r="AB360" s="6" t="s">
        <v>2053</v>
      </c>
      <c r="AC360" s="6" t="s">
        <v>1909</v>
      </c>
      <c r="AD360" s="6" t="s">
        <v>2033</v>
      </c>
      <c r="AE360" s="6" t="s">
        <v>2034</v>
      </c>
      <c r="AF360" s="6" t="s">
        <v>2035</v>
      </c>
      <c r="AG360" s="6"/>
      <c r="AH360" s="6"/>
      <c r="AI360" s="7"/>
      <c r="AJ360" s="7"/>
      <c r="AK360" s="7"/>
      <c r="AL360" s="7"/>
      <c r="AM360" s="7"/>
      <c r="AN360" s="7"/>
      <c r="AO360" s="7"/>
      <c r="AP360" s="7"/>
      <c r="AQ360" s="7"/>
      <c r="AR360" s="7"/>
      <c r="AS360" s="7"/>
      <c r="AT360" s="7"/>
      <c r="AU360" s="7"/>
      <c r="AV360" s="7"/>
      <c r="AW360" s="7"/>
      <c r="AX360" s="7"/>
      <c r="AY360" s="7"/>
      <c r="AZ360" s="7"/>
    </row>
    <row r="361" customFormat="false" ht="150" hidden="false" customHeight="true" outlineLevel="0" collapsed="false">
      <c r="A361" s="6" t="s">
        <v>2054</v>
      </c>
      <c r="B361" s="6" t="s">
        <v>1875</v>
      </c>
      <c r="C361" s="6" t="s">
        <v>1876</v>
      </c>
      <c r="D361" s="6" t="s">
        <v>77</v>
      </c>
      <c r="E361" s="6" t="s">
        <v>78</v>
      </c>
      <c r="F361" s="6"/>
      <c r="G361" s="6" t="s">
        <v>1362</v>
      </c>
      <c r="H361" s="6" t="s">
        <v>1330</v>
      </c>
      <c r="I361" s="6" t="s">
        <v>81</v>
      </c>
      <c r="J361" s="6" t="s">
        <v>621</v>
      </c>
      <c r="K361" s="6" t="s">
        <v>226</v>
      </c>
      <c r="L361" s="6" t="s">
        <v>227</v>
      </c>
      <c r="M361" s="6" t="s">
        <v>2055</v>
      </c>
      <c r="N361" s="6"/>
      <c r="O361" s="6"/>
      <c r="P361" s="6" t="s">
        <v>228</v>
      </c>
      <c r="Q361" s="6"/>
      <c r="R361" s="6" t="s">
        <v>229</v>
      </c>
      <c r="S361" s="6"/>
      <c r="T361" s="6"/>
      <c r="U361" s="6"/>
      <c r="V361" s="6"/>
      <c r="W361" s="6"/>
      <c r="X361" s="6"/>
      <c r="Y361" s="6"/>
      <c r="Z361" s="6"/>
      <c r="AA361" s="6" t="s">
        <v>89</v>
      </c>
      <c r="AB361" s="6" t="s">
        <v>2056</v>
      </c>
      <c r="AC361" s="6" t="s">
        <v>1879</v>
      </c>
      <c r="AD361" s="6" t="s">
        <v>2057</v>
      </c>
      <c r="AE361" s="6" t="s">
        <v>2058</v>
      </c>
      <c r="AF361" s="6" t="s">
        <v>2059</v>
      </c>
      <c r="AG361" s="6"/>
      <c r="AH361" s="6"/>
      <c r="AI361" s="7"/>
      <c r="AJ361" s="7"/>
      <c r="AK361" s="7"/>
      <c r="AL361" s="7"/>
      <c r="AM361" s="7"/>
      <c r="AN361" s="7"/>
      <c r="AO361" s="7"/>
      <c r="AP361" s="7"/>
      <c r="AQ361" s="7"/>
      <c r="AR361" s="7"/>
      <c r="AS361" s="7"/>
      <c r="AT361" s="7"/>
      <c r="AU361" s="7"/>
      <c r="AV361" s="7"/>
      <c r="AW361" s="7"/>
      <c r="AX361" s="7"/>
      <c r="AY361" s="7"/>
      <c r="AZ361" s="7"/>
    </row>
    <row r="362" customFormat="false" ht="150" hidden="false" customHeight="true" outlineLevel="0" collapsed="false">
      <c r="A362" s="6" t="s">
        <v>2060</v>
      </c>
      <c r="B362" s="6" t="s">
        <v>1875</v>
      </c>
      <c r="C362" s="6" t="s">
        <v>1876</v>
      </c>
      <c r="D362" s="6" t="s">
        <v>77</v>
      </c>
      <c r="E362" s="6" t="s">
        <v>78</v>
      </c>
      <c r="F362" s="6"/>
      <c r="G362" s="6" t="s">
        <v>1362</v>
      </c>
      <c r="H362" s="6" t="s">
        <v>1330</v>
      </c>
      <c r="I362" s="6" t="s">
        <v>81</v>
      </c>
      <c r="J362" s="6" t="s">
        <v>621</v>
      </c>
      <c r="K362" s="6" t="s">
        <v>226</v>
      </c>
      <c r="L362" s="6" t="s">
        <v>227</v>
      </c>
      <c r="M362" s="6" t="s">
        <v>2055</v>
      </c>
      <c r="N362" s="6"/>
      <c r="O362" s="6"/>
      <c r="P362" s="6" t="s">
        <v>228</v>
      </c>
      <c r="Q362" s="6"/>
      <c r="R362" s="6" t="s">
        <v>229</v>
      </c>
      <c r="S362" s="6"/>
      <c r="T362" s="6"/>
      <c r="U362" s="6"/>
      <c r="V362" s="6"/>
      <c r="W362" s="6"/>
      <c r="X362" s="6"/>
      <c r="Y362" s="6"/>
      <c r="Z362" s="6"/>
      <c r="AA362" s="6" t="s">
        <v>89</v>
      </c>
      <c r="AB362" s="6" t="s">
        <v>2061</v>
      </c>
      <c r="AC362" s="6" t="s">
        <v>1885</v>
      </c>
      <c r="AD362" s="6" t="s">
        <v>2057</v>
      </c>
      <c r="AE362" s="6" t="s">
        <v>2058</v>
      </c>
      <c r="AF362" s="6" t="s">
        <v>2059</v>
      </c>
      <c r="AG362" s="6"/>
      <c r="AH362" s="6"/>
      <c r="AI362" s="7"/>
      <c r="AJ362" s="7"/>
      <c r="AK362" s="7"/>
      <c r="AL362" s="7"/>
      <c r="AM362" s="7"/>
      <c r="AN362" s="7"/>
      <c r="AO362" s="7"/>
      <c r="AP362" s="7"/>
      <c r="AQ362" s="7"/>
      <c r="AR362" s="7"/>
      <c r="AS362" s="7"/>
      <c r="AT362" s="7"/>
      <c r="AU362" s="7"/>
      <c r="AV362" s="7"/>
      <c r="AW362" s="7"/>
      <c r="AX362" s="7"/>
      <c r="AY362" s="7"/>
      <c r="AZ362" s="7"/>
    </row>
    <row r="363" customFormat="false" ht="150" hidden="false" customHeight="true" outlineLevel="0" collapsed="false">
      <c r="A363" s="6" t="s">
        <v>2062</v>
      </c>
      <c r="B363" s="6" t="s">
        <v>1875</v>
      </c>
      <c r="C363" s="6" t="s">
        <v>1876</v>
      </c>
      <c r="D363" s="6" t="s">
        <v>77</v>
      </c>
      <c r="E363" s="6" t="s">
        <v>78</v>
      </c>
      <c r="F363" s="6"/>
      <c r="G363" s="6" t="s">
        <v>1362</v>
      </c>
      <c r="H363" s="6" t="s">
        <v>1330</v>
      </c>
      <c r="I363" s="6" t="s">
        <v>81</v>
      </c>
      <c r="J363" s="6" t="s">
        <v>621</v>
      </c>
      <c r="K363" s="6" t="s">
        <v>226</v>
      </c>
      <c r="L363" s="6" t="s">
        <v>227</v>
      </c>
      <c r="M363" s="6" t="s">
        <v>2055</v>
      </c>
      <c r="N363" s="6"/>
      <c r="O363" s="6"/>
      <c r="P363" s="6" t="s">
        <v>228</v>
      </c>
      <c r="Q363" s="6"/>
      <c r="R363" s="6" t="s">
        <v>229</v>
      </c>
      <c r="S363" s="6"/>
      <c r="T363" s="6"/>
      <c r="U363" s="6"/>
      <c r="V363" s="6"/>
      <c r="W363" s="6"/>
      <c r="X363" s="6"/>
      <c r="Y363" s="6"/>
      <c r="Z363" s="6"/>
      <c r="AA363" s="6" t="s">
        <v>89</v>
      </c>
      <c r="AB363" s="6" t="s">
        <v>2063</v>
      </c>
      <c r="AC363" s="6" t="s">
        <v>1888</v>
      </c>
      <c r="AD363" s="6" t="s">
        <v>2057</v>
      </c>
      <c r="AE363" s="6" t="s">
        <v>2058</v>
      </c>
      <c r="AF363" s="6" t="s">
        <v>2059</v>
      </c>
      <c r="AG363" s="6"/>
      <c r="AH363" s="6"/>
      <c r="AI363" s="7"/>
      <c r="AJ363" s="7"/>
      <c r="AK363" s="7"/>
      <c r="AL363" s="7"/>
      <c r="AM363" s="7"/>
      <c r="AN363" s="7"/>
      <c r="AO363" s="7"/>
      <c r="AP363" s="7"/>
      <c r="AQ363" s="7"/>
      <c r="AR363" s="7"/>
      <c r="AS363" s="7"/>
      <c r="AT363" s="7"/>
      <c r="AU363" s="7"/>
      <c r="AV363" s="7"/>
      <c r="AW363" s="7"/>
      <c r="AX363" s="7"/>
      <c r="AY363" s="7"/>
      <c r="AZ363" s="7"/>
    </row>
    <row r="364" customFormat="false" ht="150" hidden="false" customHeight="true" outlineLevel="0" collapsed="false">
      <c r="A364" s="6" t="s">
        <v>2064</v>
      </c>
      <c r="B364" s="6" t="s">
        <v>1875</v>
      </c>
      <c r="C364" s="6" t="s">
        <v>1876</v>
      </c>
      <c r="D364" s="6" t="s">
        <v>77</v>
      </c>
      <c r="E364" s="6" t="s">
        <v>78</v>
      </c>
      <c r="F364" s="6"/>
      <c r="G364" s="6" t="s">
        <v>1362</v>
      </c>
      <c r="H364" s="6" t="s">
        <v>1330</v>
      </c>
      <c r="I364" s="6" t="s">
        <v>81</v>
      </c>
      <c r="J364" s="6" t="s">
        <v>621</v>
      </c>
      <c r="K364" s="6" t="s">
        <v>226</v>
      </c>
      <c r="L364" s="6" t="s">
        <v>227</v>
      </c>
      <c r="M364" s="6" t="s">
        <v>2055</v>
      </c>
      <c r="N364" s="6"/>
      <c r="O364" s="6"/>
      <c r="P364" s="6" t="s">
        <v>228</v>
      </c>
      <c r="Q364" s="6"/>
      <c r="R364" s="6" t="s">
        <v>229</v>
      </c>
      <c r="S364" s="6"/>
      <c r="T364" s="6"/>
      <c r="U364" s="6"/>
      <c r="V364" s="6"/>
      <c r="W364" s="6"/>
      <c r="X364" s="6"/>
      <c r="Y364" s="6"/>
      <c r="Z364" s="6"/>
      <c r="AA364" s="6" t="s">
        <v>89</v>
      </c>
      <c r="AB364" s="6" t="s">
        <v>2065</v>
      </c>
      <c r="AC364" s="6" t="s">
        <v>1891</v>
      </c>
      <c r="AD364" s="6" t="s">
        <v>2057</v>
      </c>
      <c r="AE364" s="6" t="s">
        <v>2058</v>
      </c>
      <c r="AF364" s="6" t="s">
        <v>2059</v>
      </c>
      <c r="AG364" s="6"/>
      <c r="AH364" s="6"/>
      <c r="AI364" s="7"/>
      <c r="AJ364" s="7"/>
      <c r="AK364" s="7"/>
      <c r="AL364" s="7"/>
      <c r="AM364" s="7"/>
      <c r="AN364" s="7"/>
      <c r="AO364" s="7"/>
      <c r="AP364" s="7"/>
      <c r="AQ364" s="7"/>
      <c r="AR364" s="7"/>
      <c r="AS364" s="7"/>
      <c r="AT364" s="7"/>
      <c r="AU364" s="7"/>
      <c r="AV364" s="7"/>
      <c r="AW364" s="7"/>
      <c r="AX364" s="7"/>
      <c r="AY364" s="7"/>
      <c r="AZ364" s="7"/>
    </row>
    <row r="365" customFormat="false" ht="150" hidden="false" customHeight="true" outlineLevel="0" collapsed="false">
      <c r="A365" s="6" t="s">
        <v>2066</v>
      </c>
      <c r="B365" s="6" t="s">
        <v>1875</v>
      </c>
      <c r="C365" s="6" t="s">
        <v>1876</v>
      </c>
      <c r="D365" s="6" t="s">
        <v>77</v>
      </c>
      <c r="E365" s="6" t="s">
        <v>78</v>
      </c>
      <c r="F365" s="6"/>
      <c r="G365" s="6" t="s">
        <v>1362</v>
      </c>
      <c r="H365" s="6" t="s">
        <v>1330</v>
      </c>
      <c r="I365" s="6" t="s">
        <v>81</v>
      </c>
      <c r="J365" s="6" t="s">
        <v>621</v>
      </c>
      <c r="K365" s="6" t="s">
        <v>226</v>
      </c>
      <c r="L365" s="6" t="s">
        <v>227</v>
      </c>
      <c r="M365" s="6" t="s">
        <v>2055</v>
      </c>
      <c r="N365" s="6"/>
      <c r="O365" s="6"/>
      <c r="P365" s="6" t="s">
        <v>228</v>
      </c>
      <c r="Q365" s="6"/>
      <c r="R365" s="6" t="s">
        <v>229</v>
      </c>
      <c r="S365" s="6"/>
      <c r="T365" s="6"/>
      <c r="U365" s="6"/>
      <c r="V365" s="6"/>
      <c r="W365" s="6"/>
      <c r="X365" s="6"/>
      <c r="Y365" s="6"/>
      <c r="Z365" s="6"/>
      <c r="AA365" s="6" t="s">
        <v>89</v>
      </c>
      <c r="AB365" s="6" t="s">
        <v>2067</v>
      </c>
      <c r="AC365" s="6" t="s">
        <v>1894</v>
      </c>
      <c r="AD365" s="6" t="s">
        <v>2057</v>
      </c>
      <c r="AE365" s="6" t="s">
        <v>2058</v>
      </c>
      <c r="AF365" s="6" t="s">
        <v>2059</v>
      </c>
      <c r="AG365" s="6"/>
      <c r="AH365" s="6"/>
      <c r="AI365" s="7"/>
      <c r="AJ365" s="7"/>
      <c r="AK365" s="7"/>
      <c r="AL365" s="7"/>
      <c r="AM365" s="7"/>
      <c r="AN365" s="7"/>
      <c r="AO365" s="7"/>
      <c r="AP365" s="7"/>
      <c r="AQ365" s="7"/>
      <c r="AR365" s="7"/>
      <c r="AS365" s="7"/>
      <c r="AT365" s="7"/>
      <c r="AU365" s="7"/>
      <c r="AV365" s="7"/>
      <c r="AW365" s="7"/>
      <c r="AX365" s="7"/>
      <c r="AY365" s="7"/>
      <c r="AZ365" s="7"/>
    </row>
    <row r="366" customFormat="false" ht="150" hidden="false" customHeight="true" outlineLevel="0" collapsed="false">
      <c r="A366" s="6" t="s">
        <v>2068</v>
      </c>
      <c r="B366" s="6" t="s">
        <v>1875</v>
      </c>
      <c r="C366" s="6" t="s">
        <v>1876</v>
      </c>
      <c r="D366" s="6" t="s">
        <v>77</v>
      </c>
      <c r="E366" s="6" t="s">
        <v>78</v>
      </c>
      <c r="F366" s="6"/>
      <c r="G366" s="6" t="s">
        <v>1362</v>
      </c>
      <c r="H366" s="6" t="s">
        <v>1330</v>
      </c>
      <c r="I366" s="6" t="s">
        <v>81</v>
      </c>
      <c r="J366" s="6" t="s">
        <v>621</v>
      </c>
      <c r="K366" s="6" t="s">
        <v>226</v>
      </c>
      <c r="L366" s="6" t="s">
        <v>227</v>
      </c>
      <c r="M366" s="6" t="s">
        <v>2055</v>
      </c>
      <c r="N366" s="6"/>
      <c r="O366" s="6"/>
      <c r="P366" s="6" t="s">
        <v>228</v>
      </c>
      <c r="Q366" s="6"/>
      <c r="R366" s="6" t="s">
        <v>229</v>
      </c>
      <c r="S366" s="6"/>
      <c r="T366" s="6"/>
      <c r="U366" s="6"/>
      <c r="V366" s="6"/>
      <c r="W366" s="6"/>
      <c r="X366" s="6"/>
      <c r="Y366" s="6"/>
      <c r="Z366" s="6"/>
      <c r="AA366" s="6" t="s">
        <v>89</v>
      </c>
      <c r="AB366" s="6" t="s">
        <v>2069</v>
      </c>
      <c r="AC366" s="6" t="s">
        <v>1897</v>
      </c>
      <c r="AD366" s="6" t="s">
        <v>2057</v>
      </c>
      <c r="AE366" s="6" t="s">
        <v>2058</v>
      </c>
      <c r="AF366" s="6" t="s">
        <v>2059</v>
      </c>
      <c r="AG366" s="6"/>
      <c r="AH366" s="6"/>
      <c r="AI366" s="7"/>
      <c r="AJ366" s="7"/>
      <c r="AK366" s="7"/>
      <c r="AL366" s="7"/>
      <c r="AM366" s="7"/>
      <c r="AN366" s="7"/>
      <c r="AO366" s="7"/>
      <c r="AP366" s="7"/>
      <c r="AQ366" s="7"/>
      <c r="AR366" s="7"/>
      <c r="AS366" s="7"/>
      <c r="AT366" s="7"/>
      <c r="AU366" s="7"/>
      <c r="AV366" s="7"/>
      <c r="AW366" s="7"/>
      <c r="AX366" s="7"/>
      <c r="AY366" s="7"/>
      <c r="AZ366" s="7"/>
    </row>
    <row r="367" customFormat="false" ht="150" hidden="false" customHeight="true" outlineLevel="0" collapsed="false">
      <c r="A367" s="6" t="s">
        <v>2070</v>
      </c>
      <c r="B367" s="6" t="s">
        <v>1875</v>
      </c>
      <c r="C367" s="6" t="s">
        <v>1876</v>
      </c>
      <c r="D367" s="6" t="s">
        <v>77</v>
      </c>
      <c r="E367" s="6" t="s">
        <v>78</v>
      </c>
      <c r="F367" s="6"/>
      <c r="G367" s="6" t="s">
        <v>1362</v>
      </c>
      <c r="H367" s="6" t="s">
        <v>1330</v>
      </c>
      <c r="I367" s="6" t="s">
        <v>81</v>
      </c>
      <c r="J367" s="6" t="s">
        <v>621</v>
      </c>
      <c r="K367" s="6" t="s">
        <v>226</v>
      </c>
      <c r="L367" s="6" t="s">
        <v>227</v>
      </c>
      <c r="M367" s="6" t="s">
        <v>2055</v>
      </c>
      <c r="N367" s="6"/>
      <c r="O367" s="6"/>
      <c r="P367" s="6" t="s">
        <v>228</v>
      </c>
      <c r="Q367" s="6"/>
      <c r="R367" s="6" t="s">
        <v>229</v>
      </c>
      <c r="S367" s="6"/>
      <c r="T367" s="6"/>
      <c r="U367" s="6"/>
      <c r="V367" s="6"/>
      <c r="W367" s="6"/>
      <c r="X367" s="6"/>
      <c r="Y367" s="6"/>
      <c r="Z367" s="6"/>
      <c r="AA367" s="6" t="s">
        <v>89</v>
      </c>
      <c r="AB367" s="6" t="s">
        <v>2071</v>
      </c>
      <c r="AC367" s="6" t="s">
        <v>1900</v>
      </c>
      <c r="AD367" s="6" t="s">
        <v>2057</v>
      </c>
      <c r="AE367" s="6" t="s">
        <v>2058</v>
      </c>
      <c r="AF367" s="6" t="s">
        <v>2059</v>
      </c>
      <c r="AG367" s="6"/>
      <c r="AH367" s="6"/>
      <c r="AI367" s="7"/>
      <c r="AJ367" s="7"/>
      <c r="AK367" s="7"/>
      <c r="AL367" s="7"/>
      <c r="AM367" s="7"/>
      <c r="AN367" s="7"/>
      <c r="AO367" s="7"/>
      <c r="AP367" s="7"/>
      <c r="AQ367" s="7"/>
      <c r="AR367" s="7"/>
      <c r="AS367" s="7"/>
      <c r="AT367" s="7"/>
      <c r="AU367" s="7"/>
      <c r="AV367" s="7"/>
      <c r="AW367" s="7"/>
      <c r="AX367" s="7"/>
      <c r="AY367" s="7"/>
      <c r="AZ367" s="7"/>
    </row>
    <row r="368" customFormat="false" ht="150" hidden="false" customHeight="true" outlineLevel="0" collapsed="false">
      <c r="A368" s="6" t="s">
        <v>2072</v>
      </c>
      <c r="B368" s="6" t="s">
        <v>1875</v>
      </c>
      <c r="C368" s="6" t="s">
        <v>1876</v>
      </c>
      <c r="D368" s="6" t="s">
        <v>77</v>
      </c>
      <c r="E368" s="6" t="s">
        <v>78</v>
      </c>
      <c r="F368" s="6"/>
      <c r="G368" s="6" t="s">
        <v>1362</v>
      </c>
      <c r="H368" s="6" t="s">
        <v>1330</v>
      </c>
      <c r="I368" s="6" t="s">
        <v>81</v>
      </c>
      <c r="J368" s="6" t="s">
        <v>621</v>
      </c>
      <c r="K368" s="6" t="s">
        <v>226</v>
      </c>
      <c r="L368" s="6" t="s">
        <v>227</v>
      </c>
      <c r="M368" s="6" t="s">
        <v>2055</v>
      </c>
      <c r="N368" s="6"/>
      <c r="O368" s="6"/>
      <c r="P368" s="6" t="s">
        <v>228</v>
      </c>
      <c r="Q368" s="6"/>
      <c r="R368" s="6" t="s">
        <v>229</v>
      </c>
      <c r="S368" s="6"/>
      <c r="T368" s="6"/>
      <c r="U368" s="6"/>
      <c r="V368" s="6"/>
      <c r="W368" s="6"/>
      <c r="X368" s="6"/>
      <c r="Y368" s="6"/>
      <c r="Z368" s="6"/>
      <c r="AA368" s="6" t="s">
        <v>89</v>
      </c>
      <c r="AB368" s="6" t="s">
        <v>2073</v>
      </c>
      <c r="AC368" s="6" t="s">
        <v>1903</v>
      </c>
      <c r="AD368" s="6" t="s">
        <v>2057</v>
      </c>
      <c r="AE368" s="6" t="s">
        <v>2058</v>
      </c>
      <c r="AF368" s="6" t="s">
        <v>2059</v>
      </c>
      <c r="AG368" s="6"/>
      <c r="AH368" s="6"/>
      <c r="AI368" s="7"/>
      <c r="AJ368" s="7"/>
      <c r="AK368" s="7"/>
      <c r="AL368" s="7"/>
      <c r="AM368" s="7"/>
      <c r="AN368" s="7"/>
      <c r="AO368" s="7"/>
      <c r="AP368" s="7"/>
      <c r="AQ368" s="7"/>
      <c r="AR368" s="7"/>
      <c r="AS368" s="7"/>
      <c r="AT368" s="7"/>
      <c r="AU368" s="7"/>
      <c r="AV368" s="7"/>
      <c r="AW368" s="7"/>
      <c r="AX368" s="7"/>
      <c r="AY368" s="7"/>
      <c r="AZ368" s="7"/>
    </row>
    <row r="369" customFormat="false" ht="150" hidden="false" customHeight="true" outlineLevel="0" collapsed="false">
      <c r="A369" s="6" t="s">
        <v>2074</v>
      </c>
      <c r="B369" s="6" t="s">
        <v>1875</v>
      </c>
      <c r="C369" s="6" t="s">
        <v>1876</v>
      </c>
      <c r="D369" s="6" t="s">
        <v>77</v>
      </c>
      <c r="E369" s="6" t="s">
        <v>78</v>
      </c>
      <c r="F369" s="6"/>
      <c r="G369" s="6" t="s">
        <v>1362</v>
      </c>
      <c r="H369" s="6" t="s">
        <v>1330</v>
      </c>
      <c r="I369" s="6" t="s">
        <v>81</v>
      </c>
      <c r="J369" s="6" t="s">
        <v>621</v>
      </c>
      <c r="K369" s="6" t="s">
        <v>226</v>
      </c>
      <c r="L369" s="6" t="s">
        <v>227</v>
      </c>
      <c r="M369" s="6" t="s">
        <v>2055</v>
      </c>
      <c r="N369" s="6"/>
      <c r="O369" s="6"/>
      <c r="P369" s="6" t="s">
        <v>228</v>
      </c>
      <c r="Q369" s="6"/>
      <c r="R369" s="6" t="s">
        <v>229</v>
      </c>
      <c r="S369" s="6"/>
      <c r="T369" s="6"/>
      <c r="U369" s="6"/>
      <c r="V369" s="6"/>
      <c r="W369" s="6"/>
      <c r="X369" s="6"/>
      <c r="Y369" s="6"/>
      <c r="Z369" s="6"/>
      <c r="AA369" s="6" t="s">
        <v>89</v>
      </c>
      <c r="AB369" s="6" t="s">
        <v>2075</v>
      </c>
      <c r="AC369" s="6" t="s">
        <v>1906</v>
      </c>
      <c r="AD369" s="6" t="s">
        <v>2057</v>
      </c>
      <c r="AE369" s="6" t="s">
        <v>2058</v>
      </c>
      <c r="AF369" s="6" t="s">
        <v>2059</v>
      </c>
      <c r="AG369" s="6"/>
      <c r="AH369" s="6"/>
      <c r="AI369" s="7"/>
      <c r="AJ369" s="7"/>
      <c r="AK369" s="7"/>
      <c r="AL369" s="7"/>
      <c r="AM369" s="7"/>
      <c r="AN369" s="7"/>
      <c r="AO369" s="7"/>
      <c r="AP369" s="7"/>
      <c r="AQ369" s="7"/>
      <c r="AR369" s="7"/>
      <c r="AS369" s="7"/>
      <c r="AT369" s="7"/>
      <c r="AU369" s="7"/>
      <c r="AV369" s="7"/>
      <c r="AW369" s="7"/>
      <c r="AX369" s="7"/>
      <c r="AY369" s="7"/>
      <c r="AZ369" s="7"/>
    </row>
    <row r="370" customFormat="false" ht="150" hidden="false" customHeight="true" outlineLevel="0" collapsed="false">
      <c r="A370" s="6" t="s">
        <v>2076</v>
      </c>
      <c r="B370" s="6" t="s">
        <v>1875</v>
      </c>
      <c r="C370" s="6" t="s">
        <v>1876</v>
      </c>
      <c r="D370" s="6" t="s">
        <v>77</v>
      </c>
      <c r="E370" s="6" t="s">
        <v>78</v>
      </c>
      <c r="F370" s="6"/>
      <c r="G370" s="6" t="s">
        <v>1362</v>
      </c>
      <c r="H370" s="6" t="s">
        <v>1330</v>
      </c>
      <c r="I370" s="6" t="s">
        <v>81</v>
      </c>
      <c r="J370" s="6" t="s">
        <v>621</v>
      </c>
      <c r="K370" s="6" t="s">
        <v>226</v>
      </c>
      <c r="L370" s="6" t="s">
        <v>227</v>
      </c>
      <c r="M370" s="6" t="s">
        <v>2055</v>
      </c>
      <c r="N370" s="6"/>
      <c r="O370" s="6"/>
      <c r="P370" s="6" t="s">
        <v>228</v>
      </c>
      <c r="Q370" s="6"/>
      <c r="R370" s="6" t="s">
        <v>229</v>
      </c>
      <c r="S370" s="6"/>
      <c r="T370" s="6"/>
      <c r="U370" s="6"/>
      <c r="V370" s="6"/>
      <c r="W370" s="6"/>
      <c r="X370" s="6"/>
      <c r="Y370" s="6"/>
      <c r="Z370" s="6"/>
      <c r="AA370" s="6" t="s">
        <v>89</v>
      </c>
      <c r="AB370" s="6" t="s">
        <v>2077</v>
      </c>
      <c r="AC370" s="6" t="s">
        <v>1909</v>
      </c>
      <c r="AD370" s="6" t="s">
        <v>2057</v>
      </c>
      <c r="AE370" s="6" t="s">
        <v>2058</v>
      </c>
      <c r="AF370" s="6" t="s">
        <v>2059</v>
      </c>
      <c r="AG370" s="6"/>
      <c r="AH370" s="6"/>
      <c r="AI370" s="7"/>
      <c r="AJ370" s="7"/>
      <c r="AK370" s="7"/>
      <c r="AL370" s="7"/>
      <c r="AM370" s="7"/>
      <c r="AN370" s="7"/>
      <c r="AO370" s="7"/>
      <c r="AP370" s="7"/>
      <c r="AQ370" s="7"/>
      <c r="AR370" s="7"/>
      <c r="AS370" s="7"/>
      <c r="AT370" s="7"/>
      <c r="AU370" s="7"/>
      <c r="AV370" s="7"/>
      <c r="AW370" s="7"/>
      <c r="AX370" s="7"/>
      <c r="AY370" s="7"/>
      <c r="AZ370" s="7"/>
    </row>
    <row r="371" customFormat="false" ht="150" hidden="false" customHeight="true" outlineLevel="0" collapsed="false">
      <c r="A371" s="6" t="s">
        <v>2078</v>
      </c>
      <c r="B371" s="6" t="s">
        <v>1875</v>
      </c>
      <c r="C371" s="6" t="s">
        <v>1876</v>
      </c>
      <c r="D371" s="6" t="s">
        <v>96</v>
      </c>
      <c r="E371" s="6" t="s">
        <v>97</v>
      </c>
      <c r="F371" s="6"/>
      <c r="G371" s="6" t="s">
        <v>1362</v>
      </c>
      <c r="H371" s="6" t="s">
        <v>1330</v>
      </c>
      <c r="I371" s="6" t="s">
        <v>81</v>
      </c>
      <c r="J371" s="6" t="s">
        <v>621</v>
      </c>
      <c r="K371" s="6" t="s">
        <v>1523</v>
      </c>
      <c r="L371" s="6" t="s">
        <v>1524</v>
      </c>
      <c r="M371" s="6" t="s">
        <v>2079</v>
      </c>
      <c r="N371" s="6"/>
      <c r="O371" s="6"/>
      <c r="P371" s="6" t="s">
        <v>237</v>
      </c>
      <c r="Q371" s="6"/>
      <c r="R371" s="6" t="s">
        <v>339</v>
      </c>
      <c r="S371" s="6"/>
      <c r="T371" s="6"/>
      <c r="U371" s="6"/>
      <c r="V371" s="6"/>
      <c r="W371" s="6"/>
      <c r="X371" s="6"/>
      <c r="Y371" s="6"/>
      <c r="Z371" s="6"/>
      <c r="AA371" s="6" t="s">
        <v>89</v>
      </c>
      <c r="AB371" s="6" t="s">
        <v>2080</v>
      </c>
      <c r="AC371" s="6" t="s">
        <v>1879</v>
      </c>
      <c r="AD371" s="6" t="s">
        <v>2081</v>
      </c>
      <c r="AE371" s="6" t="s">
        <v>2082</v>
      </c>
      <c r="AF371" s="6" t="s">
        <v>2083</v>
      </c>
      <c r="AG371" s="6"/>
      <c r="AH371" s="6"/>
      <c r="AI371" s="7"/>
      <c r="AJ371" s="7"/>
      <c r="AK371" s="7"/>
      <c r="AL371" s="7"/>
      <c r="AM371" s="7"/>
      <c r="AN371" s="7"/>
      <c r="AO371" s="7"/>
      <c r="AP371" s="7"/>
      <c r="AQ371" s="7"/>
      <c r="AR371" s="7"/>
      <c r="AS371" s="7"/>
      <c r="AT371" s="7"/>
      <c r="AU371" s="7"/>
      <c r="AV371" s="7"/>
      <c r="AW371" s="7"/>
      <c r="AX371" s="7"/>
      <c r="AY371" s="7"/>
      <c r="AZ371" s="7"/>
    </row>
    <row r="372" customFormat="false" ht="150" hidden="false" customHeight="true" outlineLevel="0" collapsed="false">
      <c r="A372" s="6" t="s">
        <v>2084</v>
      </c>
      <c r="B372" s="6" t="s">
        <v>1875</v>
      </c>
      <c r="C372" s="6" t="s">
        <v>1876</v>
      </c>
      <c r="D372" s="6" t="s">
        <v>96</v>
      </c>
      <c r="E372" s="6" t="s">
        <v>97</v>
      </c>
      <c r="F372" s="6"/>
      <c r="G372" s="6" t="s">
        <v>1362</v>
      </c>
      <c r="H372" s="6" t="s">
        <v>1330</v>
      </c>
      <c r="I372" s="6" t="s">
        <v>81</v>
      </c>
      <c r="J372" s="6" t="s">
        <v>621</v>
      </c>
      <c r="K372" s="6" t="s">
        <v>1523</v>
      </c>
      <c r="L372" s="6" t="s">
        <v>1524</v>
      </c>
      <c r="M372" s="6" t="s">
        <v>2079</v>
      </c>
      <c r="N372" s="6"/>
      <c r="O372" s="6"/>
      <c r="P372" s="6" t="s">
        <v>237</v>
      </c>
      <c r="Q372" s="6"/>
      <c r="R372" s="6" t="s">
        <v>339</v>
      </c>
      <c r="S372" s="6"/>
      <c r="T372" s="6"/>
      <c r="U372" s="6"/>
      <c r="V372" s="6"/>
      <c r="W372" s="6"/>
      <c r="X372" s="6"/>
      <c r="Y372" s="6"/>
      <c r="Z372" s="6"/>
      <c r="AA372" s="6" t="s">
        <v>89</v>
      </c>
      <c r="AB372" s="6" t="s">
        <v>2085</v>
      </c>
      <c r="AC372" s="6" t="s">
        <v>1885</v>
      </c>
      <c r="AD372" s="6" t="s">
        <v>2081</v>
      </c>
      <c r="AE372" s="6" t="s">
        <v>2082</v>
      </c>
      <c r="AF372" s="6" t="s">
        <v>2083</v>
      </c>
      <c r="AG372" s="6"/>
      <c r="AH372" s="6"/>
      <c r="AI372" s="7"/>
      <c r="AJ372" s="7"/>
      <c r="AK372" s="7"/>
      <c r="AL372" s="7"/>
      <c r="AM372" s="7"/>
      <c r="AN372" s="7"/>
      <c r="AO372" s="7"/>
      <c r="AP372" s="7"/>
      <c r="AQ372" s="7"/>
      <c r="AR372" s="7"/>
      <c r="AS372" s="7"/>
      <c r="AT372" s="7"/>
      <c r="AU372" s="7"/>
      <c r="AV372" s="7"/>
      <c r="AW372" s="7"/>
      <c r="AX372" s="7"/>
      <c r="AY372" s="7"/>
      <c r="AZ372" s="7"/>
    </row>
    <row r="373" customFormat="false" ht="150" hidden="false" customHeight="true" outlineLevel="0" collapsed="false">
      <c r="A373" s="6" t="s">
        <v>2086</v>
      </c>
      <c r="B373" s="6" t="s">
        <v>1875</v>
      </c>
      <c r="C373" s="6" t="s">
        <v>1876</v>
      </c>
      <c r="D373" s="6" t="s">
        <v>96</v>
      </c>
      <c r="E373" s="6" t="s">
        <v>97</v>
      </c>
      <c r="F373" s="6"/>
      <c r="G373" s="6" t="s">
        <v>1362</v>
      </c>
      <c r="H373" s="6" t="s">
        <v>1330</v>
      </c>
      <c r="I373" s="6" t="s">
        <v>81</v>
      </c>
      <c r="J373" s="6" t="s">
        <v>621</v>
      </c>
      <c r="K373" s="6" t="s">
        <v>1523</v>
      </c>
      <c r="L373" s="6" t="s">
        <v>1524</v>
      </c>
      <c r="M373" s="6" t="s">
        <v>2079</v>
      </c>
      <c r="N373" s="6"/>
      <c r="O373" s="6"/>
      <c r="P373" s="6" t="s">
        <v>237</v>
      </c>
      <c r="Q373" s="6"/>
      <c r="R373" s="6" t="s">
        <v>339</v>
      </c>
      <c r="S373" s="6"/>
      <c r="T373" s="6"/>
      <c r="U373" s="6"/>
      <c r="V373" s="6"/>
      <c r="W373" s="6"/>
      <c r="X373" s="6"/>
      <c r="Y373" s="6"/>
      <c r="Z373" s="6"/>
      <c r="AA373" s="6" t="s">
        <v>89</v>
      </c>
      <c r="AB373" s="6" t="s">
        <v>2087</v>
      </c>
      <c r="AC373" s="6" t="s">
        <v>1888</v>
      </c>
      <c r="AD373" s="6" t="s">
        <v>2081</v>
      </c>
      <c r="AE373" s="6" t="s">
        <v>2082</v>
      </c>
      <c r="AF373" s="6" t="s">
        <v>2083</v>
      </c>
      <c r="AG373" s="6"/>
      <c r="AH373" s="6"/>
      <c r="AI373" s="7"/>
      <c r="AJ373" s="7"/>
      <c r="AK373" s="7"/>
      <c r="AL373" s="7"/>
      <c r="AM373" s="7"/>
      <c r="AN373" s="7"/>
      <c r="AO373" s="7"/>
      <c r="AP373" s="7"/>
      <c r="AQ373" s="7"/>
      <c r="AR373" s="7"/>
      <c r="AS373" s="7"/>
      <c r="AT373" s="7"/>
      <c r="AU373" s="7"/>
      <c r="AV373" s="7"/>
      <c r="AW373" s="7"/>
      <c r="AX373" s="7"/>
      <c r="AY373" s="7"/>
      <c r="AZ373" s="7"/>
    </row>
    <row r="374" customFormat="false" ht="150" hidden="false" customHeight="true" outlineLevel="0" collapsed="false">
      <c r="A374" s="6" t="s">
        <v>2088</v>
      </c>
      <c r="B374" s="6" t="s">
        <v>1875</v>
      </c>
      <c r="C374" s="6" t="s">
        <v>1876</v>
      </c>
      <c r="D374" s="6" t="s">
        <v>96</v>
      </c>
      <c r="E374" s="6" t="s">
        <v>97</v>
      </c>
      <c r="F374" s="6"/>
      <c r="G374" s="6" t="s">
        <v>1362</v>
      </c>
      <c r="H374" s="6" t="s">
        <v>1330</v>
      </c>
      <c r="I374" s="6" t="s">
        <v>81</v>
      </c>
      <c r="J374" s="6" t="s">
        <v>621</v>
      </c>
      <c r="K374" s="6" t="s">
        <v>1523</v>
      </c>
      <c r="L374" s="6" t="s">
        <v>1524</v>
      </c>
      <c r="M374" s="6" t="s">
        <v>2079</v>
      </c>
      <c r="N374" s="6"/>
      <c r="O374" s="6"/>
      <c r="P374" s="6" t="s">
        <v>237</v>
      </c>
      <c r="Q374" s="6"/>
      <c r="R374" s="6" t="s">
        <v>339</v>
      </c>
      <c r="S374" s="6"/>
      <c r="T374" s="6"/>
      <c r="U374" s="6"/>
      <c r="V374" s="6"/>
      <c r="W374" s="6"/>
      <c r="X374" s="6"/>
      <c r="Y374" s="6"/>
      <c r="Z374" s="6"/>
      <c r="AA374" s="6" t="s">
        <v>89</v>
      </c>
      <c r="AB374" s="6" t="s">
        <v>2089</v>
      </c>
      <c r="AC374" s="6" t="s">
        <v>1891</v>
      </c>
      <c r="AD374" s="6" t="s">
        <v>2081</v>
      </c>
      <c r="AE374" s="6" t="s">
        <v>2082</v>
      </c>
      <c r="AF374" s="6" t="s">
        <v>2083</v>
      </c>
      <c r="AG374" s="6"/>
      <c r="AH374" s="6"/>
      <c r="AI374" s="7"/>
      <c r="AJ374" s="7"/>
      <c r="AK374" s="7"/>
      <c r="AL374" s="7"/>
      <c r="AM374" s="7"/>
      <c r="AN374" s="7"/>
      <c r="AO374" s="7"/>
      <c r="AP374" s="7"/>
      <c r="AQ374" s="7"/>
      <c r="AR374" s="7"/>
      <c r="AS374" s="7"/>
      <c r="AT374" s="7"/>
      <c r="AU374" s="7"/>
      <c r="AV374" s="7"/>
      <c r="AW374" s="7"/>
      <c r="AX374" s="7"/>
      <c r="AY374" s="7"/>
      <c r="AZ374" s="7"/>
    </row>
    <row r="375" customFormat="false" ht="150" hidden="false" customHeight="true" outlineLevel="0" collapsed="false">
      <c r="A375" s="6" t="s">
        <v>2090</v>
      </c>
      <c r="B375" s="6" t="s">
        <v>1875</v>
      </c>
      <c r="C375" s="6" t="s">
        <v>1876</v>
      </c>
      <c r="D375" s="6" t="s">
        <v>96</v>
      </c>
      <c r="E375" s="6" t="s">
        <v>97</v>
      </c>
      <c r="F375" s="6"/>
      <c r="G375" s="6" t="s">
        <v>1362</v>
      </c>
      <c r="H375" s="6" t="s">
        <v>1330</v>
      </c>
      <c r="I375" s="6" t="s">
        <v>81</v>
      </c>
      <c r="J375" s="6" t="s">
        <v>621</v>
      </c>
      <c r="K375" s="6" t="s">
        <v>1523</v>
      </c>
      <c r="L375" s="6" t="s">
        <v>1524</v>
      </c>
      <c r="M375" s="6" t="s">
        <v>2079</v>
      </c>
      <c r="N375" s="6"/>
      <c r="O375" s="6"/>
      <c r="P375" s="6" t="s">
        <v>237</v>
      </c>
      <c r="Q375" s="6"/>
      <c r="R375" s="6" t="s">
        <v>339</v>
      </c>
      <c r="S375" s="6"/>
      <c r="T375" s="6"/>
      <c r="U375" s="6"/>
      <c r="V375" s="6"/>
      <c r="W375" s="6"/>
      <c r="X375" s="6"/>
      <c r="Y375" s="6"/>
      <c r="Z375" s="6"/>
      <c r="AA375" s="6" t="s">
        <v>89</v>
      </c>
      <c r="AB375" s="6" t="s">
        <v>2091</v>
      </c>
      <c r="AC375" s="6" t="s">
        <v>1894</v>
      </c>
      <c r="AD375" s="6" t="s">
        <v>2081</v>
      </c>
      <c r="AE375" s="6" t="s">
        <v>2082</v>
      </c>
      <c r="AF375" s="6" t="s">
        <v>2083</v>
      </c>
      <c r="AG375" s="6"/>
      <c r="AH375" s="6"/>
      <c r="AI375" s="7"/>
      <c r="AJ375" s="7"/>
      <c r="AK375" s="7"/>
      <c r="AL375" s="7"/>
      <c r="AM375" s="7"/>
      <c r="AN375" s="7"/>
      <c r="AO375" s="7"/>
      <c r="AP375" s="7"/>
      <c r="AQ375" s="7"/>
      <c r="AR375" s="7"/>
      <c r="AS375" s="7"/>
      <c r="AT375" s="7"/>
      <c r="AU375" s="7"/>
      <c r="AV375" s="7"/>
      <c r="AW375" s="7"/>
      <c r="AX375" s="7"/>
      <c r="AY375" s="7"/>
      <c r="AZ375" s="7"/>
    </row>
    <row r="376" customFormat="false" ht="150" hidden="false" customHeight="true" outlineLevel="0" collapsed="false">
      <c r="A376" s="6" t="s">
        <v>2092</v>
      </c>
      <c r="B376" s="6" t="s">
        <v>1875</v>
      </c>
      <c r="C376" s="6" t="s">
        <v>1876</v>
      </c>
      <c r="D376" s="6" t="s">
        <v>96</v>
      </c>
      <c r="E376" s="6" t="s">
        <v>97</v>
      </c>
      <c r="F376" s="6"/>
      <c r="G376" s="6" t="s">
        <v>1362</v>
      </c>
      <c r="H376" s="6" t="s">
        <v>1330</v>
      </c>
      <c r="I376" s="6" t="s">
        <v>81</v>
      </c>
      <c r="J376" s="6" t="s">
        <v>621</v>
      </c>
      <c r="K376" s="6" t="s">
        <v>1523</v>
      </c>
      <c r="L376" s="6" t="s">
        <v>1524</v>
      </c>
      <c r="M376" s="6" t="s">
        <v>2079</v>
      </c>
      <c r="N376" s="6"/>
      <c r="O376" s="6"/>
      <c r="P376" s="6" t="s">
        <v>237</v>
      </c>
      <c r="Q376" s="6"/>
      <c r="R376" s="6" t="s">
        <v>339</v>
      </c>
      <c r="S376" s="6"/>
      <c r="T376" s="6"/>
      <c r="U376" s="6"/>
      <c r="V376" s="6"/>
      <c r="W376" s="6"/>
      <c r="X376" s="6"/>
      <c r="Y376" s="6"/>
      <c r="Z376" s="6"/>
      <c r="AA376" s="6" t="s">
        <v>89</v>
      </c>
      <c r="AB376" s="6" t="s">
        <v>2093</v>
      </c>
      <c r="AC376" s="6" t="s">
        <v>1897</v>
      </c>
      <c r="AD376" s="6" t="s">
        <v>2081</v>
      </c>
      <c r="AE376" s="6" t="s">
        <v>2082</v>
      </c>
      <c r="AF376" s="6" t="s">
        <v>2083</v>
      </c>
      <c r="AG376" s="6"/>
      <c r="AH376" s="6"/>
      <c r="AI376" s="7"/>
      <c r="AJ376" s="7"/>
      <c r="AK376" s="7"/>
      <c r="AL376" s="7"/>
      <c r="AM376" s="7"/>
      <c r="AN376" s="7"/>
      <c r="AO376" s="7"/>
      <c r="AP376" s="7"/>
      <c r="AQ376" s="7"/>
      <c r="AR376" s="7"/>
      <c r="AS376" s="7"/>
      <c r="AT376" s="7"/>
      <c r="AU376" s="7"/>
      <c r="AV376" s="7"/>
      <c r="AW376" s="7"/>
      <c r="AX376" s="7"/>
      <c r="AY376" s="7"/>
      <c r="AZ376" s="7"/>
    </row>
    <row r="377" customFormat="false" ht="150" hidden="false" customHeight="true" outlineLevel="0" collapsed="false">
      <c r="A377" s="6" t="s">
        <v>2094</v>
      </c>
      <c r="B377" s="6" t="s">
        <v>1875</v>
      </c>
      <c r="C377" s="6" t="s">
        <v>1876</v>
      </c>
      <c r="D377" s="6" t="s">
        <v>96</v>
      </c>
      <c r="E377" s="6" t="s">
        <v>97</v>
      </c>
      <c r="F377" s="6"/>
      <c r="G377" s="6" t="s">
        <v>1362</v>
      </c>
      <c r="H377" s="6" t="s">
        <v>1330</v>
      </c>
      <c r="I377" s="6" t="s">
        <v>81</v>
      </c>
      <c r="J377" s="6" t="s">
        <v>621</v>
      </c>
      <c r="K377" s="6" t="s">
        <v>1523</v>
      </c>
      <c r="L377" s="6" t="s">
        <v>1524</v>
      </c>
      <c r="M377" s="6" t="s">
        <v>2079</v>
      </c>
      <c r="N377" s="6"/>
      <c r="O377" s="6"/>
      <c r="P377" s="6" t="s">
        <v>237</v>
      </c>
      <c r="Q377" s="6"/>
      <c r="R377" s="6" t="s">
        <v>339</v>
      </c>
      <c r="S377" s="6"/>
      <c r="T377" s="6"/>
      <c r="U377" s="6"/>
      <c r="V377" s="6"/>
      <c r="W377" s="6"/>
      <c r="X377" s="6"/>
      <c r="Y377" s="6"/>
      <c r="Z377" s="6"/>
      <c r="AA377" s="6" t="s">
        <v>89</v>
      </c>
      <c r="AB377" s="6" t="s">
        <v>2095</v>
      </c>
      <c r="AC377" s="6" t="s">
        <v>1900</v>
      </c>
      <c r="AD377" s="6" t="s">
        <v>2081</v>
      </c>
      <c r="AE377" s="6" t="s">
        <v>2082</v>
      </c>
      <c r="AF377" s="6" t="s">
        <v>2083</v>
      </c>
      <c r="AG377" s="6"/>
      <c r="AH377" s="6"/>
      <c r="AI377" s="7"/>
      <c r="AJ377" s="7"/>
      <c r="AK377" s="7"/>
      <c r="AL377" s="7"/>
      <c r="AM377" s="7"/>
      <c r="AN377" s="7"/>
      <c r="AO377" s="7"/>
      <c r="AP377" s="7"/>
      <c r="AQ377" s="7"/>
      <c r="AR377" s="7"/>
      <c r="AS377" s="7"/>
      <c r="AT377" s="7"/>
      <c r="AU377" s="7"/>
      <c r="AV377" s="7"/>
      <c r="AW377" s="7"/>
      <c r="AX377" s="7"/>
      <c r="AY377" s="7"/>
      <c r="AZ377" s="7"/>
    </row>
    <row r="378" customFormat="false" ht="150" hidden="false" customHeight="true" outlineLevel="0" collapsed="false">
      <c r="A378" s="6" t="s">
        <v>2096</v>
      </c>
      <c r="B378" s="6" t="s">
        <v>1875</v>
      </c>
      <c r="C378" s="6" t="s">
        <v>1876</v>
      </c>
      <c r="D378" s="6" t="s">
        <v>96</v>
      </c>
      <c r="E378" s="6" t="s">
        <v>97</v>
      </c>
      <c r="F378" s="6"/>
      <c r="G378" s="6" t="s">
        <v>1362</v>
      </c>
      <c r="H378" s="6" t="s">
        <v>1330</v>
      </c>
      <c r="I378" s="6" t="s">
        <v>81</v>
      </c>
      <c r="J378" s="6" t="s">
        <v>621</v>
      </c>
      <c r="K378" s="6" t="s">
        <v>1523</v>
      </c>
      <c r="L378" s="6" t="s">
        <v>1524</v>
      </c>
      <c r="M378" s="6" t="s">
        <v>2079</v>
      </c>
      <c r="N378" s="6"/>
      <c r="O378" s="6"/>
      <c r="P378" s="6" t="s">
        <v>237</v>
      </c>
      <c r="Q378" s="6"/>
      <c r="R378" s="6" t="s">
        <v>339</v>
      </c>
      <c r="S378" s="6"/>
      <c r="T378" s="6"/>
      <c r="U378" s="6"/>
      <c r="V378" s="6"/>
      <c r="W378" s="6"/>
      <c r="X378" s="6"/>
      <c r="Y378" s="6"/>
      <c r="Z378" s="6"/>
      <c r="AA378" s="6" t="s">
        <v>89</v>
      </c>
      <c r="AB378" s="6" t="s">
        <v>2097</v>
      </c>
      <c r="AC378" s="6" t="s">
        <v>1903</v>
      </c>
      <c r="AD378" s="6" t="s">
        <v>2081</v>
      </c>
      <c r="AE378" s="6" t="s">
        <v>2082</v>
      </c>
      <c r="AF378" s="6" t="s">
        <v>2083</v>
      </c>
      <c r="AG378" s="6"/>
      <c r="AH378" s="6"/>
      <c r="AI378" s="7"/>
      <c r="AJ378" s="7"/>
      <c r="AK378" s="7"/>
      <c r="AL378" s="7"/>
      <c r="AM378" s="7"/>
      <c r="AN378" s="7"/>
      <c r="AO378" s="7"/>
      <c r="AP378" s="7"/>
      <c r="AQ378" s="7"/>
      <c r="AR378" s="7"/>
      <c r="AS378" s="7"/>
      <c r="AT378" s="7"/>
      <c r="AU378" s="7"/>
      <c r="AV378" s="7"/>
      <c r="AW378" s="7"/>
      <c r="AX378" s="7"/>
      <c r="AY378" s="7"/>
      <c r="AZ378" s="7"/>
    </row>
    <row r="379" customFormat="false" ht="150" hidden="false" customHeight="true" outlineLevel="0" collapsed="false">
      <c r="A379" s="6" t="s">
        <v>2098</v>
      </c>
      <c r="B379" s="6" t="s">
        <v>1875</v>
      </c>
      <c r="C379" s="6" t="s">
        <v>1876</v>
      </c>
      <c r="D379" s="6" t="s">
        <v>96</v>
      </c>
      <c r="E379" s="6" t="s">
        <v>97</v>
      </c>
      <c r="F379" s="6"/>
      <c r="G379" s="6" t="s">
        <v>1362</v>
      </c>
      <c r="H379" s="6" t="s">
        <v>1330</v>
      </c>
      <c r="I379" s="6" t="s">
        <v>81</v>
      </c>
      <c r="J379" s="6" t="s">
        <v>621</v>
      </c>
      <c r="K379" s="6" t="s">
        <v>1523</v>
      </c>
      <c r="L379" s="6" t="s">
        <v>1524</v>
      </c>
      <c r="M379" s="6" t="s">
        <v>2079</v>
      </c>
      <c r="N379" s="6"/>
      <c r="O379" s="6"/>
      <c r="P379" s="6" t="s">
        <v>237</v>
      </c>
      <c r="Q379" s="6"/>
      <c r="R379" s="6" t="s">
        <v>339</v>
      </c>
      <c r="S379" s="6"/>
      <c r="T379" s="6"/>
      <c r="U379" s="6"/>
      <c r="V379" s="6"/>
      <c r="W379" s="6"/>
      <c r="X379" s="6"/>
      <c r="Y379" s="6"/>
      <c r="Z379" s="6"/>
      <c r="AA379" s="6" t="s">
        <v>89</v>
      </c>
      <c r="AB379" s="6" t="s">
        <v>2099</v>
      </c>
      <c r="AC379" s="6" t="s">
        <v>1906</v>
      </c>
      <c r="AD379" s="6" t="s">
        <v>2081</v>
      </c>
      <c r="AE379" s="6" t="s">
        <v>2082</v>
      </c>
      <c r="AF379" s="6" t="s">
        <v>2083</v>
      </c>
      <c r="AG379" s="6"/>
      <c r="AH379" s="6"/>
      <c r="AI379" s="7"/>
      <c r="AJ379" s="7"/>
      <c r="AK379" s="7"/>
      <c r="AL379" s="7"/>
      <c r="AM379" s="7"/>
      <c r="AN379" s="7"/>
      <c r="AO379" s="7"/>
      <c r="AP379" s="7"/>
      <c r="AQ379" s="7"/>
      <c r="AR379" s="7"/>
      <c r="AS379" s="7"/>
      <c r="AT379" s="7"/>
      <c r="AU379" s="7"/>
      <c r="AV379" s="7"/>
      <c r="AW379" s="7"/>
      <c r="AX379" s="7"/>
      <c r="AY379" s="7"/>
      <c r="AZ379" s="7"/>
    </row>
    <row r="380" customFormat="false" ht="150" hidden="false" customHeight="true" outlineLevel="0" collapsed="false">
      <c r="A380" s="6" t="s">
        <v>2100</v>
      </c>
      <c r="B380" s="6" t="s">
        <v>1875</v>
      </c>
      <c r="C380" s="6" t="s">
        <v>1876</v>
      </c>
      <c r="D380" s="6" t="s">
        <v>96</v>
      </c>
      <c r="E380" s="6" t="s">
        <v>97</v>
      </c>
      <c r="F380" s="6"/>
      <c r="G380" s="6" t="s">
        <v>1362</v>
      </c>
      <c r="H380" s="6" t="s">
        <v>1330</v>
      </c>
      <c r="I380" s="6" t="s">
        <v>81</v>
      </c>
      <c r="J380" s="6" t="s">
        <v>621</v>
      </c>
      <c r="K380" s="6" t="s">
        <v>1523</v>
      </c>
      <c r="L380" s="6" t="s">
        <v>1524</v>
      </c>
      <c r="M380" s="6" t="s">
        <v>2079</v>
      </c>
      <c r="N380" s="6"/>
      <c r="O380" s="6"/>
      <c r="P380" s="6" t="s">
        <v>237</v>
      </c>
      <c r="Q380" s="6"/>
      <c r="R380" s="6" t="s">
        <v>339</v>
      </c>
      <c r="S380" s="6"/>
      <c r="T380" s="6"/>
      <c r="U380" s="6"/>
      <c r="V380" s="6"/>
      <c r="W380" s="6"/>
      <c r="X380" s="6"/>
      <c r="Y380" s="6"/>
      <c r="Z380" s="6"/>
      <c r="AA380" s="6" t="s">
        <v>89</v>
      </c>
      <c r="AB380" s="6" t="s">
        <v>2101</v>
      </c>
      <c r="AC380" s="6" t="s">
        <v>1909</v>
      </c>
      <c r="AD380" s="6" t="s">
        <v>2081</v>
      </c>
      <c r="AE380" s="6" t="s">
        <v>2082</v>
      </c>
      <c r="AF380" s="6" t="s">
        <v>2083</v>
      </c>
      <c r="AG380" s="6"/>
      <c r="AH380" s="6"/>
      <c r="AI380" s="7"/>
      <c r="AJ380" s="7"/>
      <c r="AK380" s="7"/>
      <c r="AL380" s="7"/>
      <c r="AM380" s="7"/>
      <c r="AN380" s="7"/>
      <c r="AO380" s="7"/>
      <c r="AP380" s="7"/>
      <c r="AQ380" s="7"/>
      <c r="AR380" s="7"/>
      <c r="AS380" s="7"/>
      <c r="AT380" s="7"/>
      <c r="AU380" s="7"/>
      <c r="AV380" s="7"/>
      <c r="AW380" s="7"/>
      <c r="AX380" s="7"/>
      <c r="AY380" s="7"/>
      <c r="AZ380" s="7"/>
    </row>
    <row r="381" customFormat="false" ht="150" hidden="false" customHeight="true" outlineLevel="0" collapsed="false">
      <c r="A381" s="6" t="s">
        <v>2102</v>
      </c>
      <c r="B381" s="6" t="s">
        <v>1875</v>
      </c>
      <c r="C381" s="6" t="s">
        <v>1876</v>
      </c>
      <c r="D381" s="6" t="s">
        <v>96</v>
      </c>
      <c r="E381" s="6" t="s">
        <v>97</v>
      </c>
      <c r="F381" s="6"/>
      <c r="G381" s="6" t="s">
        <v>1362</v>
      </c>
      <c r="H381" s="6" t="s">
        <v>1330</v>
      </c>
      <c r="I381" s="6" t="s">
        <v>81</v>
      </c>
      <c r="J381" s="6" t="s">
        <v>621</v>
      </c>
      <c r="K381" s="6" t="s">
        <v>1544</v>
      </c>
      <c r="L381" s="6" t="s">
        <v>1545</v>
      </c>
      <c r="M381" s="6" t="s">
        <v>2103</v>
      </c>
      <c r="N381" s="6"/>
      <c r="O381" s="6"/>
      <c r="P381" s="6" t="s">
        <v>1422</v>
      </c>
      <c r="Q381" s="6"/>
      <c r="R381" s="6" t="s">
        <v>1547</v>
      </c>
      <c r="S381" s="6"/>
      <c r="T381" s="6"/>
      <c r="U381" s="6"/>
      <c r="V381" s="6"/>
      <c r="W381" s="6"/>
      <c r="X381" s="6"/>
      <c r="Y381" s="6"/>
      <c r="Z381" s="6"/>
      <c r="AA381" s="6" t="s">
        <v>89</v>
      </c>
      <c r="AB381" s="6" t="s">
        <v>2104</v>
      </c>
      <c r="AC381" s="6" t="s">
        <v>1879</v>
      </c>
      <c r="AD381" s="6" t="s">
        <v>2105</v>
      </c>
      <c r="AE381" s="6" t="s">
        <v>2106</v>
      </c>
      <c r="AF381" s="6" t="s">
        <v>2107</v>
      </c>
      <c r="AG381" s="6"/>
      <c r="AH381" s="6"/>
      <c r="AI381" s="7"/>
      <c r="AJ381" s="7"/>
      <c r="AK381" s="7"/>
      <c r="AL381" s="7"/>
      <c r="AM381" s="7"/>
      <c r="AN381" s="7"/>
      <c r="AO381" s="7"/>
      <c r="AP381" s="7"/>
      <c r="AQ381" s="7"/>
      <c r="AR381" s="7"/>
      <c r="AS381" s="7"/>
      <c r="AT381" s="7"/>
      <c r="AU381" s="7"/>
      <c r="AV381" s="7"/>
      <c r="AW381" s="7"/>
      <c r="AX381" s="7"/>
      <c r="AY381" s="7"/>
      <c r="AZ381" s="7"/>
    </row>
    <row r="382" customFormat="false" ht="150" hidden="false" customHeight="true" outlineLevel="0" collapsed="false">
      <c r="A382" s="6" t="s">
        <v>2108</v>
      </c>
      <c r="B382" s="6" t="s">
        <v>1875</v>
      </c>
      <c r="C382" s="6" t="s">
        <v>1876</v>
      </c>
      <c r="D382" s="6" t="s">
        <v>96</v>
      </c>
      <c r="E382" s="6" t="s">
        <v>97</v>
      </c>
      <c r="F382" s="6"/>
      <c r="G382" s="6" t="s">
        <v>1362</v>
      </c>
      <c r="H382" s="6" t="s">
        <v>1330</v>
      </c>
      <c r="I382" s="6" t="s">
        <v>81</v>
      </c>
      <c r="J382" s="6" t="s">
        <v>621</v>
      </c>
      <c r="K382" s="6" t="s">
        <v>1544</v>
      </c>
      <c r="L382" s="6" t="s">
        <v>1545</v>
      </c>
      <c r="M382" s="6" t="s">
        <v>2103</v>
      </c>
      <c r="N382" s="6"/>
      <c r="O382" s="6"/>
      <c r="P382" s="6" t="s">
        <v>1422</v>
      </c>
      <c r="Q382" s="6"/>
      <c r="R382" s="6" t="s">
        <v>1547</v>
      </c>
      <c r="S382" s="6"/>
      <c r="T382" s="6"/>
      <c r="U382" s="6"/>
      <c r="V382" s="6"/>
      <c r="W382" s="6"/>
      <c r="X382" s="6"/>
      <c r="Y382" s="6"/>
      <c r="Z382" s="6"/>
      <c r="AA382" s="6" t="s">
        <v>89</v>
      </c>
      <c r="AB382" s="6" t="s">
        <v>2109</v>
      </c>
      <c r="AC382" s="6" t="s">
        <v>1885</v>
      </c>
      <c r="AD382" s="6" t="s">
        <v>2105</v>
      </c>
      <c r="AE382" s="6" t="s">
        <v>2106</v>
      </c>
      <c r="AF382" s="6" t="s">
        <v>2107</v>
      </c>
      <c r="AG382" s="6"/>
      <c r="AH382" s="6"/>
      <c r="AI382" s="7"/>
      <c r="AJ382" s="7"/>
      <c r="AK382" s="7"/>
      <c r="AL382" s="7"/>
      <c r="AM382" s="7"/>
      <c r="AN382" s="7"/>
      <c r="AO382" s="7"/>
      <c r="AP382" s="7"/>
      <c r="AQ382" s="7"/>
      <c r="AR382" s="7"/>
      <c r="AS382" s="7"/>
      <c r="AT382" s="7"/>
      <c r="AU382" s="7"/>
      <c r="AV382" s="7"/>
      <c r="AW382" s="7"/>
      <c r="AX382" s="7"/>
      <c r="AY382" s="7"/>
      <c r="AZ382" s="7"/>
    </row>
    <row r="383" customFormat="false" ht="150" hidden="false" customHeight="true" outlineLevel="0" collapsed="false">
      <c r="A383" s="6" t="s">
        <v>2110</v>
      </c>
      <c r="B383" s="6" t="s">
        <v>1875</v>
      </c>
      <c r="C383" s="6" t="s">
        <v>1876</v>
      </c>
      <c r="D383" s="6" t="s">
        <v>96</v>
      </c>
      <c r="E383" s="6" t="s">
        <v>97</v>
      </c>
      <c r="F383" s="6"/>
      <c r="G383" s="6" t="s">
        <v>1362</v>
      </c>
      <c r="H383" s="6" t="s">
        <v>1330</v>
      </c>
      <c r="I383" s="6" t="s">
        <v>81</v>
      </c>
      <c r="J383" s="6" t="s">
        <v>621</v>
      </c>
      <c r="K383" s="6" t="s">
        <v>1544</v>
      </c>
      <c r="L383" s="6" t="s">
        <v>1545</v>
      </c>
      <c r="M383" s="6" t="s">
        <v>2103</v>
      </c>
      <c r="N383" s="6"/>
      <c r="O383" s="6"/>
      <c r="P383" s="6" t="s">
        <v>1422</v>
      </c>
      <c r="Q383" s="6"/>
      <c r="R383" s="6" t="s">
        <v>1547</v>
      </c>
      <c r="S383" s="6"/>
      <c r="T383" s="6"/>
      <c r="U383" s="6"/>
      <c r="V383" s="6"/>
      <c r="W383" s="6"/>
      <c r="X383" s="6"/>
      <c r="Y383" s="6"/>
      <c r="Z383" s="6"/>
      <c r="AA383" s="6" t="s">
        <v>89</v>
      </c>
      <c r="AB383" s="6" t="s">
        <v>2111</v>
      </c>
      <c r="AC383" s="6" t="s">
        <v>1888</v>
      </c>
      <c r="AD383" s="6" t="s">
        <v>2105</v>
      </c>
      <c r="AE383" s="6" t="s">
        <v>2106</v>
      </c>
      <c r="AF383" s="6" t="s">
        <v>2107</v>
      </c>
      <c r="AG383" s="6"/>
      <c r="AH383" s="6"/>
      <c r="AI383" s="7"/>
      <c r="AJ383" s="7"/>
      <c r="AK383" s="7"/>
      <c r="AL383" s="7"/>
      <c r="AM383" s="7"/>
      <c r="AN383" s="7"/>
      <c r="AO383" s="7"/>
      <c r="AP383" s="7"/>
      <c r="AQ383" s="7"/>
      <c r="AR383" s="7"/>
      <c r="AS383" s="7"/>
      <c r="AT383" s="7"/>
      <c r="AU383" s="7"/>
      <c r="AV383" s="7"/>
      <c r="AW383" s="7"/>
      <c r="AX383" s="7"/>
      <c r="AY383" s="7"/>
      <c r="AZ383" s="7"/>
    </row>
    <row r="384" customFormat="false" ht="150" hidden="false" customHeight="true" outlineLevel="0" collapsed="false">
      <c r="A384" s="6" t="s">
        <v>2112</v>
      </c>
      <c r="B384" s="6" t="s">
        <v>1875</v>
      </c>
      <c r="C384" s="6" t="s">
        <v>1876</v>
      </c>
      <c r="D384" s="6" t="s">
        <v>96</v>
      </c>
      <c r="E384" s="6" t="s">
        <v>97</v>
      </c>
      <c r="F384" s="6"/>
      <c r="G384" s="6" t="s">
        <v>1362</v>
      </c>
      <c r="H384" s="6" t="s">
        <v>1330</v>
      </c>
      <c r="I384" s="6" t="s">
        <v>81</v>
      </c>
      <c r="J384" s="6" t="s">
        <v>621</v>
      </c>
      <c r="K384" s="6" t="s">
        <v>1544</v>
      </c>
      <c r="L384" s="6" t="s">
        <v>1545</v>
      </c>
      <c r="M384" s="6" t="s">
        <v>2103</v>
      </c>
      <c r="N384" s="6"/>
      <c r="O384" s="6"/>
      <c r="P384" s="6" t="s">
        <v>1422</v>
      </c>
      <c r="Q384" s="6"/>
      <c r="R384" s="6" t="s">
        <v>1547</v>
      </c>
      <c r="S384" s="6"/>
      <c r="T384" s="6"/>
      <c r="U384" s="6"/>
      <c r="V384" s="6"/>
      <c r="W384" s="6"/>
      <c r="X384" s="6"/>
      <c r="Y384" s="6"/>
      <c r="Z384" s="6"/>
      <c r="AA384" s="6" t="s">
        <v>89</v>
      </c>
      <c r="AB384" s="6" t="s">
        <v>2113</v>
      </c>
      <c r="AC384" s="6" t="s">
        <v>1891</v>
      </c>
      <c r="AD384" s="6" t="s">
        <v>2105</v>
      </c>
      <c r="AE384" s="6" t="s">
        <v>2106</v>
      </c>
      <c r="AF384" s="6" t="s">
        <v>2107</v>
      </c>
      <c r="AG384" s="6"/>
      <c r="AH384" s="6"/>
      <c r="AI384" s="7"/>
      <c r="AJ384" s="7"/>
      <c r="AK384" s="7"/>
      <c r="AL384" s="7"/>
      <c r="AM384" s="7"/>
      <c r="AN384" s="7"/>
      <c r="AO384" s="7"/>
      <c r="AP384" s="7"/>
      <c r="AQ384" s="7"/>
      <c r="AR384" s="7"/>
      <c r="AS384" s="7"/>
      <c r="AT384" s="7"/>
      <c r="AU384" s="7"/>
      <c r="AV384" s="7"/>
      <c r="AW384" s="7"/>
      <c r="AX384" s="7"/>
      <c r="AY384" s="7"/>
      <c r="AZ384" s="7"/>
    </row>
    <row r="385" customFormat="false" ht="150" hidden="false" customHeight="true" outlineLevel="0" collapsed="false">
      <c r="A385" s="6" t="s">
        <v>2114</v>
      </c>
      <c r="B385" s="6" t="s">
        <v>1875</v>
      </c>
      <c r="C385" s="6" t="s">
        <v>1876</v>
      </c>
      <c r="D385" s="6" t="s">
        <v>96</v>
      </c>
      <c r="E385" s="6" t="s">
        <v>97</v>
      </c>
      <c r="F385" s="6"/>
      <c r="G385" s="6" t="s">
        <v>1362</v>
      </c>
      <c r="H385" s="6" t="s">
        <v>1330</v>
      </c>
      <c r="I385" s="6" t="s">
        <v>81</v>
      </c>
      <c r="J385" s="6" t="s">
        <v>621</v>
      </c>
      <c r="K385" s="6" t="s">
        <v>1544</v>
      </c>
      <c r="L385" s="6" t="s">
        <v>1545</v>
      </c>
      <c r="M385" s="6" t="s">
        <v>2103</v>
      </c>
      <c r="N385" s="6"/>
      <c r="O385" s="6"/>
      <c r="P385" s="6" t="s">
        <v>1422</v>
      </c>
      <c r="Q385" s="6"/>
      <c r="R385" s="6" t="s">
        <v>1547</v>
      </c>
      <c r="S385" s="6"/>
      <c r="T385" s="6"/>
      <c r="U385" s="6"/>
      <c r="V385" s="6"/>
      <c r="W385" s="6"/>
      <c r="X385" s="6"/>
      <c r="Y385" s="6"/>
      <c r="Z385" s="6"/>
      <c r="AA385" s="6" t="s">
        <v>89</v>
      </c>
      <c r="AB385" s="6" t="s">
        <v>2115</v>
      </c>
      <c r="AC385" s="6" t="s">
        <v>1894</v>
      </c>
      <c r="AD385" s="6" t="s">
        <v>2105</v>
      </c>
      <c r="AE385" s="6" t="s">
        <v>2106</v>
      </c>
      <c r="AF385" s="6" t="s">
        <v>2107</v>
      </c>
      <c r="AG385" s="6"/>
      <c r="AH385" s="6"/>
      <c r="AI385" s="7"/>
      <c r="AJ385" s="7"/>
      <c r="AK385" s="7"/>
      <c r="AL385" s="7"/>
      <c r="AM385" s="7"/>
      <c r="AN385" s="7"/>
      <c r="AO385" s="7"/>
      <c r="AP385" s="7"/>
      <c r="AQ385" s="7"/>
      <c r="AR385" s="7"/>
      <c r="AS385" s="7"/>
      <c r="AT385" s="7"/>
      <c r="AU385" s="7"/>
      <c r="AV385" s="7"/>
      <c r="AW385" s="7"/>
      <c r="AX385" s="7"/>
      <c r="AY385" s="7"/>
      <c r="AZ385" s="7"/>
    </row>
    <row r="386" customFormat="false" ht="150" hidden="false" customHeight="true" outlineLevel="0" collapsed="false">
      <c r="A386" s="6" t="s">
        <v>2116</v>
      </c>
      <c r="B386" s="6" t="s">
        <v>1875</v>
      </c>
      <c r="C386" s="6" t="s">
        <v>1876</v>
      </c>
      <c r="D386" s="6" t="s">
        <v>96</v>
      </c>
      <c r="E386" s="6" t="s">
        <v>97</v>
      </c>
      <c r="F386" s="6"/>
      <c r="G386" s="6" t="s">
        <v>1362</v>
      </c>
      <c r="H386" s="6" t="s">
        <v>1330</v>
      </c>
      <c r="I386" s="6" t="s">
        <v>81</v>
      </c>
      <c r="J386" s="6" t="s">
        <v>621</v>
      </c>
      <c r="K386" s="6" t="s">
        <v>1544</v>
      </c>
      <c r="L386" s="6" t="s">
        <v>1545</v>
      </c>
      <c r="M386" s="6" t="s">
        <v>2103</v>
      </c>
      <c r="N386" s="6"/>
      <c r="O386" s="6"/>
      <c r="P386" s="6" t="s">
        <v>1422</v>
      </c>
      <c r="Q386" s="6"/>
      <c r="R386" s="6" t="s">
        <v>1547</v>
      </c>
      <c r="S386" s="6"/>
      <c r="T386" s="6"/>
      <c r="U386" s="6"/>
      <c r="V386" s="6"/>
      <c r="W386" s="6"/>
      <c r="X386" s="6"/>
      <c r="Y386" s="6"/>
      <c r="Z386" s="6"/>
      <c r="AA386" s="6" t="s">
        <v>89</v>
      </c>
      <c r="AB386" s="6" t="s">
        <v>2117</v>
      </c>
      <c r="AC386" s="6" t="s">
        <v>1897</v>
      </c>
      <c r="AD386" s="6" t="s">
        <v>2105</v>
      </c>
      <c r="AE386" s="6" t="s">
        <v>2106</v>
      </c>
      <c r="AF386" s="6" t="s">
        <v>2107</v>
      </c>
      <c r="AG386" s="6"/>
      <c r="AH386" s="6"/>
      <c r="AI386" s="7"/>
      <c r="AJ386" s="7"/>
      <c r="AK386" s="7"/>
      <c r="AL386" s="7"/>
      <c r="AM386" s="7"/>
      <c r="AN386" s="7"/>
      <c r="AO386" s="7"/>
      <c r="AP386" s="7"/>
      <c r="AQ386" s="7"/>
      <c r="AR386" s="7"/>
      <c r="AS386" s="7"/>
      <c r="AT386" s="7"/>
      <c r="AU386" s="7"/>
      <c r="AV386" s="7"/>
      <c r="AW386" s="7"/>
      <c r="AX386" s="7"/>
      <c r="AY386" s="7"/>
      <c r="AZ386" s="7"/>
    </row>
    <row r="387" customFormat="false" ht="150" hidden="false" customHeight="true" outlineLevel="0" collapsed="false">
      <c r="A387" s="6" t="s">
        <v>2118</v>
      </c>
      <c r="B387" s="6" t="s">
        <v>1875</v>
      </c>
      <c r="C387" s="6" t="s">
        <v>1876</v>
      </c>
      <c r="D387" s="6" t="s">
        <v>96</v>
      </c>
      <c r="E387" s="6" t="s">
        <v>97</v>
      </c>
      <c r="F387" s="6"/>
      <c r="G387" s="6" t="s">
        <v>1362</v>
      </c>
      <c r="H387" s="6" t="s">
        <v>1330</v>
      </c>
      <c r="I387" s="6" t="s">
        <v>81</v>
      </c>
      <c r="J387" s="6" t="s">
        <v>621</v>
      </c>
      <c r="K387" s="6" t="s">
        <v>1544</v>
      </c>
      <c r="L387" s="6" t="s">
        <v>1545</v>
      </c>
      <c r="M387" s="6" t="s">
        <v>2103</v>
      </c>
      <c r="N387" s="6"/>
      <c r="O387" s="6"/>
      <c r="P387" s="6" t="s">
        <v>1422</v>
      </c>
      <c r="Q387" s="6"/>
      <c r="R387" s="6" t="s">
        <v>1547</v>
      </c>
      <c r="S387" s="6"/>
      <c r="T387" s="6"/>
      <c r="U387" s="6"/>
      <c r="V387" s="6"/>
      <c r="W387" s="6"/>
      <c r="X387" s="6"/>
      <c r="Y387" s="6"/>
      <c r="Z387" s="6"/>
      <c r="AA387" s="6" t="s">
        <v>89</v>
      </c>
      <c r="AB387" s="6" t="s">
        <v>2119</v>
      </c>
      <c r="AC387" s="6" t="s">
        <v>1900</v>
      </c>
      <c r="AD387" s="6" t="s">
        <v>2105</v>
      </c>
      <c r="AE387" s="6" t="s">
        <v>2106</v>
      </c>
      <c r="AF387" s="6" t="s">
        <v>2107</v>
      </c>
      <c r="AG387" s="6"/>
      <c r="AH387" s="6"/>
      <c r="AI387" s="7"/>
      <c r="AJ387" s="7"/>
      <c r="AK387" s="7"/>
      <c r="AL387" s="7"/>
      <c r="AM387" s="7"/>
      <c r="AN387" s="7"/>
      <c r="AO387" s="7"/>
      <c r="AP387" s="7"/>
      <c r="AQ387" s="7"/>
      <c r="AR387" s="7"/>
      <c r="AS387" s="7"/>
      <c r="AT387" s="7"/>
      <c r="AU387" s="7"/>
      <c r="AV387" s="7"/>
      <c r="AW387" s="7"/>
      <c r="AX387" s="7"/>
      <c r="AY387" s="7"/>
      <c r="AZ387" s="7"/>
    </row>
    <row r="388" customFormat="false" ht="150" hidden="false" customHeight="true" outlineLevel="0" collapsed="false">
      <c r="A388" s="6" t="s">
        <v>2120</v>
      </c>
      <c r="B388" s="6" t="s">
        <v>1875</v>
      </c>
      <c r="C388" s="6" t="s">
        <v>1876</v>
      </c>
      <c r="D388" s="6" t="s">
        <v>96</v>
      </c>
      <c r="E388" s="6" t="s">
        <v>97</v>
      </c>
      <c r="F388" s="6"/>
      <c r="G388" s="6" t="s">
        <v>1362</v>
      </c>
      <c r="H388" s="6" t="s">
        <v>1330</v>
      </c>
      <c r="I388" s="6" t="s">
        <v>81</v>
      </c>
      <c r="J388" s="6" t="s">
        <v>621</v>
      </c>
      <c r="K388" s="6" t="s">
        <v>1544</v>
      </c>
      <c r="L388" s="6" t="s">
        <v>1545</v>
      </c>
      <c r="M388" s="6" t="s">
        <v>2103</v>
      </c>
      <c r="N388" s="6"/>
      <c r="O388" s="6"/>
      <c r="P388" s="6" t="s">
        <v>1422</v>
      </c>
      <c r="Q388" s="6"/>
      <c r="R388" s="6" t="s">
        <v>1547</v>
      </c>
      <c r="S388" s="6"/>
      <c r="T388" s="6"/>
      <c r="U388" s="6"/>
      <c r="V388" s="6"/>
      <c r="W388" s="6"/>
      <c r="X388" s="6"/>
      <c r="Y388" s="6"/>
      <c r="Z388" s="6"/>
      <c r="AA388" s="6" t="s">
        <v>89</v>
      </c>
      <c r="AB388" s="6" t="s">
        <v>2121</v>
      </c>
      <c r="AC388" s="6" t="s">
        <v>1903</v>
      </c>
      <c r="AD388" s="6" t="s">
        <v>2105</v>
      </c>
      <c r="AE388" s="6" t="s">
        <v>2106</v>
      </c>
      <c r="AF388" s="6" t="s">
        <v>2107</v>
      </c>
      <c r="AG388" s="6"/>
      <c r="AH388" s="6"/>
      <c r="AI388" s="7"/>
      <c r="AJ388" s="7"/>
      <c r="AK388" s="7"/>
      <c r="AL388" s="7"/>
      <c r="AM388" s="7"/>
      <c r="AN388" s="7"/>
      <c r="AO388" s="7"/>
      <c r="AP388" s="7"/>
      <c r="AQ388" s="7"/>
      <c r="AR388" s="7"/>
      <c r="AS388" s="7"/>
      <c r="AT388" s="7"/>
      <c r="AU388" s="7"/>
      <c r="AV388" s="7"/>
      <c r="AW388" s="7"/>
      <c r="AX388" s="7"/>
      <c r="AY388" s="7"/>
      <c r="AZ388" s="7"/>
    </row>
    <row r="389" customFormat="false" ht="150" hidden="false" customHeight="true" outlineLevel="0" collapsed="false">
      <c r="A389" s="6" t="s">
        <v>2122</v>
      </c>
      <c r="B389" s="6" t="s">
        <v>1875</v>
      </c>
      <c r="C389" s="6" t="s">
        <v>1876</v>
      </c>
      <c r="D389" s="6" t="s">
        <v>96</v>
      </c>
      <c r="E389" s="6" t="s">
        <v>97</v>
      </c>
      <c r="F389" s="6"/>
      <c r="G389" s="6" t="s">
        <v>1362</v>
      </c>
      <c r="H389" s="6" t="s">
        <v>1330</v>
      </c>
      <c r="I389" s="6" t="s">
        <v>81</v>
      </c>
      <c r="J389" s="6" t="s">
        <v>621</v>
      </c>
      <c r="K389" s="6" t="s">
        <v>1544</v>
      </c>
      <c r="L389" s="6" t="s">
        <v>1545</v>
      </c>
      <c r="M389" s="6" t="s">
        <v>2103</v>
      </c>
      <c r="N389" s="6"/>
      <c r="O389" s="6"/>
      <c r="P389" s="6" t="s">
        <v>1422</v>
      </c>
      <c r="Q389" s="6"/>
      <c r="R389" s="6" t="s">
        <v>1547</v>
      </c>
      <c r="S389" s="6"/>
      <c r="T389" s="6"/>
      <c r="U389" s="6"/>
      <c r="V389" s="6"/>
      <c r="W389" s="6"/>
      <c r="X389" s="6"/>
      <c r="Y389" s="6"/>
      <c r="Z389" s="6"/>
      <c r="AA389" s="6" t="s">
        <v>89</v>
      </c>
      <c r="AB389" s="6" t="s">
        <v>2123</v>
      </c>
      <c r="AC389" s="6" t="s">
        <v>1906</v>
      </c>
      <c r="AD389" s="6" t="s">
        <v>2105</v>
      </c>
      <c r="AE389" s="6" t="s">
        <v>2106</v>
      </c>
      <c r="AF389" s="6" t="s">
        <v>2107</v>
      </c>
      <c r="AG389" s="6"/>
      <c r="AH389" s="6"/>
      <c r="AI389" s="7"/>
      <c r="AJ389" s="7"/>
      <c r="AK389" s="7"/>
      <c r="AL389" s="7"/>
      <c r="AM389" s="7"/>
      <c r="AN389" s="7"/>
      <c r="AO389" s="7"/>
      <c r="AP389" s="7"/>
      <c r="AQ389" s="7"/>
      <c r="AR389" s="7"/>
      <c r="AS389" s="7"/>
      <c r="AT389" s="7"/>
      <c r="AU389" s="7"/>
      <c r="AV389" s="7"/>
      <c r="AW389" s="7"/>
      <c r="AX389" s="7"/>
      <c r="AY389" s="7"/>
      <c r="AZ389" s="7"/>
    </row>
    <row r="390" customFormat="false" ht="150" hidden="false" customHeight="true" outlineLevel="0" collapsed="false">
      <c r="A390" s="6" t="s">
        <v>2124</v>
      </c>
      <c r="B390" s="6" t="s">
        <v>1875</v>
      </c>
      <c r="C390" s="6" t="s">
        <v>1876</v>
      </c>
      <c r="D390" s="6" t="s">
        <v>96</v>
      </c>
      <c r="E390" s="6" t="s">
        <v>97</v>
      </c>
      <c r="F390" s="6"/>
      <c r="G390" s="6" t="s">
        <v>1362</v>
      </c>
      <c r="H390" s="6" t="s">
        <v>1330</v>
      </c>
      <c r="I390" s="6" t="s">
        <v>81</v>
      </c>
      <c r="J390" s="6" t="s">
        <v>621</v>
      </c>
      <c r="K390" s="6" t="s">
        <v>1544</v>
      </c>
      <c r="L390" s="6" t="s">
        <v>1545</v>
      </c>
      <c r="M390" s="6" t="s">
        <v>2103</v>
      </c>
      <c r="N390" s="6"/>
      <c r="O390" s="6"/>
      <c r="P390" s="6" t="s">
        <v>1422</v>
      </c>
      <c r="Q390" s="6"/>
      <c r="R390" s="6" t="s">
        <v>1547</v>
      </c>
      <c r="S390" s="6"/>
      <c r="T390" s="6"/>
      <c r="U390" s="6"/>
      <c r="V390" s="6"/>
      <c r="W390" s="6"/>
      <c r="X390" s="6"/>
      <c r="Y390" s="6"/>
      <c r="Z390" s="6"/>
      <c r="AA390" s="6" t="s">
        <v>89</v>
      </c>
      <c r="AB390" s="6" t="s">
        <v>2125</v>
      </c>
      <c r="AC390" s="6" t="s">
        <v>1909</v>
      </c>
      <c r="AD390" s="6" t="s">
        <v>2105</v>
      </c>
      <c r="AE390" s="6" t="s">
        <v>2106</v>
      </c>
      <c r="AF390" s="6" t="s">
        <v>2107</v>
      </c>
      <c r="AG390" s="6"/>
      <c r="AH390" s="6"/>
      <c r="AI390" s="7"/>
      <c r="AJ390" s="7"/>
      <c r="AK390" s="7"/>
      <c r="AL390" s="7"/>
      <c r="AM390" s="7"/>
      <c r="AN390" s="7"/>
      <c r="AO390" s="7"/>
      <c r="AP390" s="7"/>
      <c r="AQ390" s="7"/>
      <c r="AR390" s="7"/>
      <c r="AS390" s="7"/>
      <c r="AT390" s="7"/>
      <c r="AU390" s="7"/>
      <c r="AV390" s="7"/>
      <c r="AW390" s="7"/>
      <c r="AX390" s="7"/>
      <c r="AY390" s="7"/>
      <c r="AZ390" s="7"/>
    </row>
    <row r="391" customFormat="false" ht="150" hidden="false" customHeight="true" outlineLevel="0" collapsed="false">
      <c r="A391" s="6" t="s">
        <v>2126</v>
      </c>
      <c r="B391" s="6" t="s">
        <v>1875</v>
      </c>
      <c r="C391" s="6" t="s">
        <v>1876</v>
      </c>
      <c r="D391" s="6" t="s">
        <v>96</v>
      </c>
      <c r="E391" s="6" t="s">
        <v>97</v>
      </c>
      <c r="F391" s="6"/>
      <c r="G391" s="6" t="s">
        <v>1362</v>
      </c>
      <c r="H391" s="6" t="s">
        <v>1330</v>
      </c>
      <c r="I391" s="6" t="s">
        <v>81</v>
      </c>
      <c r="J391" s="6" t="s">
        <v>621</v>
      </c>
      <c r="K391" s="6" t="s">
        <v>1566</v>
      </c>
      <c r="L391" s="6" t="s">
        <v>1567</v>
      </c>
      <c r="M391" s="6" t="s">
        <v>2127</v>
      </c>
      <c r="N391" s="6"/>
      <c r="O391" s="6"/>
      <c r="P391" s="6" t="s">
        <v>397</v>
      </c>
      <c r="Q391" s="6" t="s">
        <v>338</v>
      </c>
      <c r="R391" s="6"/>
      <c r="S391" s="6"/>
      <c r="T391" s="6"/>
      <c r="U391" s="6"/>
      <c r="V391" s="6"/>
      <c r="W391" s="6"/>
      <c r="X391" s="6"/>
      <c r="Y391" s="6"/>
      <c r="Z391" s="6"/>
      <c r="AA391" s="6" t="s">
        <v>89</v>
      </c>
      <c r="AB391" s="6" t="s">
        <v>2128</v>
      </c>
      <c r="AC391" s="6" t="s">
        <v>1879</v>
      </c>
      <c r="AD391" s="6" t="s">
        <v>2129</v>
      </c>
      <c r="AE391" s="6" t="s">
        <v>2130</v>
      </c>
      <c r="AF391" s="6" t="s">
        <v>2131</v>
      </c>
      <c r="AG391" s="6"/>
      <c r="AH391" s="6"/>
      <c r="AI391" s="7"/>
      <c r="AJ391" s="7"/>
      <c r="AK391" s="7"/>
      <c r="AL391" s="7"/>
      <c r="AM391" s="7"/>
      <c r="AN391" s="7"/>
      <c r="AO391" s="7"/>
      <c r="AP391" s="7"/>
      <c r="AQ391" s="7"/>
      <c r="AR391" s="7"/>
      <c r="AS391" s="7"/>
      <c r="AT391" s="7"/>
      <c r="AU391" s="7"/>
      <c r="AV391" s="7"/>
      <c r="AW391" s="7"/>
      <c r="AX391" s="7"/>
      <c r="AY391" s="7"/>
      <c r="AZ391" s="7"/>
    </row>
    <row r="392" customFormat="false" ht="150" hidden="false" customHeight="true" outlineLevel="0" collapsed="false">
      <c r="A392" s="6" t="s">
        <v>2132</v>
      </c>
      <c r="B392" s="6" t="s">
        <v>1875</v>
      </c>
      <c r="C392" s="6" t="s">
        <v>1876</v>
      </c>
      <c r="D392" s="6" t="s">
        <v>96</v>
      </c>
      <c r="E392" s="6" t="s">
        <v>97</v>
      </c>
      <c r="F392" s="6"/>
      <c r="G392" s="6" t="s">
        <v>1362</v>
      </c>
      <c r="H392" s="6" t="s">
        <v>1330</v>
      </c>
      <c r="I392" s="6" t="s">
        <v>81</v>
      </c>
      <c r="J392" s="6" t="s">
        <v>621</v>
      </c>
      <c r="K392" s="6" t="s">
        <v>1566</v>
      </c>
      <c r="L392" s="6" t="s">
        <v>1567</v>
      </c>
      <c r="M392" s="6" t="s">
        <v>2127</v>
      </c>
      <c r="N392" s="6"/>
      <c r="O392" s="6"/>
      <c r="P392" s="6" t="s">
        <v>397</v>
      </c>
      <c r="Q392" s="6" t="s">
        <v>338</v>
      </c>
      <c r="R392" s="6"/>
      <c r="S392" s="6"/>
      <c r="T392" s="6"/>
      <c r="U392" s="6"/>
      <c r="V392" s="6"/>
      <c r="W392" s="6"/>
      <c r="X392" s="6"/>
      <c r="Y392" s="6"/>
      <c r="Z392" s="6"/>
      <c r="AA392" s="6" t="s">
        <v>89</v>
      </c>
      <c r="AB392" s="6" t="s">
        <v>2133</v>
      </c>
      <c r="AC392" s="6" t="s">
        <v>1885</v>
      </c>
      <c r="AD392" s="6" t="s">
        <v>2129</v>
      </c>
      <c r="AE392" s="6" t="s">
        <v>2130</v>
      </c>
      <c r="AF392" s="6" t="s">
        <v>2131</v>
      </c>
      <c r="AG392" s="6"/>
      <c r="AH392" s="6"/>
      <c r="AI392" s="7"/>
      <c r="AJ392" s="7"/>
      <c r="AK392" s="7"/>
      <c r="AL392" s="7"/>
      <c r="AM392" s="7"/>
      <c r="AN392" s="7"/>
      <c r="AO392" s="7"/>
      <c r="AP392" s="7"/>
      <c r="AQ392" s="7"/>
      <c r="AR392" s="7"/>
      <c r="AS392" s="7"/>
      <c r="AT392" s="7"/>
      <c r="AU392" s="7"/>
      <c r="AV392" s="7"/>
      <c r="AW392" s="7"/>
      <c r="AX392" s="7"/>
      <c r="AY392" s="7"/>
      <c r="AZ392" s="7"/>
    </row>
    <row r="393" customFormat="false" ht="150" hidden="false" customHeight="true" outlineLevel="0" collapsed="false">
      <c r="A393" s="6" t="s">
        <v>2134</v>
      </c>
      <c r="B393" s="6" t="s">
        <v>1875</v>
      </c>
      <c r="C393" s="6" t="s">
        <v>1876</v>
      </c>
      <c r="D393" s="6" t="s">
        <v>96</v>
      </c>
      <c r="E393" s="6" t="s">
        <v>97</v>
      </c>
      <c r="F393" s="6"/>
      <c r="G393" s="6" t="s">
        <v>1362</v>
      </c>
      <c r="H393" s="6" t="s">
        <v>1330</v>
      </c>
      <c r="I393" s="6" t="s">
        <v>81</v>
      </c>
      <c r="J393" s="6" t="s">
        <v>621</v>
      </c>
      <c r="K393" s="6" t="s">
        <v>1566</v>
      </c>
      <c r="L393" s="6" t="s">
        <v>1567</v>
      </c>
      <c r="M393" s="6" t="s">
        <v>2127</v>
      </c>
      <c r="N393" s="6"/>
      <c r="O393" s="6"/>
      <c r="P393" s="6" t="s">
        <v>397</v>
      </c>
      <c r="Q393" s="6" t="s">
        <v>338</v>
      </c>
      <c r="R393" s="6"/>
      <c r="S393" s="6"/>
      <c r="T393" s="6"/>
      <c r="U393" s="6"/>
      <c r="V393" s="6"/>
      <c r="W393" s="6"/>
      <c r="X393" s="6"/>
      <c r="Y393" s="6"/>
      <c r="Z393" s="6"/>
      <c r="AA393" s="6" t="s">
        <v>89</v>
      </c>
      <c r="AB393" s="6" t="s">
        <v>2135</v>
      </c>
      <c r="AC393" s="6" t="s">
        <v>1888</v>
      </c>
      <c r="AD393" s="6" t="s">
        <v>2129</v>
      </c>
      <c r="AE393" s="6" t="s">
        <v>2130</v>
      </c>
      <c r="AF393" s="6" t="s">
        <v>2131</v>
      </c>
      <c r="AG393" s="6"/>
      <c r="AH393" s="6"/>
      <c r="AI393" s="7"/>
      <c r="AJ393" s="7"/>
      <c r="AK393" s="7"/>
      <c r="AL393" s="7"/>
      <c r="AM393" s="7"/>
      <c r="AN393" s="7"/>
      <c r="AO393" s="7"/>
      <c r="AP393" s="7"/>
      <c r="AQ393" s="7"/>
      <c r="AR393" s="7"/>
      <c r="AS393" s="7"/>
      <c r="AT393" s="7"/>
      <c r="AU393" s="7"/>
      <c r="AV393" s="7"/>
      <c r="AW393" s="7"/>
      <c r="AX393" s="7"/>
      <c r="AY393" s="7"/>
      <c r="AZ393" s="7"/>
    </row>
    <row r="394" customFormat="false" ht="150" hidden="false" customHeight="true" outlineLevel="0" collapsed="false">
      <c r="A394" s="6" t="s">
        <v>2136</v>
      </c>
      <c r="B394" s="6" t="s">
        <v>1875</v>
      </c>
      <c r="C394" s="6" t="s">
        <v>1876</v>
      </c>
      <c r="D394" s="6" t="s">
        <v>96</v>
      </c>
      <c r="E394" s="6" t="s">
        <v>97</v>
      </c>
      <c r="F394" s="6"/>
      <c r="G394" s="6" t="s">
        <v>1362</v>
      </c>
      <c r="H394" s="6" t="s">
        <v>1330</v>
      </c>
      <c r="I394" s="6" t="s">
        <v>81</v>
      </c>
      <c r="J394" s="6" t="s">
        <v>621</v>
      </c>
      <c r="K394" s="6" t="s">
        <v>1566</v>
      </c>
      <c r="L394" s="6" t="s">
        <v>1567</v>
      </c>
      <c r="M394" s="6" t="s">
        <v>2127</v>
      </c>
      <c r="N394" s="6"/>
      <c r="O394" s="6"/>
      <c r="P394" s="6" t="s">
        <v>397</v>
      </c>
      <c r="Q394" s="6" t="s">
        <v>338</v>
      </c>
      <c r="R394" s="6"/>
      <c r="S394" s="6"/>
      <c r="T394" s="6"/>
      <c r="U394" s="6"/>
      <c r="V394" s="6"/>
      <c r="W394" s="6"/>
      <c r="X394" s="6"/>
      <c r="Y394" s="6"/>
      <c r="Z394" s="6"/>
      <c r="AA394" s="6" t="s">
        <v>89</v>
      </c>
      <c r="AB394" s="6" t="s">
        <v>2137</v>
      </c>
      <c r="AC394" s="6" t="s">
        <v>1891</v>
      </c>
      <c r="AD394" s="6" t="s">
        <v>2129</v>
      </c>
      <c r="AE394" s="6" t="s">
        <v>2130</v>
      </c>
      <c r="AF394" s="6" t="s">
        <v>2131</v>
      </c>
      <c r="AG394" s="6"/>
      <c r="AH394" s="6"/>
      <c r="AI394" s="7"/>
      <c r="AJ394" s="7"/>
      <c r="AK394" s="7"/>
      <c r="AL394" s="7"/>
      <c r="AM394" s="7"/>
      <c r="AN394" s="7"/>
      <c r="AO394" s="7"/>
      <c r="AP394" s="7"/>
      <c r="AQ394" s="7"/>
      <c r="AR394" s="7"/>
      <c r="AS394" s="7"/>
      <c r="AT394" s="7"/>
      <c r="AU394" s="7"/>
      <c r="AV394" s="7"/>
      <c r="AW394" s="7"/>
      <c r="AX394" s="7"/>
      <c r="AY394" s="7"/>
      <c r="AZ394" s="7"/>
    </row>
    <row r="395" customFormat="false" ht="150" hidden="false" customHeight="true" outlineLevel="0" collapsed="false">
      <c r="A395" s="6" t="s">
        <v>2138</v>
      </c>
      <c r="B395" s="6" t="s">
        <v>1875</v>
      </c>
      <c r="C395" s="6" t="s">
        <v>1876</v>
      </c>
      <c r="D395" s="6" t="s">
        <v>96</v>
      </c>
      <c r="E395" s="6" t="s">
        <v>97</v>
      </c>
      <c r="F395" s="6"/>
      <c r="G395" s="6" t="s">
        <v>1362</v>
      </c>
      <c r="H395" s="6" t="s">
        <v>1330</v>
      </c>
      <c r="I395" s="6" t="s">
        <v>81</v>
      </c>
      <c r="J395" s="6" t="s">
        <v>621</v>
      </c>
      <c r="K395" s="6" t="s">
        <v>1566</v>
      </c>
      <c r="L395" s="6" t="s">
        <v>1567</v>
      </c>
      <c r="M395" s="6" t="s">
        <v>2127</v>
      </c>
      <c r="N395" s="6"/>
      <c r="O395" s="6"/>
      <c r="P395" s="6" t="s">
        <v>397</v>
      </c>
      <c r="Q395" s="6" t="s">
        <v>338</v>
      </c>
      <c r="R395" s="6"/>
      <c r="S395" s="6"/>
      <c r="T395" s="6"/>
      <c r="U395" s="6"/>
      <c r="V395" s="6"/>
      <c r="W395" s="6"/>
      <c r="X395" s="6"/>
      <c r="Y395" s="6"/>
      <c r="Z395" s="6"/>
      <c r="AA395" s="6" t="s">
        <v>89</v>
      </c>
      <c r="AB395" s="6" t="s">
        <v>2139</v>
      </c>
      <c r="AC395" s="6" t="s">
        <v>1894</v>
      </c>
      <c r="AD395" s="6" t="s">
        <v>2129</v>
      </c>
      <c r="AE395" s="6" t="s">
        <v>2130</v>
      </c>
      <c r="AF395" s="6" t="s">
        <v>2131</v>
      </c>
      <c r="AG395" s="6"/>
      <c r="AH395" s="6"/>
      <c r="AI395" s="7"/>
      <c r="AJ395" s="7"/>
      <c r="AK395" s="7"/>
      <c r="AL395" s="7"/>
      <c r="AM395" s="7"/>
      <c r="AN395" s="7"/>
      <c r="AO395" s="7"/>
      <c r="AP395" s="7"/>
      <c r="AQ395" s="7"/>
      <c r="AR395" s="7"/>
      <c r="AS395" s="7"/>
      <c r="AT395" s="7"/>
      <c r="AU395" s="7"/>
      <c r="AV395" s="7"/>
      <c r="AW395" s="7"/>
      <c r="AX395" s="7"/>
      <c r="AY395" s="7"/>
      <c r="AZ395" s="7"/>
    </row>
    <row r="396" customFormat="false" ht="150" hidden="false" customHeight="true" outlineLevel="0" collapsed="false">
      <c r="A396" s="6" t="s">
        <v>2140</v>
      </c>
      <c r="B396" s="6" t="s">
        <v>1875</v>
      </c>
      <c r="C396" s="6" t="s">
        <v>1876</v>
      </c>
      <c r="D396" s="6" t="s">
        <v>96</v>
      </c>
      <c r="E396" s="6" t="s">
        <v>97</v>
      </c>
      <c r="F396" s="6"/>
      <c r="G396" s="6" t="s">
        <v>1362</v>
      </c>
      <c r="H396" s="6" t="s">
        <v>1330</v>
      </c>
      <c r="I396" s="6" t="s">
        <v>81</v>
      </c>
      <c r="J396" s="6" t="s">
        <v>621</v>
      </c>
      <c r="K396" s="6" t="s">
        <v>1566</v>
      </c>
      <c r="L396" s="6" t="s">
        <v>1567</v>
      </c>
      <c r="M396" s="6" t="s">
        <v>2127</v>
      </c>
      <c r="N396" s="6"/>
      <c r="O396" s="6"/>
      <c r="P396" s="6" t="s">
        <v>397</v>
      </c>
      <c r="Q396" s="6" t="s">
        <v>338</v>
      </c>
      <c r="R396" s="6"/>
      <c r="S396" s="6"/>
      <c r="T396" s="6"/>
      <c r="U396" s="6"/>
      <c r="V396" s="6"/>
      <c r="W396" s="6"/>
      <c r="X396" s="6"/>
      <c r="Y396" s="6"/>
      <c r="Z396" s="6"/>
      <c r="AA396" s="6" t="s">
        <v>89</v>
      </c>
      <c r="AB396" s="6" t="s">
        <v>2141</v>
      </c>
      <c r="AC396" s="6" t="s">
        <v>1897</v>
      </c>
      <c r="AD396" s="6" t="s">
        <v>2129</v>
      </c>
      <c r="AE396" s="6" t="s">
        <v>2130</v>
      </c>
      <c r="AF396" s="6" t="s">
        <v>2131</v>
      </c>
      <c r="AG396" s="6"/>
      <c r="AH396" s="6"/>
      <c r="AI396" s="7"/>
      <c r="AJ396" s="7"/>
      <c r="AK396" s="7"/>
      <c r="AL396" s="7"/>
      <c r="AM396" s="7"/>
      <c r="AN396" s="7"/>
      <c r="AO396" s="7"/>
      <c r="AP396" s="7"/>
      <c r="AQ396" s="7"/>
      <c r="AR396" s="7"/>
      <c r="AS396" s="7"/>
      <c r="AT396" s="7"/>
      <c r="AU396" s="7"/>
      <c r="AV396" s="7"/>
      <c r="AW396" s="7"/>
      <c r="AX396" s="7"/>
      <c r="AY396" s="7"/>
      <c r="AZ396" s="7"/>
    </row>
    <row r="397" customFormat="false" ht="150" hidden="false" customHeight="true" outlineLevel="0" collapsed="false">
      <c r="A397" s="6" t="s">
        <v>2142</v>
      </c>
      <c r="B397" s="6" t="s">
        <v>1875</v>
      </c>
      <c r="C397" s="6" t="s">
        <v>1876</v>
      </c>
      <c r="D397" s="6" t="s">
        <v>96</v>
      </c>
      <c r="E397" s="6" t="s">
        <v>97</v>
      </c>
      <c r="F397" s="6"/>
      <c r="G397" s="6" t="s">
        <v>1362</v>
      </c>
      <c r="H397" s="6" t="s">
        <v>1330</v>
      </c>
      <c r="I397" s="6" t="s">
        <v>81</v>
      </c>
      <c r="J397" s="6" t="s">
        <v>621</v>
      </c>
      <c r="K397" s="6" t="s">
        <v>1566</v>
      </c>
      <c r="L397" s="6" t="s">
        <v>1567</v>
      </c>
      <c r="M397" s="6" t="s">
        <v>2127</v>
      </c>
      <c r="N397" s="6"/>
      <c r="O397" s="6"/>
      <c r="P397" s="6" t="s">
        <v>397</v>
      </c>
      <c r="Q397" s="6" t="s">
        <v>338</v>
      </c>
      <c r="R397" s="6"/>
      <c r="S397" s="6"/>
      <c r="T397" s="6"/>
      <c r="U397" s="6"/>
      <c r="V397" s="6"/>
      <c r="W397" s="6"/>
      <c r="X397" s="6"/>
      <c r="Y397" s="6"/>
      <c r="Z397" s="6"/>
      <c r="AA397" s="6" t="s">
        <v>89</v>
      </c>
      <c r="AB397" s="6" t="s">
        <v>2143</v>
      </c>
      <c r="AC397" s="6" t="s">
        <v>1900</v>
      </c>
      <c r="AD397" s="6" t="s">
        <v>2129</v>
      </c>
      <c r="AE397" s="6" t="s">
        <v>2130</v>
      </c>
      <c r="AF397" s="6" t="s">
        <v>2131</v>
      </c>
      <c r="AG397" s="6"/>
      <c r="AH397" s="6"/>
      <c r="AI397" s="7"/>
      <c r="AJ397" s="7"/>
      <c r="AK397" s="7"/>
      <c r="AL397" s="7"/>
      <c r="AM397" s="7"/>
      <c r="AN397" s="7"/>
      <c r="AO397" s="7"/>
      <c r="AP397" s="7"/>
      <c r="AQ397" s="7"/>
      <c r="AR397" s="7"/>
      <c r="AS397" s="7"/>
      <c r="AT397" s="7"/>
      <c r="AU397" s="7"/>
      <c r="AV397" s="7"/>
      <c r="AW397" s="7"/>
      <c r="AX397" s="7"/>
      <c r="AY397" s="7"/>
      <c r="AZ397" s="7"/>
    </row>
    <row r="398" customFormat="false" ht="150" hidden="false" customHeight="true" outlineLevel="0" collapsed="false">
      <c r="A398" s="6" t="s">
        <v>2144</v>
      </c>
      <c r="B398" s="6" t="s">
        <v>1875</v>
      </c>
      <c r="C398" s="6" t="s">
        <v>1876</v>
      </c>
      <c r="D398" s="6" t="s">
        <v>96</v>
      </c>
      <c r="E398" s="6" t="s">
        <v>97</v>
      </c>
      <c r="F398" s="6"/>
      <c r="G398" s="6" t="s">
        <v>1362</v>
      </c>
      <c r="H398" s="6" t="s">
        <v>1330</v>
      </c>
      <c r="I398" s="6" t="s">
        <v>81</v>
      </c>
      <c r="J398" s="6" t="s">
        <v>621</v>
      </c>
      <c r="K398" s="6" t="s">
        <v>1566</v>
      </c>
      <c r="L398" s="6" t="s">
        <v>1567</v>
      </c>
      <c r="M398" s="6" t="s">
        <v>2127</v>
      </c>
      <c r="N398" s="6"/>
      <c r="O398" s="6"/>
      <c r="P398" s="6" t="s">
        <v>397</v>
      </c>
      <c r="Q398" s="6" t="s">
        <v>338</v>
      </c>
      <c r="R398" s="6"/>
      <c r="S398" s="6"/>
      <c r="T398" s="6"/>
      <c r="U398" s="6"/>
      <c r="V398" s="6"/>
      <c r="W398" s="6"/>
      <c r="X398" s="6"/>
      <c r="Y398" s="6"/>
      <c r="Z398" s="6"/>
      <c r="AA398" s="6" t="s">
        <v>89</v>
      </c>
      <c r="AB398" s="6" t="s">
        <v>2145</v>
      </c>
      <c r="AC398" s="6" t="s">
        <v>1903</v>
      </c>
      <c r="AD398" s="6" t="s">
        <v>2129</v>
      </c>
      <c r="AE398" s="6" t="s">
        <v>2130</v>
      </c>
      <c r="AF398" s="6" t="s">
        <v>2131</v>
      </c>
      <c r="AG398" s="6"/>
      <c r="AH398" s="6"/>
      <c r="AI398" s="7"/>
      <c r="AJ398" s="7"/>
      <c r="AK398" s="7"/>
      <c r="AL398" s="7"/>
      <c r="AM398" s="7"/>
      <c r="AN398" s="7"/>
      <c r="AO398" s="7"/>
      <c r="AP398" s="7"/>
      <c r="AQ398" s="7"/>
      <c r="AR398" s="7"/>
      <c r="AS398" s="7"/>
      <c r="AT398" s="7"/>
      <c r="AU398" s="7"/>
      <c r="AV398" s="7"/>
      <c r="AW398" s="7"/>
      <c r="AX398" s="7"/>
      <c r="AY398" s="7"/>
      <c r="AZ398" s="7"/>
    </row>
    <row r="399" customFormat="false" ht="150" hidden="false" customHeight="true" outlineLevel="0" collapsed="false">
      <c r="A399" s="6" t="s">
        <v>2146</v>
      </c>
      <c r="B399" s="6" t="s">
        <v>1875</v>
      </c>
      <c r="C399" s="6" t="s">
        <v>1876</v>
      </c>
      <c r="D399" s="6" t="s">
        <v>96</v>
      </c>
      <c r="E399" s="6" t="s">
        <v>97</v>
      </c>
      <c r="F399" s="6"/>
      <c r="G399" s="6" t="s">
        <v>1362</v>
      </c>
      <c r="H399" s="6" t="s">
        <v>1330</v>
      </c>
      <c r="I399" s="6" t="s">
        <v>81</v>
      </c>
      <c r="J399" s="6" t="s">
        <v>621</v>
      </c>
      <c r="K399" s="6" t="s">
        <v>1566</v>
      </c>
      <c r="L399" s="6" t="s">
        <v>1567</v>
      </c>
      <c r="M399" s="6" t="s">
        <v>2127</v>
      </c>
      <c r="N399" s="6"/>
      <c r="O399" s="6"/>
      <c r="P399" s="6" t="s">
        <v>397</v>
      </c>
      <c r="Q399" s="6" t="s">
        <v>338</v>
      </c>
      <c r="R399" s="6"/>
      <c r="S399" s="6"/>
      <c r="T399" s="6"/>
      <c r="U399" s="6"/>
      <c r="V399" s="6"/>
      <c r="W399" s="6"/>
      <c r="X399" s="6"/>
      <c r="Y399" s="6"/>
      <c r="Z399" s="6"/>
      <c r="AA399" s="6" t="s">
        <v>89</v>
      </c>
      <c r="AB399" s="6" t="s">
        <v>2147</v>
      </c>
      <c r="AC399" s="6" t="s">
        <v>1906</v>
      </c>
      <c r="AD399" s="6" t="s">
        <v>2129</v>
      </c>
      <c r="AE399" s="6" t="s">
        <v>2130</v>
      </c>
      <c r="AF399" s="6" t="s">
        <v>2131</v>
      </c>
      <c r="AG399" s="6"/>
      <c r="AH399" s="6"/>
      <c r="AI399" s="7"/>
      <c r="AJ399" s="7"/>
      <c r="AK399" s="7"/>
      <c r="AL399" s="7"/>
      <c r="AM399" s="7"/>
      <c r="AN399" s="7"/>
      <c r="AO399" s="7"/>
      <c r="AP399" s="7"/>
      <c r="AQ399" s="7"/>
      <c r="AR399" s="7"/>
      <c r="AS399" s="7"/>
      <c r="AT399" s="7"/>
      <c r="AU399" s="7"/>
      <c r="AV399" s="7"/>
      <c r="AW399" s="7"/>
      <c r="AX399" s="7"/>
      <c r="AY399" s="7"/>
      <c r="AZ399" s="7"/>
    </row>
    <row r="400" customFormat="false" ht="150" hidden="false" customHeight="true" outlineLevel="0" collapsed="false">
      <c r="A400" s="6" t="s">
        <v>2148</v>
      </c>
      <c r="B400" s="6" t="s">
        <v>1875</v>
      </c>
      <c r="C400" s="6" t="s">
        <v>1876</v>
      </c>
      <c r="D400" s="6" t="s">
        <v>96</v>
      </c>
      <c r="E400" s="6" t="s">
        <v>97</v>
      </c>
      <c r="F400" s="6"/>
      <c r="G400" s="6" t="s">
        <v>1362</v>
      </c>
      <c r="H400" s="6" t="s">
        <v>1330</v>
      </c>
      <c r="I400" s="6" t="s">
        <v>81</v>
      </c>
      <c r="J400" s="6" t="s">
        <v>621</v>
      </c>
      <c r="K400" s="6" t="s">
        <v>1566</v>
      </c>
      <c r="L400" s="6" t="s">
        <v>1567</v>
      </c>
      <c r="M400" s="6" t="s">
        <v>2127</v>
      </c>
      <c r="N400" s="6"/>
      <c r="O400" s="6"/>
      <c r="P400" s="6" t="s">
        <v>397</v>
      </c>
      <c r="Q400" s="6" t="s">
        <v>338</v>
      </c>
      <c r="R400" s="6"/>
      <c r="S400" s="6"/>
      <c r="T400" s="6"/>
      <c r="U400" s="6"/>
      <c r="V400" s="6"/>
      <c r="W400" s="6"/>
      <c r="X400" s="6"/>
      <c r="Y400" s="6"/>
      <c r="Z400" s="6"/>
      <c r="AA400" s="6" t="s">
        <v>89</v>
      </c>
      <c r="AB400" s="6" t="s">
        <v>2149</v>
      </c>
      <c r="AC400" s="6" t="s">
        <v>1909</v>
      </c>
      <c r="AD400" s="6" t="s">
        <v>2129</v>
      </c>
      <c r="AE400" s="6" t="s">
        <v>2130</v>
      </c>
      <c r="AF400" s="6" t="s">
        <v>2131</v>
      </c>
      <c r="AG400" s="6"/>
      <c r="AH400" s="6"/>
      <c r="AI400" s="7"/>
      <c r="AJ400" s="7"/>
      <c r="AK400" s="7"/>
      <c r="AL400" s="7"/>
      <c r="AM400" s="7"/>
      <c r="AN400" s="7"/>
      <c r="AO400" s="7"/>
      <c r="AP400" s="7"/>
      <c r="AQ400" s="7"/>
      <c r="AR400" s="7"/>
      <c r="AS400" s="7"/>
      <c r="AT400" s="7"/>
      <c r="AU400" s="7"/>
      <c r="AV400" s="7"/>
      <c r="AW400" s="7"/>
      <c r="AX400" s="7"/>
      <c r="AY400" s="7"/>
      <c r="AZ400" s="7"/>
    </row>
    <row r="401" customFormat="false" ht="150" hidden="false" customHeight="true" outlineLevel="0" collapsed="false">
      <c r="A401" s="6" t="s">
        <v>2150</v>
      </c>
      <c r="B401" s="6" t="s">
        <v>1875</v>
      </c>
      <c r="C401" s="6" t="s">
        <v>1876</v>
      </c>
      <c r="D401" s="6" t="s">
        <v>96</v>
      </c>
      <c r="E401" s="6" t="s">
        <v>97</v>
      </c>
      <c r="F401" s="6"/>
      <c r="G401" s="6" t="s">
        <v>1362</v>
      </c>
      <c r="H401" s="6" t="s">
        <v>1330</v>
      </c>
      <c r="I401" s="6" t="s">
        <v>81</v>
      </c>
      <c r="J401" s="6" t="s">
        <v>621</v>
      </c>
      <c r="K401" s="6" t="s">
        <v>1587</v>
      </c>
      <c r="L401" s="6" t="s">
        <v>1588</v>
      </c>
      <c r="M401" s="6" t="s">
        <v>2151</v>
      </c>
      <c r="N401" s="6"/>
      <c r="O401" s="6"/>
      <c r="P401" s="6" t="s">
        <v>1590</v>
      </c>
      <c r="Q401" s="6" t="s">
        <v>771</v>
      </c>
      <c r="R401" s="6" t="s">
        <v>772</v>
      </c>
      <c r="S401" s="6"/>
      <c r="T401" s="6"/>
      <c r="U401" s="6"/>
      <c r="V401" s="6"/>
      <c r="W401" s="6"/>
      <c r="X401" s="6"/>
      <c r="Y401" s="6"/>
      <c r="Z401" s="6"/>
      <c r="AA401" s="6" t="s">
        <v>89</v>
      </c>
      <c r="AB401" s="6" t="s">
        <v>2152</v>
      </c>
      <c r="AC401" s="6" t="s">
        <v>1879</v>
      </c>
      <c r="AD401" s="6" t="s">
        <v>2153</v>
      </c>
      <c r="AE401" s="6" t="s">
        <v>2154</v>
      </c>
      <c r="AF401" s="6" t="s">
        <v>2155</v>
      </c>
      <c r="AG401" s="6"/>
      <c r="AH401" s="6"/>
      <c r="AI401" s="7"/>
      <c r="AJ401" s="7"/>
      <c r="AK401" s="7"/>
      <c r="AL401" s="7"/>
      <c r="AM401" s="7"/>
      <c r="AN401" s="7"/>
      <c r="AO401" s="7"/>
      <c r="AP401" s="7"/>
      <c r="AQ401" s="7"/>
      <c r="AR401" s="7"/>
      <c r="AS401" s="7"/>
      <c r="AT401" s="7"/>
      <c r="AU401" s="7"/>
      <c r="AV401" s="7"/>
      <c r="AW401" s="7"/>
      <c r="AX401" s="7"/>
      <c r="AY401" s="7"/>
      <c r="AZ401" s="7"/>
    </row>
    <row r="402" customFormat="false" ht="150" hidden="false" customHeight="true" outlineLevel="0" collapsed="false">
      <c r="A402" s="6" t="s">
        <v>2156</v>
      </c>
      <c r="B402" s="6" t="s">
        <v>1875</v>
      </c>
      <c r="C402" s="6" t="s">
        <v>1876</v>
      </c>
      <c r="D402" s="6" t="s">
        <v>96</v>
      </c>
      <c r="E402" s="6" t="s">
        <v>97</v>
      </c>
      <c r="F402" s="6"/>
      <c r="G402" s="6" t="s">
        <v>1362</v>
      </c>
      <c r="H402" s="6" t="s">
        <v>1330</v>
      </c>
      <c r="I402" s="6" t="s">
        <v>81</v>
      </c>
      <c r="J402" s="6" t="s">
        <v>621</v>
      </c>
      <c r="K402" s="6" t="s">
        <v>1587</v>
      </c>
      <c r="L402" s="6" t="s">
        <v>1588</v>
      </c>
      <c r="M402" s="6" t="s">
        <v>2151</v>
      </c>
      <c r="N402" s="6"/>
      <c r="O402" s="6"/>
      <c r="P402" s="6" t="s">
        <v>1590</v>
      </c>
      <c r="Q402" s="6" t="s">
        <v>771</v>
      </c>
      <c r="R402" s="6" t="s">
        <v>772</v>
      </c>
      <c r="S402" s="6"/>
      <c r="T402" s="6"/>
      <c r="U402" s="6"/>
      <c r="V402" s="6"/>
      <c r="W402" s="6"/>
      <c r="X402" s="6"/>
      <c r="Y402" s="6"/>
      <c r="Z402" s="6"/>
      <c r="AA402" s="6" t="s">
        <v>89</v>
      </c>
      <c r="AB402" s="6" t="s">
        <v>2157</v>
      </c>
      <c r="AC402" s="6" t="s">
        <v>1885</v>
      </c>
      <c r="AD402" s="6" t="s">
        <v>2153</v>
      </c>
      <c r="AE402" s="6" t="s">
        <v>2154</v>
      </c>
      <c r="AF402" s="6" t="s">
        <v>2155</v>
      </c>
      <c r="AG402" s="6"/>
      <c r="AH402" s="6"/>
      <c r="AI402" s="7"/>
      <c r="AJ402" s="7"/>
      <c r="AK402" s="7"/>
      <c r="AL402" s="7"/>
      <c r="AM402" s="7"/>
      <c r="AN402" s="7"/>
      <c r="AO402" s="7"/>
      <c r="AP402" s="7"/>
      <c r="AQ402" s="7"/>
      <c r="AR402" s="7"/>
      <c r="AS402" s="7"/>
      <c r="AT402" s="7"/>
      <c r="AU402" s="7"/>
      <c r="AV402" s="7"/>
      <c r="AW402" s="7"/>
      <c r="AX402" s="7"/>
      <c r="AY402" s="7"/>
      <c r="AZ402" s="7"/>
    </row>
    <row r="403" customFormat="false" ht="150" hidden="false" customHeight="true" outlineLevel="0" collapsed="false">
      <c r="A403" s="6" t="s">
        <v>2158</v>
      </c>
      <c r="B403" s="6" t="s">
        <v>1875</v>
      </c>
      <c r="C403" s="6" t="s">
        <v>1876</v>
      </c>
      <c r="D403" s="6" t="s">
        <v>96</v>
      </c>
      <c r="E403" s="6" t="s">
        <v>97</v>
      </c>
      <c r="F403" s="6"/>
      <c r="G403" s="6" t="s">
        <v>1362</v>
      </c>
      <c r="H403" s="6" t="s">
        <v>1330</v>
      </c>
      <c r="I403" s="6" t="s">
        <v>81</v>
      </c>
      <c r="J403" s="6" t="s">
        <v>621</v>
      </c>
      <c r="K403" s="6" t="s">
        <v>1587</v>
      </c>
      <c r="L403" s="6" t="s">
        <v>1588</v>
      </c>
      <c r="M403" s="6" t="s">
        <v>2151</v>
      </c>
      <c r="N403" s="6"/>
      <c r="O403" s="6"/>
      <c r="P403" s="6" t="s">
        <v>1590</v>
      </c>
      <c r="Q403" s="6" t="s">
        <v>771</v>
      </c>
      <c r="R403" s="6" t="s">
        <v>772</v>
      </c>
      <c r="S403" s="6"/>
      <c r="T403" s="6"/>
      <c r="U403" s="6"/>
      <c r="V403" s="6"/>
      <c r="W403" s="6"/>
      <c r="X403" s="6"/>
      <c r="Y403" s="6"/>
      <c r="Z403" s="6"/>
      <c r="AA403" s="6" t="s">
        <v>89</v>
      </c>
      <c r="AB403" s="6" t="s">
        <v>2159</v>
      </c>
      <c r="AC403" s="6" t="s">
        <v>1888</v>
      </c>
      <c r="AD403" s="6" t="s">
        <v>2153</v>
      </c>
      <c r="AE403" s="6" t="s">
        <v>2154</v>
      </c>
      <c r="AF403" s="6" t="s">
        <v>2155</v>
      </c>
      <c r="AG403" s="6"/>
      <c r="AH403" s="6"/>
      <c r="AI403" s="7"/>
      <c r="AJ403" s="7"/>
      <c r="AK403" s="7"/>
      <c r="AL403" s="7"/>
      <c r="AM403" s="7"/>
      <c r="AN403" s="7"/>
      <c r="AO403" s="7"/>
      <c r="AP403" s="7"/>
      <c r="AQ403" s="7"/>
      <c r="AR403" s="7"/>
      <c r="AS403" s="7"/>
      <c r="AT403" s="7"/>
      <c r="AU403" s="7"/>
      <c r="AV403" s="7"/>
      <c r="AW403" s="7"/>
      <c r="AX403" s="7"/>
      <c r="AY403" s="7"/>
      <c r="AZ403" s="7"/>
    </row>
    <row r="404" customFormat="false" ht="150" hidden="false" customHeight="true" outlineLevel="0" collapsed="false">
      <c r="A404" s="6" t="s">
        <v>2160</v>
      </c>
      <c r="B404" s="6" t="s">
        <v>1875</v>
      </c>
      <c r="C404" s="6" t="s">
        <v>1876</v>
      </c>
      <c r="D404" s="6" t="s">
        <v>96</v>
      </c>
      <c r="E404" s="6" t="s">
        <v>97</v>
      </c>
      <c r="F404" s="6"/>
      <c r="G404" s="6" t="s">
        <v>1362</v>
      </c>
      <c r="H404" s="6" t="s">
        <v>1330</v>
      </c>
      <c r="I404" s="6" t="s">
        <v>81</v>
      </c>
      <c r="J404" s="6" t="s">
        <v>621</v>
      </c>
      <c r="K404" s="6" t="s">
        <v>1587</v>
      </c>
      <c r="L404" s="6" t="s">
        <v>1588</v>
      </c>
      <c r="M404" s="6" t="s">
        <v>2151</v>
      </c>
      <c r="N404" s="6"/>
      <c r="O404" s="6"/>
      <c r="P404" s="6" t="s">
        <v>1590</v>
      </c>
      <c r="Q404" s="6" t="s">
        <v>771</v>
      </c>
      <c r="R404" s="6" t="s">
        <v>772</v>
      </c>
      <c r="S404" s="6"/>
      <c r="T404" s="6"/>
      <c r="U404" s="6"/>
      <c r="V404" s="6"/>
      <c r="W404" s="6"/>
      <c r="X404" s="6"/>
      <c r="Y404" s="6"/>
      <c r="Z404" s="6"/>
      <c r="AA404" s="6" t="s">
        <v>89</v>
      </c>
      <c r="AB404" s="6" t="s">
        <v>2161</v>
      </c>
      <c r="AC404" s="6" t="s">
        <v>1891</v>
      </c>
      <c r="AD404" s="6" t="s">
        <v>2153</v>
      </c>
      <c r="AE404" s="6" t="s">
        <v>2154</v>
      </c>
      <c r="AF404" s="6" t="s">
        <v>2155</v>
      </c>
      <c r="AG404" s="6"/>
      <c r="AH404" s="6"/>
      <c r="AI404" s="7"/>
      <c r="AJ404" s="7"/>
      <c r="AK404" s="7"/>
      <c r="AL404" s="7"/>
      <c r="AM404" s="7"/>
      <c r="AN404" s="7"/>
      <c r="AO404" s="7"/>
      <c r="AP404" s="7"/>
      <c r="AQ404" s="7"/>
      <c r="AR404" s="7"/>
      <c r="AS404" s="7"/>
      <c r="AT404" s="7"/>
      <c r="AU404" s="7"/>
      <c r="AV404" s="7"/>
      <c r="AW404" s="7"/>
      <c r="AX404" s="7"/>
      <c r="AY404" s="7"/>
      <c r="AZ404" s="7"/>
    </row>
    <row r="405" customFormat="false" ht="150" hidden="false" customHeight="true" outlineLevel="0" collapsed="false">
      <c r="A405" s="6" t="s">
        <v>2162</v>
      </c>
      <c r="B405" s="6" t="s">
        <v>1875</v>
      </c>
      <c r="C405" s="6" t="s">
        <v>1876</v>
      </c>
      <c r="D405" s="6" t="s">
        <v>96</v>
      </c>
      <c r="E405" s="6" t="s">
        <v>97</v>
      </c>
      <c r="F405" s="6"/>
      <c r="G405" s="6" t="s">
        <v>1362</v>
      </c>
      <c r="H405" s="6" t="s">
        <v>1330</v>
      </c>
      <c r="I405" s="6" t="s">
        <v>81</v>
      </c>
      <c r="J405" s="6" t="s">
        <v>621</v>
      </c>
      <c r="K405" s="6" t="s">
        <v>1587</v>
      </c>
      <c r="L405" s="6" t="s">
        <v>1588</v>
      </c>
      <c r="M405" s="6" t="s">
        <v>2151</v>
      </c>
      <c r="N405" s="6"/>
      <c r="O405" s="6"/>
      <c r="P405" s="6" t="s">
        <v>1590</v>
      </c>
      <c r="Q405" s="6" t="s">
        <v>771</v>
      </c>
      <c r="R405" s="6" t="s">
        <v>772</v>
      </c>
      <c r="S405" s="6"/>
      <c r="T405" s="6"/>
      <c r="U405" s="6"/>
      <c r="V405" s="6"/>
      <c r="W405" s="6"/>
      <c r="X405" s="6"/>
      <c r="Y405" s="6"/>
      <c r="Z405" s="6"/>
      <c r="AA405" s="6" t="s">
        <v>89</v>
      </c>
      <c r="AB405" s="6" t="s">
        <v>2163</v>
      </c>
      <c r="AC405" s="6" t="s">
        <v>1894</v>
      </c>
      <c r="AD405" s="6" t="s">
        <v>2153</v>
      </c>
      <c r="AE405" s="6" t="s">
        <v>2154</v>
      </c>
      <c r="AF405" s="6" t="s">
        <v>2155</v>
      </c>
      <c r="AG405" s="6"/>
      <c r="AH405" s="6"/>
      <c r="AI405" s="7"/>
      <c r="AJ405" s="7"/>
      <c r="AK405" s="7"/>
      <c r="AL405" s="7"/>
      <c r="AM405" s="7"/>
      <c r="AN405" s="7"/>
      <c r="AO405" s="7"/>
      <c r="AP405" s="7"/>
      <c r="AQ405" s="7"/>
      <c r="AR405" s="7"/>
      <c r="AS405" s="7"/>
      <c r="AT405" s="7"/>
      <c r="AU405" s="7"/>
      <c r="AV405" s="7"/>
      <c r="AW405" s="7"/>
      <c r="AX405" s="7"/>
      <c r="AY405" s="7"/>
      <c r="AZ405" s="7"/>
    </row>
    <row r="406" customFormat="false" ht="150" hidden="false" customHeight="true" outlineLevel="0" collapsed="false">
      <c r="A406" s="6" t="s">
        <v>2164</v>
      </c>
      <c r="B406" s="6" t="s">
        <v>1875</v>
      </c>
      <c r="C406" s="6" t="s">
        <v>1876</v>
      </c>
      <c r="D406" s="6" t="s">
        <v>96</v>
      </c>
      <c r="E406" s="6" t="s">
        <v>97</v>
      </c>
      <c r="F406" s="6"/>
      <c r="G406" s="6" t="s">
        <v>1362</v>
      </c>
      <c r="H406" s="6" t="s">
        <v>1330</v>
      </c>
      <c r="I406" s="6" t="s">
        <v>81</v>
      </c>
      <c r="J406" s="6" t="s">
        <v>621</v>
      </c>
      <c r="K406" s="6" t="s">
        <v>1587</v>
      </c>
      <c r="L406" s="6" t="s">
        <v>1588</v>
      </c>
      <c r="M406" s="6" t="s">
        <v>2151</v>
      </c>
      <c r="N406" s="6"/>
      <c r="O406" s="6"/>
      <c r="P406" s="6" t="s">
        <v>1590</v>
      </c>
      <c r="Q406" s="6" t="s">
        <v>771</v>
      </c>
      <c r="R406" s="6" t="s">
        <v>772</v>
      </c>
      <c r="S406" s="6"/>
      <c r="T406" s="6"/>
      <c r="U406" s="6"/>
      <c r="V406" s="6"/>
      <c r="W406" s="6"/>
      <c r="X406" s="6"/>
      <c r="Y406" s="6"/>
      <c r="Z406" s="6"/>
      <c r="AA406" s="6" t="s">
        <v>89</v>
      </c>
      <c r="AB406" s="6" t="s">
        <v>2165</v>
      </c>
      <c r="AC406" s="6" t="s">
        <v>1897</v>
      </c>
      <c r="AD406" s="6" t="s">
        <v>2153</v>
      </c>
      <c r="AE406" s="6" t="s">
        <v>2154</v>
      </c>
      <c r="AF406" s="6" t="s">
        <v>2155</v>
      </c>
      <c r="AG406" s="6"/>
      <c r="AH406" s="6"/>
      <c r="AI406" s="7"/>
      <c r="AJ406" s="7"/>
      <c r="AK406" s="7"/>
      <c r="AL406" s="7"/>
      <c r="AM406" s="7"/>
      <c r="AN406" s="7"/>
      <c r="AO406" s="7"/>
      <c r="AP406" s="7"/>
      <c r="AQ406" s="7"/>
      <c r="AR406" s="7"/>
      <c r="AS406" s="7"/>
      <c r="AT406" s="7"/>
      <c r="AU406" s="7"/>
      <c r="AV406" s="7"/>
      <c r="AW406" s="7"/>
      <c r="AX406" s="7"/>
      <c r="AY406" s="7"/>
      <c r="AZ406" s="7"/>
    </row>
    <row r="407" customFormat="false" ht="150" hidden="false" customHeight="true" outlineLevel="0" collapsed="false">
      <c r="A407" s="6" t="s">
        <v>2166</v>
      </c>
      <c r="B407" s="6" t="s">
        <v>1875</v>
      </c>
      <c r="C407" s="6" t="s">
        <v>1876</v>
      </c>
      <c r="D407" s="6" t="s">
        <v>96</v>
      </c>
      <c r="E407" s="6" t="s">
        <v>97</v>
      </c>
      <c r="F407" s="6"/>
      <c r="G407" s="6" t="s">
        <v>1362</v>
      </c>
      <c r="H407" s="6" t="s">
        <v>1330</v>
      </c>
      <c r="I407" s="6" t="s">
        <v>81</v>
      </c>
      <c r="J407" s="6" t="s">
        <v>621</v>
      </c>
      <c r="K407" s="6" t="s">
        <v>1587</v>
      </c>
      <c r="L407" s="6" t="s">
        <v>1588</v>
      </c>
      <c r="M407" s="6" t="s">
        <v>2151</v>
      </c>
      <c r="N407" s="6"/>
      <c r="O407" s="6"/>
      <c r="P407" s="6" t="s">
        <v>1590</v>
      </c>
      <c r="Q407" s="6" t="s">
        <v>771</v>
      </c>
      <c r="R407" s="6" t="s">
        <v>772</v>
      </c>
      <c r="S407" s="6"/>
      <c r="T407" s="6"/>
      <c r="U407" s="6"/>
      <c r="V407" s="6"/>
      <c r="W407" s="6"/>
      <c r="X407" s="6"/>
      <c r="Y407" s="6"/>
      <c r="Z407" s="6"/>
      <c r="AA407" s="6" t="s">
        <v>89</v>
      </c>
      <c r="AB407" s="6" t="s">
        <v>2167</v>
      </c>
      <c r="AC407" s="6" t="s">
        <v>1900</v>
      </c>
      <c r="AD407" s="6" t="s">
        <v>2153</v>
      </c>
      <c r="AE407" s="6" t="s">
        <v>2154</v>
      </c>
      <c r="AF407" s="6" t="s">
        <v>2155</v>
      </c>
      <c r="AG407" s="6"/>
      <c r="AH407" s="6"/>
      <c r="AI407" s="7"/>
      <c r="AJ407" s="7"/>
      <c r="AK407" s="7"/>
      <c r="AL407" s="7"/>
      <c r="AM407" s="7"/>
      <c r="AN407" s="7"/>
      <c r="AO407" s="7"/>
      <c r="AP407" s="7"/>
      <c r="AQ407" s="7"/>
      <c r="AR407" s="7"/>
      <c r="AS407" s="7"/>
      <c r="AT407" s="7"/>
      <c r="AU407" s="7"/>
      <c r="AV407" s="7"/>
      <c r="AW407" s="7"/>
      <c r="AX407" s="7"/>
      <c r="AY407" s="7"/>
      <c r="AZ407" s="7"/>
    </row>
    <row r="408" customFormat="false" ht="150" hidden="false" customHeight="true" outlineLevel="0" collapsed="false">
      <c r="A408" s="6" t="s">
        <v>2168</v>
      </c>
      <c r="B408" s="6" t="s">
        <v>1875</v>
      </c>
      <c r="C408" s="6" t="s">
        <v>1876</v>
      </c>
      <c r="D408" s="6" t="s">
        <v>96</v>
      </c>
      <c r="E408" s="6" t="s">
        <v>97</v>
      </c>
      <c r="F408" s="6"/>
      <c r="G408" s="6" t="s">
        <v>1362</v>
      </c>
      <c r="H408" s="6" t="s">
        <v>1330</v>
      </c>
      <c r="I408" s="6" t="s">
        <v>81</v>
      </c>
      <c r="J408" s="6" t="s">
        <v>621</v>
      </c>
      <c r="K408" s="6" t="s">
        <v>1587</v>
      </c>
      <c r="L408" s="6" t="s">
        <v>1588</v>
      </c>
      <c r="M408" s="6" t="s">
        <v>2151</v>
      </c>
      <c r="N408" s="6"/>
      <c r="O408" s="6"/>
      <c r="P408" s="6" t="s">
        <v>1590</v>
      </c>
      <c r="Q408" s="6" t="s">
        <v>771</v>
      </c>
      <c r="R408" s="6" t="s">
        <v>772</v>
      </c>
      <c r="S408" s="6"/>
      <c r="T408" s="6"/>
      <c r="U408" s="6"/>
      <c r="V408" s="6"/>
      <c r="W408" s="6"/>
      <c r="X408" s="6"/>
      <c r="Y408" s="6"/>
      <c r="Z408" s="6"/>
      <c r="AA408" s="6" t="s">
        <v>89</v>
      </c>
      <c r="AB408" s="6" t="s">
        <v>2169</v>
      </c>
      <c r="AC408" s="6" t="s">
        <v>1903</v>
      </c>
      <c r="AD408" s="6" t="s">
        <v>2153</v>
      </c>
      <c r="AE408" s="6" t="s">
        <v>2154</v>
      </c>
      <c r="AF408" s="6" t="s">
        <v>2155</v>
      </c>
      <c r="AG408" s="6"/>
      <c r="AH408" s="6"/>
      <c r="AI408" s="7"/>
      <c r="AJ408" s="7"/>
      <c r="AK408" s="7"/>
      <c r="AL408" s="7"/>
      <c r="AM408" s="7"/>
      <c r="AN408" s="7"/>
      <c r="AO408" s="7"/>
      <c r="AP408" s="7"/>
      <c r="AQ408" s="7"/>
      <c r="AR408" s="7"/>
      <c r="AS408" s="7"/>
      <c r="AT408" s="7"/>
      <c r="AU408" s="7"/>
      <c r="AV408" s="7"/>
      <c r="AW408" s="7"/>
      <c r="AX408" s="7"/>
      <c r="AY408" s="7"/>
      <c r="AZ408" s="7"/>
    </row>
    <row r="409" customFormat="false" ht="150" hidden="false" customHeight="true" outlineLevel="0" collapsed="false">
      <c r="A409" s="6" t="s">
        <v>2170</v>
      </c>
      <c r="B409" s="6" t="s">
        <v>1875</v>
      </c>
      <c r="C409" s="6" t="s">
        <v>1876</v>
      </c>
      <c r="D409" s="6" t="s">
        <v>96</v>
      </c>
      <c r="E409" s="6" t="s">
        <v>97</v>
      </c>
      <c r="F409" s="6"/>
      <c r="G409" s="6" t="s">
        <v>1362</v>
      </c>
      <c r="H409" s="6" t="s">
        <v>1330</v>
      </c>
      <c r="I409" s="6" t="s">
        <v>81</v>
      </c>
      <c r="J409" s="6" t="s">
        <v>621</v>
      </c>
      <c r="K409" s="6" t="s">
        <v>1587</v>
      </c>
      <c r="L409" s="6" t="s">
        <v>1588</v>
      </c>
      <c r="M409" s="6" t="s">
        <v>2151</v>
      </c>
      <c r="N409" s="6"/>
      <c r="O409" s="6"/>
      <c r="P409" s="6" t="s">
        <v>1590</v>
      </c>
      <c r="Q409" s="6" t="s">
        <v>771</v>
      </c>
      <c r="R409" s="6" t="s">
        <v>772</v>
      </c>
      <c r="S409" s="6"/>
      <c r="T409" s="6"/>
      <c r="U409" s="6"/>
      <c r="V409" s="6"/>
      <c r="W409" s="6"/>
      <c r="X409" s="6"/>
      <c r="Y409" s="6"/>
      <c r="Z409" s="6"/>
      <c r="AA409" s="6" t="s">
        <v>89</v>
      </c>
      <c r="AB409" s="6" t="s">
        <v>2171</v>
      </c>
      <c r="AC409" s="6" t="s">
        <v>1906</v>
      </c>
      <c r="AD409" s="6" t="s">
        <v>2153</v>
      </c>
      <c r="AE409" s="6" t="s">
        <v>2154</v>
      </c>
      <c r="AF409" s="6" t="s">
        <v>2155</v>
      </c>
      <c r="AG409" s="6"/>
      <c r="AH409" s="6"/>
      <c r="AI409" s="7"/>
      <c r="AJ409" s="7"/>
      <c r="AK409" s="7"/>
      <c r="AL409" s="7"/>
      <c r="AM409" s="7"/>
      <c r="AN409" s="7"/>
      <c r="AO409" s="7"/>
      <c r="AP409" s="7"/>
      <c r="AQ409" s="7"/>
      <c r="AR409" s="7"/>
      <c r="AS409" s="7"/>
      <c r="AT409" s="7"/>
      <c r="AU409" s="7"/>
      <c r="AV409" s="7"/>
      <c r="AW409" s="7"/>
      <c r="AX409" s="7"/>
      <c r="AY409" s="7"/>
      <c r="AZ409" s="7"/>
    </row>
    <row r="410" customFormat="false" ht="150" hidden="false" customHeight="true" outlineLevel="0" collapsed="false">
      <c r="A410" s="6" t="s">
        <v>2172</v>
      </c>
      <c r="B410" s="6" t="s">
        <v>1875</v>
      </c>
      <c r="C410" s="6" t="s">
        <v>1876</v>
      </c>
      <c r="D410" s="6" t="s">
        <v>96</v>
      </c>
      <c r="E410" s="6" t="s">
        <v>97</v>
      </c>
      <c r="F410" s="6"/>
      <c r="G410" s="6" t="s">
        <v>1362</v>
      </c>
      <c r="H410" s="6" t="s">
        <v>1330</v>
      </c>
      <c r="I410" s="6" t="s">
        <v>81</v>
      </c>
      <c r="J410" s="6" t="s">
        <v>621</v>
      </c>
      <c r="K410" s="6" t="s">
        <v>1587</v>
      </c>
      <c r="L410" s="6" t="s">
        <v>1588</v>
      </c>
      <c r="M410" s="6" t="s">
        <v>2151</v>
      </c>
      <c r="N410" s="6"/>
      <c r="O410" s="6"/>
      <c r="P410" s="6" t="s">
        <v>1590</v>
      </c>
      <c r="Q410" s="6" t="s">
        <v>771</v>
      </c>
      <c r="R410" s="6" t="s">
        <v>772</v>
      </c>
      <c r="S410" s="6"/>
      <c r="T410" s="6"/>
      <c r="U410" s="6"/>
      <c r="V410" s="6"/>
      <c r="W410" s="6"/>
      <c r="X410" s="6"/>
      <c r="Y410" s="6"/>
      <c r="Z410" s="6"/>
      <c r="AA410" s="6" t="s">
        <v>89</v>
      </c>
      <c r="AB410" s="6" t="s">
        <v>2173</v>
      </c>
      <c r="AC410" s="6" t="s">
        <v>1909</v>
      </c>
      <c r="AD410" s="6" t="s">
        <v>2153</v>
      </c>
      <c r="AE410" s="6" t="s">
        <v>2154</v>
      </c>
      <c r="AF410" s="6" t="s">
        <v>2155</v>
      </c>
      <c r="AG410" s="6"/>
      <c r="AH410" s="6"/>
      <c r="AI410" s="7"/>
      <c r="AJ410" s="7"/>
      <c r="AK410" s="7"/>
      <c r="AL410" s="7"/>
      <c r="AM410" s="7"/>
      <c r="AN410" s="7"/>
      <c r="AO410" s="7"/>
      <c r="AP410" s="7"/>
      <c r="AQ410" s="7"/>
      <c r="AR410" s="7"/>
      <c r="AS410" s="7"/>
      <c r="AT410" s="7"/>
      <c r="AU410" s="7"/>
      <c r="AV410" s="7"/>
      <c r="AW410" s="7"/>
      <c r="AX410" s="7"/>
      <c r="AY410" s="7"/>
      <c r="AZ410" s="7"/>
    </row>
    <row r="411" customFormat="false" ht="150" hidden="false" customHeight="true" outlineLevel="0" collapsed="false">
      <c r="A411" s="6" t="s">
        <v>2174</v>
      </c>
      <c r="B411" s="6" t="s">
        <v>1875</v>
      </c>
      <c r="C411" s="6" t="s">
        <v>1876</v>
      </c>
      <c r="D411" s="6" t="s">
        <v>110</v>
      </c>
      <c r="E411" s="6" t="s">
        <v>111</v>
      </c>
      <c r="F411" s="6"/>
      <c r="G411" s="6" t="s">
        <v>1362</v>
      </c>
      <c r="H411" s="6" t="s">
        <v>1330</v>
      </c>
      <c r="I411" s="6" t="s">
        <v>81</v>
      </c>
      <c r="J411" s="6" t="s">
        <v>621</v>
      </c>
      <c r="K411" s="6" t="s">
        <v>1609</v>
      </c>
      <c r="L411" s="6" t="s">
        <v>1610</v>
      </c>
      <c r="M411" s="6" t="s">
        <v>2175</v>
      </c>
      <c r="N411" s="6"/>
      <c r="O411" s="6"/>
      <c r="P411" s="6" t="s">
        <v>211</v>
      </c>
      <c r="Q411" s="6" t="s">
        <v>212</v>
      </c>
      <c r="R411" s="6" t="s">
        <v>1612</v>
      </c>
      <c r="S411" s="6"/>
      <c r="T411" s="6"/>
      <c r="U411" s="6"/>
      <c r="V411" s="6"/>
      <c r="W411" s="6"/>
      <c r="X411" s="6"/>
      <c r="Y411" s="6"/>
      <c r="Z411" s="6"/>
      <c r="AA411" s="6" t="s">
        <v>89</v>
      </c>
      <c r="AB411" s="6" t="s">
        <v>2176</v>
      </c>
      <c r="AC411" s="6" t="s">
        <v>1879</v>
      </c>
      <c r="AD411" s="6" t="s">
        <v>2177</v>
      </c>
      <c r="AE411" s="6" t="s">
        <v>2178</v>
      </c>
      <c r="AF411" s="6" t="s">
        <v>2179</v>
      </c>
      <c r="AG411" s="6"/>
      <c r="AH411" s="6"/>
      <c r="AI411" s="7"/>
      <c r="AJ411" s="7"/>
      <c r="AK411" s="7"/>
      <c r="AL411" s="7"/>
      <c r="AM411" s="7"/>
      <c r="AN411" s="7"/>
      <c r="AO411" s="7"/>
      <c r="AP411" s="7"/>
      <c r="AQ411" s="7"/>
      <c r="AR411" s="7"/>
      <c r="AS411" s="7"/>
      <c r="AT411" s="7"/>
      <c r="AU411" s="7"/>
      <c r="AV411" s="7"/>
      <c r="AW411" s="7"/>
      <c r="AX411" s="7"/>
      <c r="AY411" s="7"/>
      <c r="AZ411" s="7"/>
    </row>
    <row r="412" customFormat="false" ht="150" hidden="false" customHeight="true" outlineLevel="0" collapsed="false">
      <c r="A412" s="6" t="s">
        <v>2180</v>
      </c>
      <c r="B412" s="6" t="s">
        <v>1875</v>
      </c>
      <c r="C412" s="6" t="s">
        <v>1876</v>
      </c>
      <c r="D412" s="6" t="s">
        <v>110</v>
      </c>
      <c r="E412" s="6" t="s">
        <v>111</v>
      </c>
      <c r="F412" s="6"/>
      <c r="G412" s="6" t="s">
        <v>1362</v>
      </c>
      <c r="H412" s="6" t="s">
        <v>1330</v>
      </c>
      <c r="I412" s="6" t="s">
        <v>81</v>
      </c>
      <c r="J412" s="6" t="s">
        <v>621</v>
      </c>
      <c r="K412" s="6" t="s">
        <v>1609</v>
      </c>
      <c r="L412" s="6" t="s">
        <v>1610</v>
      </c>
      <c r="M412" s="6" t="s">
        <v>2175</v>
      </c>
      <c r="N412" s="6"/>
      <c r="O412" s="6"/>
      <c r="P412" s="6" t="s">
        <v>211</v>
      </c>
      <c r="Q412" s="6" t="s">
        <v>212</v>
      </c>
      <c r="R412" s="6" t="s">
        <v>1612</v>
      </c>
      <c r="S412" s="6"/>
      <c r="T412" s="6"/>
      <c r="U412" s="6"/>
      <c r="V412" s="6"/>
      <c r="W412" s="6"/>
      <c r="X412" s="6"/>
      <c r="Y412" s="6"/>
      <c r="Z412" s="6"/>
      <c r="AA412" s="6" t="s">
        <v>89</v>
      </c>
      <c r="AB412" s="6" t="s">
        <v>2181</v>
      </c>
      <c r="AC412" s="6" t="s">
        <v>1885</v>
      </c>
      <c r="AD412" s="6" t="s">
        <v>2177</v>
      </c>
      <c r="AE412" s="6" t="s">
        <v>2178</v>
      </c>
      <c r="AF412" s="6" t="s">
        <v>2179</v>
      </c>
      <c r="AG412" s="6"/>
      <c r="AH412" s="6"/>
      <c r="AI412" s="7"/>
      <c r="AJ412" s="7"/>
      <c r="AK412" s="7"/>
      <c r="AL412" s="7"/>
      <c r="AM412" s="7"/>
      <c r="AN412" s="7"/>
      <c r="AO412" s="7"/>
      <c r="AP412" s="7"/>
      <c r="AQ412" s="7"/>
      <c r="AR412" s="7"/>
      <c r="AS412" s="7"/>
      <c r="AT412" s="7"/>
      <c r="AU412" s="7"/>
      <c r="AV412" s="7"/>
      <c r="AW412" s="7"/>
      <c r="AX412" s="7"/>
      <c r="AY412" s="7"/>
      <c r="AZ412" s="7"/>
    </row>
    <row r="413" customFormat="false" ht="150" hidden="false" customHeight="true" outlineLevel="0" collapsed="false">
      <c r="A413" s="6" t="s">
        <v>2182</v>
      </c>
      <c r="B413" s="6" t="s">
        <v>1875</v>
      </c>
      <c r="C413" s="6" t="s">
        <v>1876</v>
      </c>
      <c r="D413" s="6" t="s">
        <v>110</v>
      </c>
      <c r="E413" s="6" t="s">
        <v>111</v>
      </c>
      <c r="F413" s="6"/>
      <c r="G413" s="6" t="s">
        <v>1362</v>
      </c>
      <c r="H413" s="6" t="s">
        <v>1330</v>
      </c>
      <c r="I413" s="6" t="s">
        <v>81</v>
      </c>
      <c r="J413" s="6" t="s">
        <v>621</v>
      </c>
      <c r="K413" s="6" t="s">
        <v>1609</v>
      </c>
      <c r="L413" s="6" t="s">
        <v>1610</v>
      </c>
      <c r="M413" s="6" t="s">
        <v>2175</v>
      </c>
      <c r="N413" s="6"/>
      <c r="O413" s="6"/>
      <c r="P413" s="6" t="s">
        <v>211</v>
      </c>
      <c r="Q413" s="6" t="s">
        <v>212</v>
      </c>
      <c r="R413" s="6" t="s">
        <v>1612</v>
      </c>
      <c r="S413" s="6"/>
      <c r="T413" s="6"/>
      <c r="U413" s="6"/>
      <c r="V413" s="6"/>
      <c r="W413" s="6"/>
      <c r="X413" s="6"/>
      <c r="Y413" s="6"/>
      <c r="Z413" s="6"/>
      <c r="AA413" s="6" t="s">
        <v>89</v>
      </c>
      <c r="AB413" s="6" t="s">
        <v>2183</v>
      </c>
      <c r="AC413" s="6" t="s">
        <v>1888</v>
      </c>
      <c r="AD413" s="6" t="s">
        <v>2177</v>
      </c>
      <c r="AE413" s="6" t="s">
        <v>2178</v>
      </c>
      <c r="AF413" s="6" t="s">
        <v>2179</v>
      </c>
      <c r="AG413" s="6"/>
      <c r="AH413" s="6"/>
      <c r="AI413" s="7"/>
      <c r="AJ413" s="7"/>
      <c r="AK413" s="7"/>
      <c r="AL413" s="7"/>
      <c r="AM413" s="7"/>
      <c r="AN413" s="7"/>
      <c r="AO413" s="7"/>
      <c r="AP413" s="7"/>
      <c r="AQ413" s="7"/>
      <c r="AR413" s="7"/>
      <c r="AS413" s="7"/>
      <c r="AT413" s="7"/>
      <c r="AU413" s="7"/>
      <c r="AV413" s="7"/>
      <c r="AW413" s="7"/>
      <c r="AX413" s="7"/>
      <c r="AY413" s="7"/>
      <c r="AZ413" s="7"/>
    </row>
    <row r="414" customFormat="false" ht="150" hidden="false" customHeight="true" outlineLevel="0" collapsed="false">
      <c r="A414" s="6" t="s">
        <v>2184</v>
      </c>
      <c r="B414" s="6" t="s">
        <v>1875</v>
      </c>
      <c r="C414" s="6" t="s">
        <v>1876</v>
      </c>
      <c r="D414" s="6" t="s">
        <v>110</v>
      </c>
      <c r="E414" s="6" t="s">
        <v>111</v>
      </c>
      <c r="F414" s="6"/>
      <c r="G414" s="6" t="s">
        <v>1362</v>
      </c>
      <c r="H414" s="6" t="s">
        <v>1330</v>
      </c>
      <c r="I414" s="6" t="s">
        <v>81</v>
      </c>
      <c r="J414" s="6" t="s">
        <v>621</v>
      </c>
      <c r="K414" s="6" t="s">
        <v>1609</v>
      </c>
      <c r="L414" s="6" t="s">
        <v>1610</v>
      </c>
      <c r="M414" s="6" t="s">
        <v>2175</v>
      </c>
      <c r="N414" s="6"/>
      <c r="O414" s="6"/>
      <c r="P414" s="6" t="s">
        <v>211</v>
      </c>
      <c r="Q414" s="6" t="s">
        <v>212</v>
      </c>
      <c r="R414" s="6" t="s">
        <v>1612</v>
      </c>
      <c r="S414" s="6"/>
      <c r="T414" s="6"/>
      <c r="U414" s="6"/>
      <c r="V414" s="6"/>
      <c r="W414" s="6"/>
      <c r="X414" s="6"/>
      <c r="Y414" s="6"/>
      <c r="Z414" s="6"/>
      <c r="AA414" s="6" t="s">
        <v>89</v>
      </c>
      <c r="AB414" s="6" t="s">
        <v>2185</v>
      </c>
      <c r="AC414" s="6" t="s">
        <v>1891</v>
      </c>
      <c r="AD414" s="6" t="s">
        <v>2177</v>
      </c>
      <c r="AE414" s="6" t="s">
        <v>2178</v>
      </c>
      <c r="AF414" s="6" t="s">
        <v>2179</v>
      </c>
      <c r="AG414" s="6"/>
      <c r="AH414" s="6"/>
      <c r="AI414" s="7"/>
      <c r="AJ414" s="7"/>
      <c r="AK414" s="7"/>
      <c r="AL414" s="7"/>
      <c r="AM414" s="7"/>
      <c r="AN414" s="7"/>
      <c r="AO414" s="7"/>
      <c r="AP414" s="7"/>
      <c r="AQ414" s="7"/>
      <c r="AR414" s="7"/>
      <c r="AS414" s="7"/>
      <c r="AT414" s="7"/>
      <c r="AU414" s="7"/>
      <c r="AV414" s="7"/>
      <c r="AW414" s="7"/>
      <c r="AX414" s="7"/>
      <c r="AY414" s="7"/>
      <c r="AZ414" s="7"/>
    </row>
    <row r="415" customFormat="false" ht="150" hidden="false" customHeight="true" outlineLevel="0" collapsed="false">
      <c r="A415" s="6" t="s">
        <v>2186</v>
      </c>
      <c r="B415" s="6" t="s">
        <v>1875</v>
      </c>
      <c r="C415" s="6" t="s">
        <v>1876</v>
      </c>
      <c r="D415" s="6" t="s">
        <v>110</v>
      </c>
      <c r="E415" s="6" t="s">
        <v>111</v>
      </c>
      <c r="F415" s="6"/>
      <c r="G415" s="6" t="s">
        <v>1362</v>
      </c>
      <c r="H415" s="6" t="s">
        <v>1330</v>
      </c>
      <c r="I415" s="6" t="s">
        <v>81</v>
      </c>
      <c r="J415" s="6" t="s">
        <v>621</v>
      </c>
      <c r="K415" s="6" t="s">
        <v>1609</v>
      </c>
      <c r="L415" s="6" t="s">
        <v>1610</v>
      </c>
      <c r="M415" s="6" t="s">
        <v>2175</v>
      </c>
      <c r="N415" s="6"/>
      <c r="O415" s="6"/>
      <c r="P415" s="6" t="s">
        <v>211</v>
      </c>
      <c r="Q415" s="6" t="s">
        <v>212</v>
      </c>
      <c r="R415" s="6" t="s">
        <v>1612</v>
      </c>
      <c r="S415" s="6"/>
      <c r="T415" s="6"/>
      <c r="U415" s="6"/>
      <c r="V415" s="6"/>
      <c r="W415" s="6"/>
      <c r="X415" s="6"/>
      <c r="Y415" s="6"/>
      <c r="Z415" s="6"/>
      <c r="AA415" s="6" t="s">
        <v>89</v>
      </c>
      <c r="AB415" s="6" t="s">
        <v>2187</v>
      </c>
      <c r="AC415" s="6" t="s">
        <v>1894</v>
      </c>
      <c r="AD415" s="6" t="s">
        <v>2177</v>
      </c>
      <c r="AE415" s="6" t="s">
        <v>2178</v>
      </c>
      <c r="AF415" s="6" t="s">
        <v>2179</v>
      </c>
      <c r="AG415" s="6"/>
      <c r="AH415" s="6"/>
      <c r="AI415" s="7"/>
      <c r="AJ415" s="7"/>
      <c r="AK415" s="7"/>
      <c r="AL415" s="7"/>
      <c r="AM415" s="7"/>
      <c r="AN415" s="7"/>
      <c r="AO415" s="7"/>
      <c r="AP415" s="7"/>
      <c r="AQ415" s="7"/>
      <c r="AR415" s="7"/>
      <c r="AS415" s="7"/>
      <c r="AT415" s="7"/>
      <c r="AU415" s="7"/>
      <c r="AV415" s="7"/>
      <c r="AW415" s="7"/>
      <c r="AX415" s="7"/>
      <c r="AY415" s="7"/>
      <c r="AZ415" s="7"/>
    </row>
    <row r="416" customFormat="false" ht="150" hidden="false" customHeight="true" outlineLevel="0" collapsed="false">
      <c r="A416" s="6" t="s">
        <v>2188</v>
      </c>
      <c r="B416" s="6" t="s">
        <v>1875</v>
      </c>
      <c r="C416" s="6" t="s">
        <v>1876</v>
      </c>
      <c r="D416" s="6" t="s">
        <v>110</v>
      </c>
      <c r="E416" s="6" t="s">
        <v>111</v>
      </c>
      <c r="F416" s="6"/>
      <c r="G416" s="6" t="s">
        <v>1362</v>
      </c>
      <c r="H416" s="6" t="s">
        <v>1330</v>
      </c>
      <c r="I416" s="6" t="s">
        <v>81</v>
      </c>
      <c r="J416" s="6" t="s">
        <v>621</v>
      </c>
      <c r="K416" s="6" t="s">
        <v>1609</v>
      </c>
      <c r="L416" s="6" t="s">
        <v>1610</v>
      </c>
      <c r="M416" s="6" t="s">
        <v>2175</v>
      </c>
      <c r="N416" s="6"/>
      <c r="O416" s="6"/>
      <c r="P416" s="6" t="s">
        <v>211</v>
      </c>
      <c r="Q416" s="6" t="s">
        <v>212</v>
      </c>
      <c r="R416" s="6" t="s">
        <v>1612</v>
      </c>
      <c r="S416" s="6"/>
      <c r="T416" s="6"/>
      <c r="U416" s="6"/>
      <c r="V416" s="6"/>
      <c r="W416" s="6"/>
      <c r="X416" s="6"/>
      <c r="Y416" s="6"/>
      <c r="Z416" s="6"/>
      <c r="AA416" s="6" t="s">
        <v>89</v>
      </c>
      <c r="AB416" s="6" t="s">
        <v>2189</v>
      </c>
      <c r="AC416" s="6" t="s">
        <v>1897</v>
      </c>
      <c r="AD416" s="6" t="s">
        <v>2177</v>
      </c>
      <c r="AE416" s="6" t="s">
        <v>2178</v>
      </c>
      <c r="AF416" s="6" t="s">
        <v>2179</v>
      </c>
      <c r="AG416" s="6"/>
      <c r="AH416" s="6"/>
      <c r="AI416" s="7"/>
      <c r="AJ416" s="7"/>
      <c r="AK416" s="7"/>
      <c r="AL416" s="7"/>
      <c r="AM416" s="7"/>
      <c r="AN416" s="7"/>
      <c r="AO416" s="7"/>
      <c r="AP416" s="7"/>
      <c r="AQ416" s="7"/>
      <c r="AR416" s="7"/>
      <c r="AS416" s="7"/>
      <c r="AT416" s="7"/>
      <c r="AU416" s="7"/>
      <c r="AV416" s="7"/>
      <c r="AW416" s="7"/>
      <c r="AX416" s="7"/>
      <c r="AY416" s="7"/>
      <c r="AZ416" s="7"/>
    </row>
    <row r="417" customFormat="false" ht="150" hidden="false" customHeight="true" outlineLevel="0" collapsed="false">
      <c r="A417" s="6" t="s">
        <v>2190</v>
      </c>
      <c r="B417" s="6" t="s">
        <v>1875</v>
      </c>
      <c r="C417" s="6" t="s">
        <v>1876</v>
      </c>
      <c r="D417" s="6" t="s">
        <v>110</v>
      </c>
      <c r="E417" s="6" t="s">
        <v>111</v>
      </c>
      <c r="F417" s="6"/>
      <c r="G417" s="6" t="s">
        <v>1362</v>
      </c>
      <c r="H417" s="6" t="s">
        <v>1330</v>
      </c>
      <c r="I417" s="6" t="s">
        <v>81</v>
      </c>
      <c r="J417" s="6" t="s">
        <v>621</v>
      </c>
      <c r="K417" s="6" t="s">
        <v>1609</v>
      </c>
      <c r="L417" s="6" t="s">
        <v>1610</v>
      </c>
      <c r="M417" s="6" t="s">
        <v>2175</v>
      </c>
      <c r="N417" s="6"/>
      <c r="O417" s="6"/>
      <c r="P417" s="6" t="s">
        <v>211</v>
      </c>
      <c r="Q417" s="6" t="s">
        <v>212</v>
      </c>
      <c r="R417" s="6" t="s">
        <v>1612</v>
      </c>
      <c r="S417" s="6"/>
      <c r="T417" s="6"/>
      <c r="U417" s="6"/>
      <c r="V417" s="6"/>
      <c r="W417" s="6"/>
      <c r="X417" s="6"/>
      <c r="Y417" s="6"/>
      <c r="Z417" s="6"/>
      <c r="AA417" s="6" t="s">
        <v>89</v>
      </c>
      <c r="AB417" s="6" t="s">
        <v>2191</v>
      </c>
      <c r="AC417" s="6" t="s">
        <v>1900</v>
      </c>
      <c r="AD417" s="6" t="s">
        <v>2177</v>
      </c>
      <c r="AE417" s="6" t="s">
        <v>2178</v>
      </c>
      <c r="AF417" s="6" t="s">
        <v>2179</v>
      </c>
      <c r="AG417" s="6"/>
      <c r="AH417" s="6"/>
      <c r="AI417" s="7"/>
      <c r="AJ417" s="7"/>
      <c r="AK417" s="7"/>
      <c r="AL417" s="7"/>
      <c r="AM417" s="7"/>
      <c r="AN417" s="7"/>
      <c r="AO417" s="7"/>
      <c r="AP417" s="7"/>
      <c r="AQ417" s="7"/>
      <c r="AR417" s="7"/>
      <c r="AS417" s="7"/>
      <c r="AT417" s="7"/>
      <c r="AU417" s="7"/>
      <c r="AV417" s="7"/>
      <c r="AW417" s="7"/>
      <c r="AX417" s="7"/>
      <c r="AY417" s="7"/>
      <c r="AZ417" s="7"/>
    </row>
    <row r="418" customFormat="false" ht="150" hidden="false" customHeight="true" outlineLevel="0" collapsed="false">
      <c r="A418" s="6" t="s">
        <v>2192</v>
      </c>
      <c r="B418" s="6" t="s">
        <v>1875</v>
      </c>
      <c r="C418" s="6" t="s">
        <v>1876</v>
      </c>
      <c r="D418" s="6" t="s">
        <v>110</v>
      </c>
      <c r="E418" s="6" t="s">
        <v>111</v>
      </c>
      <c r="F418" s="6"/>
      <c r="G418" s="6" t="s">
        <v>1362</v>
      </c>
      <c r="H418" s="6" t="s">
        <v>1330</v>
      </c>
      <c r="I418" s="6" t="s">
        <v>81</v>
      </c>
      <c r="J418" s="6" t="s">
        <v>621</v>
      </c>
      <c r="K418" s="6" t="s">
        <v>1609</v>
      </c>
      <c r="L418" s="6" t="s">
        <v>1610</v>
      </c>
      <c r="M418" s="6" t="s">
        <v>2175</v>
      </c>
      <c r="N418" s="6"/>
      <c r="O418" s="6"/>
      <c r="P418" s="6" t="s">
        <v>211</v>
      </c>
      <c r="Q418" s="6" t="s">
        <v>212</v>
      </c>
      <c r="R418" s="6" t="s">
        <v>1612</v>
      </c>
      <c r="S418" s="6"/>
      <c r="T418" s="6"/>
      <c r="U418" s="6"/>
      <c r="V418" s="6"/>
      <c r="W418" s="6"/>
      <c r="X418" s="6"/>
      <c r="Y418" s="6"/>
      <c r="Z418" s="6"/>
      <c r="AA418" s="6" t="s">
        <v>89</v>
      </c>
      <c r="AB418" s="6" t="s">
        <v>2193</v>
      </c>
      <c r="AC418" s="6" t="s">
        <v>1903</v>
      </c>
      <c r="AD418" s="6" t="s">
        <v>2177</v>
      </c>
      <c r="AE418" s="6" t="s">
        <v>2178</v>
      </c>
      <c r="AF418" s="6" t="s">
        <v>2179</v>
      </c>
      <c r="AG418" s="6"/>
      <c r="AH418" s="6"/>
      <c r="AI418" s="7"/>
      <c r="AJ418" s="7"/>
      <c r="AK418" s="7"/>
      <c r="AL418" s="7"/>
      <c r="AM418" s="7"/>
      <c r="AN418" s="7"/>
      <c r="AO418" s="7"/>
      <c r="AP418" s="7"/>
      <c r="AQ418" s="7"/>
      <c r="AR418" s="7"/>
      <c r="AS418" s="7"/>
      <c r="AT418" s="7"/>
      <c r="AU418" s="7"/>
      <c r="AV418" s="7"/>
      <c r="AW418" s="7"/>
      <c r="AX418" s="7"/>
      <c r="AY418" s="7"/>
      <c r="AZ418" s="7"/>
    </row>
    <row r="419" customFormat="false" ht="150" hidden="false" customHeight="true" outlineLevel="0" collapsed="false">
      <c r="A419" s="6" t="s">
        <v>2194</v>
      </c>
      <c r="B419" s="6" t="s">
        <v>1875</v>
      </c>
      <c r="C419" s="6" t="s">
        <v>1876</v>
      </c>
      <c r="D419" s="6" t="s">
        <v>110</v>
      </c>
      <c r="E419" s="6" t="s">
        <v>111</v>
      </c>
      <c r="F419" s="6"/>
      <c r="G419" s="6" t="s">
        <v>1362</v>
      </c>
      <c r="H419" s="6" t="s">
        <v>1330</v>
      </c>
      <c r="I419" s="6" t="s">
        <v>81</v>
      </c>
      <c r="J419" s="6" t="s">
        <v>621</v>
      </c>
      <c r="K419" s="6" t="s">
        <v>1609</v>
      </c>
      <c r="L419" s="6" t="s">
        <v>1610</v>
      </c>
      <c r="M419" s="6" t="s">
        <v>2175</v>
      </c>
      <c r="N419" s="6"/>
      <c r="O419" s="6"/>
      <c r="P419" s="6" t="s">
        <v>211</v>
      </c>
      <c r="Q419" s="6" t="s">
        <v>212</v>
      </c>
      <c r="R419" s="6" t="s">
        <v>1612</v>
      </c>
      <c r="S419" s="6"/>
      <c r="T419" s="6"/>
      <c r="U419" s="6"/>
      <c r="V419" s="6"/>
      <c r="W419" s="6"/>
      <c r="X419" s="6"/>
      <c r="Y419" s="6"/>
      <c r="Z419" s="6"/>
      <c r="AA419" s="6" t="s">
        <v>89</v>
      </c>
      <c r="AB419" s="6" t="s">
        <v>2195</v>
      </c>
      <c r="AC419" s="6" t="s">
        <v>1906</v>
      </c>
      <c r="AD419" s="6" t="s">
        <v>2177</v>
      </c>
      <c r="AE419" s="6" t="s">
        <v>2178</v>
      </c>
      <c r="AF419" s="6" t="s">
        <v>2179</v>
      </c>
      <c r="AG419" s="6"/>
      <c r="AH419" s="6"/>
      <c r="AI419" s="7"/>
      <c r="AJ419" s="7"/>
      <c r="AK419" s="7"/>
      <c r="AL419" s="7"/>
      <c r="AM419" s="7"/>
      <c r="AN419" s="7"/>
      <c r="AO419" s="7"/>
      <c r="AP419" s="7"/>
      <c r="AQ419" s="7"/>
      <c r="AR419" s="7"/>
      <c r="AS419" s="7"/>
      <c r="AT419" s="7"/>
      <c r="AU419" s="7"/>
      <c r="AV419" s="7"/>
      <c r="AW419" s="7"/>
      <c r="AX419" s="7"/>
      <c r="AY419" s="7"/>
      <c r="AZ419" s="7"/>
    </row>
    <row r="420" customFormat="false" ht="150" hidden="false" customHeight="true" outlineLevel="0" collapsed="false">
      <c r="A420" s="6" t="s">
        <v>2196</v>
      </c>
      <c r="B420" s="6" t="s">
        <v>1875</v>
      </c>
      <c r="C420" s="6" t="s">
        <v>1876</v>
      </c>
      <c r="D420" s="6" t="s">
        <v>110</v>
      </c>
      <c r="E420" s="6" t="s">
        <v>111</v>
      </c>
      <c r="F420" s="6"/>
      <c r="G420" s="6" t="s">
        <v>1362</v>
      </c>
      <c r="H420" s="6" t="s">
        <v>1330</v>
      </c>
      <c r="I420" s="6" t="s">
        <v>81</v>
      </c>
      <c r="J420" s="6" t="s">
        <v>621</v>
      </c>
      <c r="K420" s="6" t="s">
        <v>1609</v>
      </c>
      <c r="L420" s="6" t="s">
        <v>1610</v>
      </c>
      <c r="M420" s="6" t="s">
        <v>2175</v>
      </c>
      <c r="N420" s="6"/>
      <c r="O420" s="6"/>
      <c r="P420" s="6" t="s">
        <v>211</v>
      </c>
      <c r="Q420" s="6" t="s">
        <v>212</v>
      </c>
      <c r="R420" s="6" t="s">
        <v>1612</v>
      </c>
      <c r="S420" s="6"/>
      <c r="T420" s="6"/>
      <c r="U420" s="6"/>
      <c r="V420" s="6"/>
      <c r="W420" s="6"/>
      <c r="X420" s="6"/>
      <c r="Y420" s="6"/>
      <c r="Z420" s="6"/>
      <c r="AA420" s="6" t="s">
        <v>89</v>
      </c>
      <c r="AB420" s="6" t="s">
        <v>2197</v>
      </c>
      <c r="AC420" s="6" t="s">
        <v>1909</v>
      </c>
      <c r="AD420" s="6" t="s">
        <v>2177</v>
      </c>
      <c r="AE420" s="6" t="s">
        <v>2178</v>
      </c>
      <c r="AF420" s="6" t="s">
        <v>2179</v>
      </c>
      <c r="AG420" s="6"/>
      <c r="AH420" s="6"/>
      <c r="AI420" s="7"/>
      <c r="AJ420" s="7"/>
      <c r="AK420" s="7"/>
      <c r="AL420" s="7"/>
      <c r="AM420" s="7"/>
      <c r="AN420" s="7"/>
      <c r="AO420" s="7"/>
      <c r="AP420" s="7"/>
      <c r="AQ420" s="7"/>
      <c r="AR420" s="7"/>
      <c r="AS420" s="7"/>
      <c r="AT420" s="7"/>
      <c r="AU420" s="7"/>
      <c r="AV420" s="7"/>
      <c r="AW420" s="7"/>
      <c r="AX420" s="7"/>
      <c r="AY420" s="7"/>
      <c r="AZ420" s="7"/>
    </row>
    <row r="421" customFormat="false" ht="150" hidden="false" customHeight="true" outlineLevel="0" collapsed="false">
      <c r="A421" s="6" t="s">
        <v>2198</v>
      </c>
      <c r="B421" s="6" t="s">
        <v>1875</v>
      </c>
      <c r="C421" s="6" t="s">
        <v>1876</v>
      </c>
      <c r="D421" s="6" t="s">
        <v>110</v>
      </c>
      <c r="E421" s="6" t="s">
        <v>111</v>
      </c>
      <c r="F421" s="6"/>
      <c r="G421" s="6" t="s">
        <v>1362</v>
      </c>
      <c r="H421" s="6" t="s">
        <v>1330</v>
      </c>
      <c r="I421" s="6" t="s">
        <v>81</v>
      </c>
      <c r="J421" s="6" t="s">
        <v>621</v>
      </c>
      <c r="K421" s="6" t="s">
        <v>1631</v>
      </c>
      <c r="L421" s="6" t="s">
        <v>1632</v>
      </c>
      <c r="M421" s="6" t="s">
        <v>2199</v>
      </c>
      <c r="N421" s="6"/>
      <c r="O421" s="6"/>
      <c r="P421" s="6" t="s">
        <v>1634</v>
      </c>
      <c r="Q421" s="6" t="s">
        <v>190</v>
      </c>
      <c r="R421" s="6" t="s">
        <v>170</v>
      </c>
      <c r="S421" s="6"/>
      <c r="T421" s="6"/>
      <c r="U421" s="6"/>
      <c r="V421" s="6"/>
      <c r="W421" s="6"/>
      <c r="X421" s="6"/>
      <c r="Y421" s="6"/>
      <c r="Z421" s="6"/>
      <c r="AA421" s="6" t="s">
        <v>89</v>
      </c>
      <c r="AB421" s="6" t="s">
        <v>2200</v>
      </c>
      <c r="AC421" s="6" t="s">
        <v>1879</v>
      </c>
      <c r="AD421" s="6" t="s">
        <v>2201</v>
      </c>
      <c r="AE421" s="6" t="s">
        <v>2202</v>
      </c>
      <c r="AF421" s="6" t="s">
        <v>2203</v>
      </c>
      <c r="AG421" s="6"/>
      <c r="AH421" s="6"/>
      <c r="AI421" s="7"/>
      <c r="AJ421" s="7"/>
      <c r="AK421" s="7"/>
      <c r="AL421" s="7"/>
      <c r="AM421" s="7"/>
      <c r="AN421" s="7"/>
      <c r="AO421" s="7"/>
      <c r="AP421" s="7"/>
      <c r="AQ421" s="7"/>
      <c r="AR421" s="7"/>
      <c r="AS421" s="7"/>
      <c r="AT421" s="7"/>
      <c r="AU421" s="7"/>
      <c r="AV421" s="7"/>
      <c r="AW421" s="7"/>
      <c r="AX421" s="7"/>
      <c r="AY421" s="7"/>
      <c r="AZ421" s="7"/>
    </row>
    <row r="422" customFormat="false" ht="150" hidden="false" customHeight="true" outlineLevel="0" collapsed="false">
      <c r="A422" s="6" t="s">
        <v>2204</v>
      </c>
      <c r="B422" s="6" t="s">
        <v>1875</v>
      </c>
      <c r="C422" s="6" t="s">
        <v>1876</v>
      </c>
      <c r="D422" s="6" t="s">
        <v>110</v>
      </c>
      <c r="E422" s="6" t="s">
        <v>111</v>
      </c>
      <c r="F422" s="6"/>
      <c r="G422" s="6" t="s">
        <v>1362</v>
      </c>
      <c r="H422" s="6" t="s">
        <v>1330</v>
      </c>
      <c r="I422" s="6" t="s">
        <v>81</v>
      </c>
      <c r="J422" s="6" t="s">
        <v>621</v>
      </c>
      <c r="K422" s="6" t="s">
        <v>1631</v>
      </c>
      <c r="L422" s="6" t="s">
        <v>1632</v>
      </c>
      <c r="M422" s="6" t="s">
        <v>2199</v>
      </c>
      <c r="N422" s="6"/>
      <c r="O422" s="6"/>
      <c r="P422" s="6" t="s">
        <v>1634</v>
      </c>
      <c r="Q422" s="6" t="s">
        <v>190</v>
      </c>
      <c r="R422" s="6" t="s">
        <v>170</v>
      </c>
      <c r="S422" s="6"/>
      <c r="T422" s="6"/>
      <c r="U422" s="6"/>
      <c r="V422" s="6"/>
      <c r="W422" s="6"/>
      <c r="X422" s="6"/>
      <c r="Y422" s="6"/>
      <c r="Z422" s="6"/>
      <c r="AA422" s="6" t="s">
        <v>89</v>
      </c>
      <c r="AB422" s="6" t="s">
        <v>2205</v>
      </c>
      <c r="AC422" s="6" t="s">
        <v>1885</v>
      </c>
      <c r="AD422" s="6" t="s">
        <v>2201</v>
      </c>
      <c r="AE422" s="6" t="s">
        <v>2202</v>
      </c>
      <c r="AF422" s="6" t="s">
        <v>2203</v>
      </c>
      <c r="AG422" s="6"/>
      <c r="AH422" s="6"/>
      <c r="AI422" s="7"/>
      <c r="AJ422" s="7"/>
      <c r="AK422" s="7"/>
      <c r="AL422" s="7"/>
      <c r="AM422" s="7"/>
      <c r="AN422" s="7"/>
      <c r="AO422" s="7"/>
      <c r="AP422" s="7"/>
      <c r="AQ422" s="7"/>
      <c r="AR422" s="7"/>
      <c r="AS422" s="7"/>
      <c r="AT422" s="7"/>
      <c r="AU422" s="7"/>
      <c r="AV422" s="7"/>
      <c r="AW422" s="7"/>
      <c r="AX422" s="7"/>
      <c r="AY422" s="7"/>
      <c r="AZ422" s="7"/>
    </row>
    <row r="423" customFormat="false" ht="150" hidden="false" customHeight="true" outlineLevel="0" collapsed="false">
      <c r="A423" s="6" t="s">
        <v>2206</v>
      </c>
      <c r="B423" s="6" t="s">
        <v>1875</v>
      </c>
      <c r="C423" s="6" t="s">
        <v>1876</v>
      </c>
      <c r="D423" s="6" t="s">
        <v>110</v>
      </c>
      <c r="E423" s="6" t="s">
        <v>111</v>
      </c>
      <c r="F423" s="6"/>
      <c r="G423" s="6" t="s">
        <v>1362</v>
      </c>
      <c r="H423" s="6" t="s">
        <v>1330</v>
      </c>
      <c r="I423" s="6" t="s">
        <v>81</v>
      </c>
      <c r="J423" s="6" t="s">
        <v>621</v>
      </c>
      <c r="K423" s="6" t="s">
        <v>1631</v>
      </c>
      <c r="L423" s="6" t="s">
        <v>1632</v>
      </c>
      <c r="M423" s="6" t="s">
        <v>2199</v>
      </c>
      <c r="N423" s="6"/>
      <c r="O423" s="6"/>
      <c r="P423" s="6" t="s">
        <v>1634</v>
      </c>
      <c r="Q423" s="6" t="s">
        <v>190</v>
      </c>
      <c r="R423" s="6" t="s">
        <v>170</v>
      </c>
      <c r="S423" s="6"/>
      <c r="T423" s="6"/>
      <c r="U423" s="6"/>
      <c r="V423" s="6"/>
      <c r="W423" s="6"/>
      <c r="X423" s="6"/>
      <c r="Y423" s="6"/>
      <c r="Z423" s="6"/>
      <c r="AA423" s="6" t="s">
        <v>89</v>
      </c>
      <c r="AB423" s="6" t="s">
        <v>2207</v>
      </c>
      <c r="AC423" s="6" t="s">
        <v>1888</v>
      </c>
      <c r="AD423" s="6" t="s">
        <v>2201</v>
      </c>
      <c r="AE423" s="6" t="s">
        <v>2202</v>
      </c>
      <c r="AF423" s="6" t="s">
        <v>2203</v>
      </c>
      <c r="AG423" s="6"/>
      <c r="AH423" s="6"/>
      <c r="AI423" s="7"/>
      <c r="AJ423" s="7"/>
      <c r="AK423" s="7"/>
      <c r="AL423" s="7"/>
      <c r="AM423" s="7"/>
      <c r="AN423" s="7"/>
      <c r="AO423" s="7"/>
      <c r="AP423" s="7"/>
      <c r="AQ423" s="7"/>
      <c r="AR423" s="7"/>
      <c r="AS423" s="7"/>
      <c r="AT423" s="7"/>
      <c r="AU423" s="7"/>
      <c r="AV423" s="7"/>
      <c r="AW423" s="7"/>
      <c r="AX423" s="7"/>
      <c r="AY423" s="7"/>
      <c r="AZ423" s="7"/>
    </row>
    <row r="424" customFormat="false" ht="150" hidden="false" customHeight="true" outlineLevel="0" collapsed="false">
      <c r="A424" s="6" t="s">
        <v>2208</v>
      </c>
      <c r="B424" s="6" t="s">
        <v>1875</v>
      </c>
      <c r="C424" s="6" t="s">
        <v>1876</v>
      </c>
      <c r="D424" s="6" t="s">
        <v>110</v>
      </c>
      <c r="E424" s="6" t="s">
        <v>111</v>
      </c>
      <c r="F424" s="6"/>
      <c r="G424" s="6" t="s">
        <v>1362</v>
      </c>
      <c r="H424" s="6" t="s">
        <v>1330</v>
      </c>
      <c r="I424" s="6" t="s">
        <v>81</v>
      </c>
      <c r="J424" s="6" t="s">
        <v>621</v>
      </c>
      <c r="K424" s="6" t="s">
        <v>1631</v>
      </c>
      <c r="L424" s="6" t="s">
        <v>1632</v>
      </c>
      <c r="M424" s="6" t="s">
        <v>2199</v>
      </c>
      <c r="N424" s="6"/>
      <c r="O424" s="6"/>
      <c r="P424" s="6" t="s">
        <v>1634</v>
      </c>
      <c r="Q424" s="6" t="s">
        <v>190</v>
      </c>
      <c r="R424" s="6" t="s">
        <v>170</v>
      </c>
      <c r="S424" s="6"/>
      <c r="T424" s="6"/>
      <c r="U424" s="6"/>
      <c r="V424" s="6"/>
      <c r="W424" s="6"/>
      <c r="X424" s="6"/>
      <c r="Y424" s="6"/>
      <c r="Z424" s="6"/>
      <c r="AA424" s="6" t="s">
        <v>89</v>
      </c>
      <c r="AB424" s="6" t="s">
        <v>2209</v>
      </c>
      <c r="AC424" s="6" t="s">
        <v>1891</v>
      </c>
      <c r="AD424" s="6" t="s">
        <v>2201</v>
      </c>
      <c r="AE424" s="6" t="s">
        <v>2202</v>
      </c>
      <c r="AF424" s="6" t="s">
        <v>2203</v>
      </c>
      <c r="AG424" s="6"/>
      <c r="AH424" s="6"/>
      <c r="AI424" s="7"/>
      <c r="AJ424" s="7"/>
      <c r="AK424" s="7"/>
      <c r="AL424" s="7"/>
      <c r="AM424" s="7"/>
      <c r="AN424" s="7"/>
      <c r="AO424" s="7"/>
      <c r="AP424" s="7"/>
      <c r="AQ424" s="7"/>
      <c r="AR424" s="7"/>
      <c r="AS424" s="7"/>
      <c r="AT424" s="7"/>
      <c r="AU424" s="7"/>
      <c r="AV424" s="7"/>
      <c r="AW424" s="7"/>
      <c r="AX424" s="7"/>
      <c r="AY424" s="7"/>
      <c r="AZ424" s="7"/>
    </row>
    <row r="425" customFormat="false" ht="150" hidden="false" customHeight="true" outlineLevel="0" collapsed="false">
      <c r="A425" s="6" t="s">
        <v>2210</v>
      </c>
      <c r="B425" s="6" t="s">
        <v>1875</v>
      </c>
      <c r="C425" s="6" t="s">
        <v>1876</v>
      </c>
      <c r="D425" s="6" t="s">
        <v>110</v>
      </c>
      <c r="E425" s="6" t="s">
        <v>111</v>
      </c>
      <c r="F425" s="6"/>
      <c r="G425" s="6" t="s">
        <v>1362</v>
      </c>
      <c r="H425" s="6" t="s">
        <v>1330</v>
      </c>
      <c r="I425" s="6" t="s">
        <v>81</v>
      </c>
      <c r="J425" s="6" t="s">
        <v>621</v>
      </c>
      <c r="K425" s="6" t="s">
        <v>1631</v>
      </c>
      <c r="L425" s="6" t="s">
        <v>1632</v>
      </c>
      <c r="M425" s="6" t="s">
        <v>2199</v>
      </c>
      <c r="N425" s="6"/>
      <c r="O425" s="6"/>
      <c r="P425" s="6" t="s">
        <v>1634</v>
      </c>
      <c r="Q425" s="6" t="s">
        <v>190</v>
      </c>
      <c r="R425" s="6" t="s">
        <v>170</v>
      </c>
      <c r="S425" s="6"/>
      <c r="T425" s="6"/>
      <c r="U425" s="6"/>
      <c r="V425" s="6"/>
      <c r="W425" s="6"/>
      <c r="X425" s="6"/>
      <c r="Y425" s="6"/>
      <c r="Z425" s="6"/>
      <c r="AA425" s="6" t="s">
        <v>89</v>
      </c>
      <c r="AB425" s="6" t="s">
        <v>2211</v>
      </c>
      <c r="AC425" s="6" t="s">
        <v>1894</v>
      </c>
      <c r="AD425" s="6" t="s">
        <v>2201</v>
      </c>
      <c r="AE425" s="6" t="s">
        <v>2202</v>
      </c>
      <c r="AF425" s="6" t="s">
        <v>2203</v>
      </c>
      <c r="AG425" s="6"/>
      <c r="AH425" s="6"/>
      <c r="AI425" s="7"/>
      <c r="AJ425" s="7"/>
      <c r="AK425" s="7"/>
      <c r="AL425" s="7"/>
      <c r="AM425" s="7"/>
      <c r="AN425" s="7"/>
      <c r="AO425" s="7"/>
      <c r="AP425" s="7"/>
      <c r="AQ425" s="7"/>
      <c r="AR425" s="7"/>
      <c r="AS425" s="7"/>
      <c r="AT425" s="7"/>
      <c r="AU425" s="7"/>
      <c r="AV425" s="7"/>
      <c r="AW425" s="7"/>
      <c r="AX425" s="7"/>
      <c r="AY425" s="7"/>
      <c r="AZ425" s="7"/>
    </row>
    <row r="426" customFormat="false" ht="150" hidden="false" customHeight="true" outlineLevel="0" collapsed="false">
      <c r="A426" s="6" t="s">
        <v>2212</v>
      </c>
      <c r="B426" s="6" t="s">
        <v>1875</v>
      </c>
      <c r="C426" s="6" t="s">
        <v>1876</v>
      </c>
      <c r="D426" s="6" t="s">
        <v>110</v>
      </c>
      <c r="E426" s="6" t="s">
        <v>111</v>
      </c>
      <c r="F426" s="6"/>
      <c r="G426" s="6" t="s">
        <v>1362</v>
      </c>
      <c r="H426" s="6" t="s">
        <v>1330</v>
      </c>
      <c r="I426" s="6" t="s">
        <v>81</v>
      </c>
      <c r="J426" s="6" t="s">
        <v>621</v>
      </c>
      <c r="K426" s="6" t="s">
        <v>1631</v>
      </c>
      <c r="L426" s="6" t="s">
        <v>1632</v>
      </c>
      <c r="M426" s="6" t="s">
        <v>2199</v>
      </c>
      <c r="N426" s="6"/>
      <c r="O426" s="6"/>
      <c r="P426" s="6" t="s">
        <v>1634</v>
      </c>
      <c r="Q426" s="6" t="s">
        <v>190</v>
      </c>
      <c r="R426" s="6" t="s">
        <v>170</v>
      </c>
      <c r="S426" s="6"/>
      <c r="T426" s="6"/>
      <c r="U426" s="6"/>
      <c r="V426" s="6"/>
      <c r="W426" s="6"/>
      <c r="X426" s="6"/>
      <c r="Y426" s="6"/>
      <c r="Z426" s="6"/>
      <c r="AA426" s="6" t="s">
        <v>89</v>
      </c>
      <c r="AB426" s="6" t="s">
        <v>2213</v>
      </c>
      <c r="AC426" s="6" t="s">
        <v>1897</v>
      </c>
      <c r="AD426" s="6" t="s">
        <v>2201</v>
      </c>
      <c r="AE426" s="6" t="s">
        <v>2202</v>
      </c>
      <c r="AF426" s="6" t="s">
        <v>2203</v>
      </c>
      <c r="AG426" s="6"/>
      <c r="AH426" s="6"/>
      <c r="AI426" s="7"/>
      <c r="AJ426" s="7"/>
      <c r="AK426" s="7"/>
      <c r="AL426" s="7"/>
      <c r="AM426" s="7"/>
      <c r="AN426" s="7"/>
      <c r="AO426" s="7"/>
      <c r="AP426" s="7"/>
      <c r="AQ426" s="7"/>
      <c r="AR426" s="7"/>
      <c r="AS426" s="7"/>
      <c r="AT426" s="7"/>
      <c r="AU426" s="7"/>
      <c r="AV426" s="7"/>
      <c r="AW426" s="7"/>
      <c r="AX426" s="7"/>
      <c r="AY426" s="7"/>
      <c r="AZ426" s="7"/>
    </row>
    <row r="427" customFormat="false" ht="150" hidden="false" customHeight="true" outlineLevel="0" collapsed="false">
      <c r="A427" s="6" t="s">
        <v>2214</v>
      </c>
      <c r="B427" s="6" t="s">
        <v>1875</v>
      </c>
      <c r="C427" s="6" t="s">
        <v>1876</v>
      </c>
      <c r="D427" s="6" t="s">
        <v>110</v>
      </c>
      <c r="E427" s="6" t="s">
        <v>111</v>
      </c>
      <c r="F427" s="6"/>
      <c r="G427" s="6" t="s">
        <v>1362</v>
      </c>
      <c r="H427" s="6" t="s">
        <v>1330</v>
      </c>
      <c r="I427" s="6" t="s">
        <v>81</v>
      </c>
      <c r="J427" s="6" t="s">
        <v>621</v>
      </c>
      <c r="K427" s="6" t="s">
        <v>1631</v>
      </c>
      <c r="L427" s="6" t="s">
        <v>1632</v>
      </c>
      <c r="M427" s="6" t="s">
        <v>2199</v>
      </c>
      <c r="N427" s="6"/>
      <c r="O427" s="6"/>
      <c r="P427" s="6" t="s">
        <v>1634</v>
      </c>
      <c r="Q427" s="6" t="s">
        <v>190</v>
      </c>
      <c r="R427" s="6" t="s">
        <v>170</v>
      </c>
      <c r="S427" s="6"/>
      <c r="T427" s="6"/>
      <c r="U427" s="6"/>
      <c r="V427" s="6"/>
      <c r="W427" s="6"/>
      <c r="X427" s="6"/>
      <c r="Y427" s="6"/>
      <c r="Z427" s="6"/>
      <c r="AA427" s="6" t="s">
        <v>89</v>
      </c>
      <c r="AB427" s="6" t="s">
        <v>2215</v>
      </c>
      <c r="AC427" s="6" t="s">
        <v>1900</v>
      </c>
      <c r="AD427" s="6" t="s">
        <v>2201</v>
      </c>
      <c r="AE427" s="6" t="s">
        <v>2202</v>
      </c>
      <c r="AF427" s="6" t="s">
        <v>2203</v>
      </c>
      <c r="AG427" s="6"/>
      <c r="AH427" s="6"/>
      <c r="AI427" s="7"/>
      <c r="AJ427" s="7"/>
      <c r="AK427" s="7"/>
      <c r="AL427" s="7"/>
      <c r="AM427" s="7"/>
      <c r="AN427" s="7"/>
      <c r="AO427" s="7"/>
      <c r="AP427" s="7"/>
      <c r="AQ427" s="7"/>
      <c r="AR427" s="7"/>
      <c r="AS427" s="7"/>
      <c r="AT427" s="7"/>
      <c r="AU427" s="7"/>
      <c r="AV427" s="7"/>
      <c r="AW427" s="7"/>
      <c r="AX427" s="7"/>
      <c r="AY427" s="7"/>
      <c r="AZ427" s="7"/>
    </row>
    <row r="428" customFormat="false" ht="150" hidden="false" customHeight="true" outlineLevel="0" collapsed="false">
      <c r="A428" s="6" t="s">
        <v>2216</v>
      </c>
      <c r="B428" s="6" t="s">
        <v>1875</v>
      </c>
      <c r="C428" s="6" t="s">
        <v>1876</v>
      </c>
      <c r="D428" s="6" t="s">
        <v>110</v>
      </c>
      <c r="E428" s="6" t="s">
        <v>111</v>
      </c>
      <c r="F428" s="6"/>
      <c r="G428" s="6" t="s">
        <v>1362</v>
      </c>
      <c r="H428" s="6" t="s">
        <v>1330</v>
      </c>
      <c r="I428" s="6" t="s">
        <v>81</v>
      </c>
      <c r="J428" s="6" t="s">
        <v>621</v>
      </c>
      <c r="K428" s="6" t="s">
        <v>1631</v>
      </c>
      <c r="L428" s="6" t="s">
        <v>1632</v>
      </c>
      <c r="M428" s="6" t="s">
        <v>2199</v>
      </c>
      <c r="N428" s="6"/>
      <c r="O428" s="6"/>
      <c r="P428" s="6" t="s">
        <v>1634</v>
      </c>
      <c r="Q428" s="6" t="s">
        <v>190</v>
      </c>
      <c r="R428" s="6" t="s">
        <v>170</v>
      </c>
      <c r="S428" s="6"/>
      <c r="T428" s="6"/>
      <c r="U428" s="6"/>
      <c r="V428" s="6"/>
      <c r="W428" s="6"/>
      <c r="X428" s="6"/>
      <c r="Y428" s="6"/>
      <c r="Z428" s="6"/>
      <c r="AA428" s="6" t="s">
        <v>89</v>
      </c>
      <c r="AB428" s="6" t="s">
        <v>2217</v>
      </c>
      <c r="AC428" s="6" t="s">
        <v>1903</v>
      </c>
      <c r="AD428" s="6" t="s">
        <v>2201</v>
      </c>
      <c r="AE428" s="6" t="s">
        <v>2202</v>
      </c>
      <c r="AF428" s="6" t="s">
        <v>2203</v>
      </c>
      <c r="AG428" s="6"/>
      <c r="AH428" s="6"/>
      <c r="AI428" s="7"/>
      <c r="AJ428" s="7"/>
      <c r="AK428" s="7"/>
      <c r="AL428" s="7"/>
      <c r="AM428" s="7"/>
      <c r="AN428" s="7"/>
      <c r="AO428" s="7"/>
      <c r="AP428" s="7"/>
      <c r="AQ428" s="7"/>
      <c r="AR428" s="7"/>
      <c r="AS428" s="7"/>
      <c r="AT428" s="7"/>
      <c r="AU428" s="7"/>
      <c r="AV428" s="7"/>
      <c r="AW428" s="7"/>
      <c r="AX428" s="7"/>
      <c r="AY428" s="7"/>
      <c r="AZ428" s="7"/>
    </row>
    <row r="429" customFormat="false" ht="150" hidden="false" customHeight="true" outlineLevel="0" collapsed="false">
      <c r="A429" s="6" t="s">
        <v>2218</v>
      </c>
      <c r="B429" s="6" t="s">
        <v>1875</v>
      </c>
      <c r="C429" s="6" t="s">
        <v>1876</v>
      </c>
      <c r="D429" s="6" t="s">
        <v>110</v>
      </c>
      <c r="E429" s="6" t="s">
        <v>111</v>
      </c>
      <c r="F429" s="6"/>
      <c r="G429" s="6" t="s">
        <v>1362</v>
      </c>
      <c r="H429" s="6" t="s">
        <v>1330</v>
      </c>
      <c r="I429" s="6" t="s">
        <v>81</v>
      </c>
      <c r="J429" s="6" t="s">
        <v>621</v>
      </c>
      <c r="K429" s="6" t="s">
        <v>1631</v>
      </c>
      <c r="L429" s="6" t="s">
        <v>1632</v>
      </c>
      <c r="M429" s="6" t="s">
        <v>2199</v>
      </c>
      <c r="N429" s="6"/>
      <c r="O429" s="6"/>
      <c r="P429" s="6" t="s">
        <v>1634</v>
      </c>
      <c r="Q429" s="6" t="s">
        <v>190</v>
      </c>
      <c r="R429" s="6" t="s">
        <v>170</v>
      </c>
      <c r="S429" s="6"/>
      <c r="T429" s="6"/>
      <c r="U429" s="6"/>
      <c r="V429" s="6"/>
      <c r="W429" s="6"/>
      <c r="X429" s="6"/>
      <c r="Y429" s="6"/>
      <c r="Z429" s="6"/>
      <c r="AA429" s="6" t="s">
        <v>89</v>
      </c>
      <c r="AB429" s="6" t="s">
        <v>2219</v>
      </c>
      <c r="AC429" s="6" t="s">
        <v>1906</v>
      </c>
      <c r="AD429" s="6" t="s">
        <v>2201</v>
      </c>
      <c r="AE429" s="6" t="s">
        <v>2202</v>
      </c>
      <c r="AF429" s="6" t="s">
        <v>2203</v>
      </c>
      <c r="AG429" s="6"/>
      <c r="AH429" s="6"/>
      <c r="AI429" s="7"/>
      <c r="AJ429" s="7"/>
      <c r="AK429" s="7"/>
      <c r="AL429" s="7"/>
      <c r="AM429" s="7"/>
      <c r="AN429" s="7"/>
      <c r="AO429" s="7"/>
      <c r="AP429" s="7"/>
      <c r="AQ429" s="7"/>
      <c r="AR429" s="7"/>
      <c r="AS429" s="7"/>
      <c r="AT429" s="7"/>
      <c r="AU429" s="7"/>
      <c r="AV429" s="7"/>
      <c r="AW429" s="7"/>
      <c r="AX429" s="7"/>
      <c r="AY429" s="7"/>
      <c r="AZ429" s="7"/>
    </row>
    <row r="430" customFormat="false" ht="150" hidden="false" customHeight="true" outlineLevel="0" collapsed="false">
      <c r="A430" s="6" t="s">
        <v>2220</v>
      </c>
      <c r="B430" s="6" t="s">
        <v>1875</v>
      </c>
      <c r="C430" s="6" t="s">
        <v>1876</v>
      </c>
      <c r="D430" s="6" t="s">
        <v>110</v>
      </c>
      <c r="E430" s="6" t="s">
        <v>111</v>
      </c>
      <c r="F430" s="6"/>
      <c r="G430" s="6" t="s">
        <v>1362</v>
      </c>
      <c r="H430" s="6" t="s">
        <v>1330</v>
      </c>
      <c r="I430" s="6" t="s">
        <v>81</v>
      </c>
      <c r="J430" s="6" t="s">
        <v>621</v>
      </c>
      <c r="K430" s="6" t="s">
        <v>1631</v>
      </c>
      <c r="L430" s="6" t="s">
        <v>1632</v>
      </c>
      <c r="M430" s="6" t="s">
        <v>2199</v>
      </c>
      <c r="N430" s="6"/>
      <c r="O430" s="6"/>
      <c r="P430" s="6" t="s">
        <v>1634</v>
      </c>
      <c r="Q430" s="6" t="s">
        <v>190</v>
      </c>
      <c r="R430" s="6" t="s">
        <v>170</v>
      </c>
      <c r="S430" s="6"/>
      <c r="T430" s="6"/>
      <c r="U430" s="6"/>
      <c r="V430" s="6"/>
      <c r="W430" s="6"/>
      <c r="X430" s="6"/>
      <c r="Y430" s="6"/>
      <c r="Z430" s="6"/>
      <c r="AA430" s="6" t="s">
        <v>89</v>
      </c>
      <c r="AB430" s="6" t="s">
        <v>2221</v>
      </c>
      <c r="AC430" s="6" t="s">
        <v>1909</v>
      </c>
      <c r="AD430" s="6" t="s">
        <v>2201</v>
      </c>
      <c r="AE430" s="6" t="s">
        <v>2202</v>
      </c>
      <c r="AF430" s="6" t="s">
        <v>2203</v>
      </c>
      <c r="AG430" s="6"/>
      <c r="AH430" s="6"/>
      <c r="AI430" s="7"/>
      <c r="AJ430" s="7"/>
      <c r="AK430" s="7"/>
      <c r="AL430" s="7"/>
      <c r="AM430" s="7"/>
      <c r="AN430" s="7"/>
      <c r="AO430" s="7"/>
      <c r="AP430" s="7"/>
      <c r="AQ430" s="7"/>
      <c r="AR430" s="7"/>
      <c r="AS430" s="7"/>
      <c r="AT430" s="7"/>
      <c r="AU430" s="7"/>
      <c r="AV430" s="7"/>
      <c r="AW430" s="7"/>
      <c r="AX430" s="7"/>
      <c r="AY430" s="7"/>
      <c r="AZ430" s="7"/>
    </row>
    <row r="431" customFormat="false" ht="150" hidden="false" customHeight="true" outlineLevel="0" collapsed="false">
      <c r="A431" s="6" t="s">
        <v>2222</v>
      </c>
      <c r="B431" s="6" t="s">
        <v>1875</v>
      </c>
      <c r="C431" s="6" t="s">
        <v>1876</v>
      </c>
      <c r="D431" s="6" t="s">
        <v>110</v>
      </c>
      <c r="E431" s="6" t="s">
        <v>111</v>
      </c>
      <c r="F431" s="6"/>
      <c r="G431" s="6" t="s">
        <v>1362</v>
      </c>
      <c r="H431" s="6" t="s">
        <v>1330</v>
      </c>
      <c r="I431" s="6" t="s">
        <v>81</v>
      </c>
      <c r="J431" s="6" t="s">
        <v>621</v>
      </c>
      <c r="K431" s="6" t="s">
        <v>1653</v>
      </c>
      <c r="L431" s="6" t="s">
        <v>1654</v>
      </c>
      <c r="M431" s="6" t="s">
        <v>2223</v>
      </c>
      <c r="N431" s="6"/>
      <c r="O431" s="6"/>
      <c r="P431" s="6" t="s">
        <v>1656</v>
      </c>
      <c r="Q431" s="6" t="s">
        <v>169</v>
      </c>
      <c r="R431" s="6" t="s">
        <v>1657</v>
      </c>
      <c r="S431" s="6"/>
      <c r="T431" s="6"/>
      <c r="U431" s="6"/>
      <c r="V431" s="6"/>
      <c r="W431" s="6"/>
      <c r="X431" s="6"/>
      <c r="Y431" s="6"/>
      <c r="Z431" s="6"/>
      <c r="AA431" s="6" t="s">
        <v>89</v>
      </c>
      <c r="AB431" s="6" t="s">
        <v>2224</v>
      </c>
      <c r="AC431" s="6" t="s">
        <v>1879</v>
      </c>
      <c r="AD431" s="6" t="s">
        <v>2225</v>
      </c>
      <c r="AE431" s="6" t="s">
        <v>2226</v>
      </c>
      <c r="AF431" s="6" t="s">
        <v>2227</v>
      </c>
      <c r="AG431" s="6"/>
      <c r="AH431" s="6"/>
      <c r="AI431" s="7"/>
      <c r="AJ431" s="7"/>
      <c r="AK431" s="7"/>
      <c r="AL431" s="7"/>
      <c r="AM431" s="7"/>
      <c r="AN431" s="7"/>
      <c r="AO431" s="7"/>
      <c r="AP431" s="7"/>
      <c r="AQ431" s="7"/>
      <c r="AR431" s="7"/>
      <c r="AS431" s="7"/>
      <c r="AT431" s="7"/>
      <c r="AU431" s="7"/>
      <c r="AV431" s="7"/>
      <c r="AW431" s="7"/>
      <c r="AX431" s="7"/>
      <c r="AY431" s="7"/>
      <c r="AZ431" s="7"/>
    </row>
    <row r="432" customFormat="false" ht="150" hidden="false" customHeight="true" outlineLevel="0" collapsed="false">
      <c r="A432" s="6" t="s">
        <v>2228</v>
      </c>
      <c r="B432" s="6" t="s">
        <v>1875</v>
      </c>
      <c r="C432" s="6" t="s">
        <v>1876</v>
      </c>
      <c r="D432" s="6" t="s">
        <v>110</v>
      </c>
      <c r="E432" s="6" t="s">
        <v>111</v>
      </c>
      <c r="F432" s="6"/>
      <c r="G432" s="6" t="s">
        <v>1362</v>
      </c>
      <c r="H432" s="6" t="s">
        <v>1330</v>
      </c>
      <c r="I432" s="6" t="s">
        <v>81</v>
      </c>
      <c r="J432" s="6" t="s">
        <v>621</v>
      </c>
      <c r="K432" s="6" t="s">
        <v>1653</v>
      </c>
      <c r="L432" s="6" t="s">
        <v>1654</v>
      </c>
      <c r="M432" s="6" t="s">
        <v>2223</v>
      </c>
      <c r="N432" s="6"/>
      <c r="O432" s="6"/>
      <c r="P432" s="6" t="s">
        <v>1656</v>
      </c>
      <c r="Q432" s="6" t="s">
        <v>169</v>
      </c>
      <c r="R432" s="6" t="s">
        <v>1657</v>
      </c>
      <c r="S432" s="6"/>
      <c r="T432" s="6"/>
      <c r="U432" s="6"/>
      <c r="V432" s="6"/>
      <c r="W432" s="6"/>
      <c r="X432" s="6"/>
      <c r="Y432" s="6"/>
      <c r="Z432" s="6"/>
      <c r="AA432" s="6" t="s">
        <v>89</v>
      </c>
      <c r="AB432" s="6" t="s">
        <v>2229</v>
      </c>
      <c r="AC432" s="6" t="s">
        <v>1885</v>
      </c>
      <c r="AD432" s="6" t="s">
        <v>2225</v>
      </c>
      <c r="AE432" s="6" t="s">
        <v>2226</v>
      </c>
      <c r="AF432" s="6" t="s">
        <v>2227</v>
      </c>
      <c r="AG432" s="6"/>
      <c r="AH432" s="6"/>
      <c r="AI432" s="7"/>
      <c r="AJ432" s="7"/>
      <c r="AK432" s="7"/>
      <c r="AL432" s="7"/>
      <c r="AM432" s="7"/>
      <c r="AN432" s="7"/>
      <c r="AO432" s="7"/>
      <c r="AP432" s="7"/>
      <c r="AQ432" s="7"/>
      <c r="AR432" s="7"/>
      <c r="AS432" s="7"/>
      <c r="AT432" s="7"/>
      <c r="AU432" s="7"/>
      <c r="AV432" s="7"/>
      <c r="AW432" s="7"/>
      <c r="AX432" s="7"/>
      <c r="AY432" s="7"/>
      <c r="AZ432" s="7"/>
    </row>
    <row r="433" customFormat="false" ht="150" hidden="false" customHeight="true" outlineLevel="0" collapsed="false">
      <c r="A433" s="6" t="s">
        <v>2230</v>
      </c>
      <c r="B433" s="6" t="s">
        <v>1875</v>
      </c>
      <c r="C433" s="6" t="s">
        <v>1876</v>
      </c>
      <c r="D433" s="6" t="s">
        <v>110</v>
      </c>
      <c r="E433" s="6" t="s">
        <v>111</v>
      </c>
      <c r="F433" s="6"/>
      <c r="G433" s="6" t="s">
        <v>1362</v>
      </c>
      <c r="H433" s="6" t="s">
        <v>1330</v>
      </c>
      <c r="I433" s="6" t="s">
        <v>81</v>
      </c>
      <c r="J433" s="6" t="s">
        <v>621</v>
      </c>
      <c r="K433" s="6" t="s">
        <v>1653</v>
      </c>
      <c r="L433" s="6" t="s">
        <v>1654</v>
      </c>
      <c r="M433" s="6" t="s">
        <v>2223</v>
      </c>
      <c r="N433" s="6"/>
      <c r="O433" s="6"/>
      <c r="P433" s="6" t="s">
        <v>1656</v>
      </c>
      <c r="Q433" s="6" t="s">
        <v>169</v>
      </c>
      <c r="R433" s="6" t="s">
        <v>1657</v>
      </c>
      <c r="S433" s="6"/>
      <c r="T433" s="6"/>
      <c r="U433" s="6"/>
      <c r="V433" s="6"/>
      <c r="W433" s="6"/>
      <c r="X433" s="6"/>
      <c r="Y433" s="6"/>
      <c r="Z433" s="6"/>
      <c r="AA433" s="6" t="s">
        <v>89</v>
      </c>
      <c r="AB433" s="6" t="s">
        <v>2231</v>
      </c>
      <c r="AC433" s="6" t="s">
        <v>1888</v>
      </c>
      <c r="AD433" s="6" t="s">
        <v>2225</v>
      </c>
      <c r="AE433" s="6" t="s">
        <v>2226</v>
      </c>
      <c r="AF433" s="6" t="s">
        <v>2227</v>
      </c>
      <c r="AG433" s="6"/>
      <c r="AH433" s="6"/>
      <c r="AI433" s="7"/>
      <c r="AJ433" s="7"/>
      <c r="AK433" s="7"/>
      <c r="AL433" s="7"/>
      <c r="AM433" s="7"/>
      <c r="AN433" s="7"/>
      <c r="AO433" s="7"/>
      <c r="AP433" s="7"/>
      <c r="AQ433" s="7"/>
      <c r="AR433" s="7"/>
      <c r="AS433" s="7"/>
      <c r="AT433" s="7"/>
      <c r="AU433" s="7"/>
      <c r="AV433" s="7"/>
      <c r="AW433" s="7"/>
      <c r="AX433" s="7"/>
      <c r="AY433" s="7"/>
      <c r="AZ433" s="7"/>
    </row>
    <row r="434" customFormat="false" ht="150" hidden="false" customHeight="true" outlineLevel="0" collapsed="false">
      <c r="A434" s="6" t="s">
        <v>2232</v>
      </c>
      <c r="B434" s="6" t="s">
        <v>1875</v>
      </c>
      <c r="C434" s="6" t="s">
        <v>1876</v>
      </c>
      <c r="D434" s="6" t="s">
        <v>110</v>
      </c>
      <c r="E434" s="6" t="s">
        <v>111</v>
      </c>
      <c r="F434" s="6"/>
      <c r="G434" s="6" t="s">
        <v>1362</v>
      </c>
      <c r="H434" s="6" t="s">
        <v>1330</v>
      </c>
      <c r="I434" s="6" t="s">
        <v>81</v>
      </c>
      <c r="J434" s="6" t="s">
        <v>621</v>
      </c>
      <c r="K434" s="6" t="s">
        <v>1653</v>
      </c>
      <c r="L434" s="6" t="s">
        <v>1654</v>
      </c>
      <c r="M434" s="6" t="s">
        <v>2223</v>
      </c>
      <c r="N434" s="6"/>
      <c r="O434" s="6"/>
      <c r="P434" s="6" t="s">
        <v>1656</v>
      </c>
      <c r="Q434" s="6" t="s">
        <v>169</v>
      </c>
      <c r="R434" s="6" t="s">
        <v>1657</v>
      </c>
      <c r="S434" s="6"/>
      <c r="T434" s="6"/>
      <c r="U434" s="6"/>
      <c r="V434" s="6"/>
      <c r="W434" s="6"/>
      <c r="X434" s="6"/>
      <c r="Y434" s="6"/>
      <c r="Z434" s="6"/>
      <c r="AA434" s="6" t="s">
        <v>89</v>
      </c>
      <c r="AB434" s="6" t="s">
        <v>2233</v>
      </c>
      <c r="AC434" s="6" t="s">
        <v>1891</v>
      </c>
      <c r="AD434" s="6" t="s">
        <v>2225</v>
      </c>
      <c r="AE434" s="6" t="s">
        <v>2226</v>
      </c>
      <c r="AF434" s="6" t="s">
        <v>2227</v>
      </c>
      <c r="AG434" s="6"/>
      <c r="AH434" s="6"/>
      <c r="AI434" s="7"/>
      <c r="AJ434" s="7"/>
      <c r="AK434" s="7"/>
      <c r="AL434" s="7"/>
      <c r="AM434" s="7"/>
      <c r="AN434" s="7"/>
      <c r="AO434" s="7"/>
      <c r="AP434" s="7"/>
      <c r="AQ434" s="7"/>
      <c r="AR434" s="7"/>
      <c r="AS434" s="7"/>
      <c r="AT434" s="7"/>
      <c r="AU434" s="7"/>
      <c r="AV434" s="7"/>
      <c r="AW434" s="7"/>
      <c r="AX434" s="7"/>
      <c r="AY434" s="7"/>
      <c r="AZ434" s="7"/>
    </row>
    <row r="435" customFormat="false" ht="150" hidden="false" customHeight="true" outlineLevel="0" collapsed="false">
      <c r="A435" s="6" t="s">
        <v>2234</v>
      </c>
      <c r="B435" s="6" t="s">
        <v>1875</v>
      </c>
      <c r="C435" s="6" t="s">
        <v>1876</v>
      </c>
      <c r="D435" s="6" t="s">
        <v>110</v>
      </c>
      <c r="E435" s="6" t="s">
        <v>111</v>
      </c>
      <c r="F435" s="6"/>
      <c r="G435" s="6" t="s">
        <v>1362</v>
      </c>
      <c r="H435" s="6" t="s">
        <v>1330</v>
      </c>
      <c r="I435" s="6" t="s">
        <v>81</v>
      </c>
      <c r="J435" s="6" t="s">
        <v>621</v>
      </c>
      <c r="K435" s="6" t="s">
        <v>1653</v>
      </c>
      <c r="L435" s="6" t="s">
        <v>1654</v>
      </c>
      <c r="M435" s="6" t="s">
        <v>2223</v>
      </c>
      <c r="N435" s="6"/>
      <c r="O435" s="6"/>
      <c r="P435" s="6" t="s">
        <v>1656</v>
      </c>
      <c r="Q435" s="6" t="s">
        <v>169</v>
      </c>
      <c r="R435" s="6" t="s">
        <v>1657</v>
      </c>
      <c r="S435" s="6"/>
      <c r="T435" s="6"/>
      <c r="U435" s="6"/>
      <c r="V435" s="6"/>
      <c r="W435" s="6"/>
      <c r="X435" s="6"/>
      <c r="Y435" s="6"/>
      <c r="Z435" s="6"/>
      <c r="AA435" s="6" t="s">
        <v>89</v>
      </c>
      <c r="AB435" s="6" t="s">
        <v>2235</v>
      </c>
      <c r="AC435" s="6" t="s">
        <v>1894</v>
      </c>
      <c r="AD435" s="6" t="s">
        <v>2225</v>
      </c>
      <c r="AE435" s="6" t="s">
        <v>2226</v>
      </c>
      <c r="AF435" s="6" t="s">
        <v>2227</v>
      </c>
      <c r="AG435" s="6"/>
      <c r="AH435" s="6"/>
      <c r="AI435" s="7"/>
      <c r="AJ435" s="7"/>
      <c r="AK435" s="7"/>
      <c r="AL435" s="7"/>
      <c r="AM435" s="7"/>
      <c r="AN435" s="7"/>
      <c r="AO435" s="7"/>
      <c r="AP435" s="7"/>
      <c r="AQ435" s="7"/>
      <c r="AR435" s="7"/>
      <c r="AS435" s="7"/>
      <c r="AT435" s="7"/>
      <c r="AU435" s="7"/>
      <c r="AV435" s="7"/>
      <c r="AW435" s="7"/>
      <c r="AX435" s="7"/>
      <c r="AY435" s="7"/>
      <c r="AZ435" s="7"/>
    </row>
    <row r="436" customFormat="false" ht="150" hidden="false" customHeight="true" outlineLevel="0" collapsed="false">
      <c r="A436" s="6" t="s">
        <v>2236</v>
      </c>
      <c r="B436" s="6" t="s">
        <v>1875</v>
      </c>
      <c r="C436" s="6" t="s">
        <v>1876</v>
      </c>
      <c r="D436" s="6" t="s">
        <v>110</v>
      </c>
      <c r="E436" s="6" t="s">
        <v>111</v>
      </c>
      <c r="F436" s="6"/>
      <c r="G436" s="6" t="s">
        <v>1362</v>
      </c>
      <c r="H436" s="6" t="s">
        <v>1330</v>
      </c>
      <c r="I436" s="6" t="s">
        <v>81</v>
      </c>
      <c r="J436" s="6" t="s">
        <v>621</v>
      </c>
      <c r="K436" s="6" t="s">
        <v>1653</v>
      </c>
      <c r="L436" s="6" t="s">
        <v>1654</v>
      </c>
      <c r="M436" s="6" t="s">
        <v>2223</v>
      </c>
      <c r="N436" s="6"/>
      <c r="O436" s="6"/>
      <c r="P436" s="6" t="s">
        <v>1656</v>
      </c>
      <c r="Q436" s="6" t="s">
        <v>169</v>
      </c>
      <c r="R436" s="6" t="s">
        <v>1657</v>
      </c>
      <c r="S436" s="6"/>
      <c r="T436" s="6"/>
      <c r="U436" s="6"/>
      <c r="V436" s="6"/>
      <c r="W436" s="6"/>
      <c r="X436" s="6"/>
      <c r="Y436" s="6"/>
      <c r="Z436" s="6"/>
      <c r="AA436" s="6" t="s">
        <v>89</v>
      </c>
      <c r="AB436" s="6" t="s">
        <v>2237</v>
      </c>
      <c r="AC436" s="6" t="s">
        <v>1897</v>
      </c>
      <c r="AD436" s="6" t="s">
        <v>2225</v>
      </c>
      <c r="AE436" s="6" t="s">
        <v>2226</v>
      </c>
      <c r="AF436" s="6" t="s">
        <v>2227</v>
      </c>
      <c r="AG436" s="6"/>
      <c r="AH436" s="6"/>
      <c r="AI436" s="7"/>
      <c r="AJ436" s="7"/>
      <c r="AK436" s="7"/>
      <c r="AL436" s="7"/>
      <c r="AM436" s="7"/>
      <c r="AN436" s="7"/>
      <c r="AO436" s="7"/>
      <c r="AP436" s="7"/>
      <c r="AQ436" s="7"/>
      <c r="AR436" s="7"/>
      <c r="AS436" s="7"/>
      <c r="AT436" s="7"/>
      <c r="AU436" s="7"/>
      <c r="AV436" s="7"/>
      <c r="AW436" s="7"/>
      <c r="AX436" s="7"/>
      <c r="AY436" s="7"/>
      <c r="AZ436" s="7"/>
    </row>
    <row r="437" customFormat="false" ht="150" hidden="false" customHeight="true" outlineLevel="0" collapsed="false">
      <c r="A437" s="6" t="s">
        <v>2238</v>
      </c>
      <c r="B437" s="6" t="s">
        <v>1875</v>
      </c>
      <c r="C437" s="6" t="s">
        <v>1876</v>
      </c>
      <c r="D437" s="6" t="s">
        <v>110</v>
      </c>
      <c r="E437" s="6" t="s">
        <v>111</v>
      </c>
      <c r="F437" s="6"/>
      <c r="G437" s="6" t="s">
        <v>1362</v>
      </c>
      <c r="H437" s="6" t="s">
        <v>1330</v>
      </c>
      <c r="I437" s="6" t="s">
        <v>81</v>
      </c>
      <c r="J437" s="6" t="s">
        <v>621</v>
      </c>
      <c r="K437" s="6" t="s">
        <v>1653</v>
      </c>
      <c r="L437" s="6" t="s">
        <v>1654</v>
      </c>
      <c r="M437" s="6" t="s">
        <v>2223</v>
      </c>
      <c r="N437" s="6"/>
      <c r="O437" s="6"/>
      <c r="P437" s="6" t="s">
        <v>1656</v>
      </c>
      <c r="Q437" s="6" t="s">
        <v>169</v>
      </c>
      <c r="R437" s="6" t="s">
        <v>1657</v>
      </c>
      <c r="S437" s="6"/>
      <c r="T437" s="6"/>
      <c r="U437" s="6"/>
      <c r="V437" s="6"/>
      <c r="W437" s="6"/>
      <c r="X437" s="6"/>
      <c r="Y437" s="6"/>
      <c r="Z437" s="6"/>
      <c r="AA437" s="6" t="s">
        <v>89</v>
      </c>
      <c r="AB437" s="6" t="s">
        <v>2239</v>
      </c>
      <c r="AC437" s="6" t="s">
        <v>1900</v>
      </c>
      <c r="AD437" s="6" t="s">
        <v>2225</v>
      </c>
      <c r="AE437" s="6" t="s">
        <v>2226</v>
      </c>
      <c r="AF437" s="6" t="s">
        <v>2227</v>
      </c>
      <c r="AG437" s="6"/>
      <c r="AH437" s="6"/>
      <c r="AI437" s="7"/>
      <c r="AJ437" s="7"/>
      <c r="AK437" s="7"/>
      <c r="AL437" s="7"/>
      <c r="AM437" s="7"/>
      <c r="AN437" s="7"/>
      <c r="AO437" s="7"/>
      <c r="AP437" s="7"/>
      <c r="AQ437" s="7"/>
      <c r="AR437" s="7"/>
      <c r="AS437" s="7"/>
      <c r="AT437" s="7"/>
      <c r="AU437" s="7"/>
      <c r="AV437" s="7"/>
      <c r="AW437" s="7"/>
      <c r="AX437" s="7"/>
      <c r="AY437" s="7"/>
      <c r="AZ437" s="7"/>
    </row>
    <row r="438" customFormat="false" ht="150" hidden="false" customHeight="true" outlineLevel="0" collapsed="false">
      <c r="A438" s="6" t="s">
        <v>2240</v>
      </c>
      <c r="B438" s="6" t="s">
        <v>1875</v>
      </c>
      <c r="C438" s="6" t="s">
        <v>1876</v>
      </c>
      <c r="D438" s="6" t="s">
        <v>110</v>
      </c>
      <c r="E438" s="6" t="s">
        <v>111</v>
      </c>
      <c r="F438" s="6"/>
      <c r="G438" s="6" t="s">
        <v>1362</v>
      </c>
      <c r="H438" s="6" t="s">
        <v>1330</v>
      </c>
      <c r="I438" s="6" t="s">
        <v>81</v>
      </c>
      <c r="J438" s="6" t="s">
        <v>621</v>
      </c>
      <c r="K438" s="6" t="s">
        <v>1653</v>
      </c>
      <c r="L438" s="6" t="s">
        <v>1654</v>
      </c>
      <c r="M438" s="6" t="s">
        <v>2223</v>
      </c>
      <c r="N438" s="6"/>
      <c r="O438" s="6"/>
      <c r="P438" s="6" t="s">
        <v>1656</v>
      </c>
      <c r="Q438" s="6" t="s">
        <v>169</v>
      </c>
      <c r="R438" s="6" t="s">
        <v>1657</v>
      </c>
      <c r="S438" s="6"/>
      <c r="T438" s="6"/>
      <c r="U438" s="6"/>
      <c r="V438" s="6"/>
      <c r="W438" s="6"/>
      <c r="X438" s="6"/>
      <c r="Y438" s="6"/>
      <c r="Z438" s="6"/>
      <c r="AA438" s="6" t="s">
        <v>89</v>
      </c>
      <c r="AB438" s="6" t="s">
        <v>2241</v>
      </c>
      <c r="AC438" s="6" t="s">
        <v>1903</v>
      </c>
      <c r="AD438" s="6" t="s">
        <v>2225</v>
      </c>
      <c r="AE438" s="6" t="s">
        <v>2226</v>
      </c>
      <c r="AF438" s="6" t="s">
        <v>2227</v>
      </c>
      <c r="AG438" s="6"/>
      <c r="AH438" s="6"/>
      <c r="AI438" s="7"/>
      <c r="AJ438" s="7"/>
      <c r="AK438" s="7"/>
      <c r="AL438" s="7"/>
      <c r="AM438" s="7"/>
      <c r="AN438" s="7"/>
      <c r="AO438" s="7"/>
      <c r="AP438" s="7"/>
      <c r="AQ438" s="7"/>
      <c r="AR438" s="7"/>
      <c r="AS438" s="7"/>
      <c r="AT438" s="7"/>
      <c r="AU438" s="7"/>
      <c r="AV438" s="7"/>
      <c r="AW438" s="7"/>
      <c r="AX438" s="7"/>
      <c r="AY438" s="7"/>
      <c r="AZ438" s="7"/>
    </row>
    <row r="439" customFormat="false" ht="150" hidden="false" customHeight="true" outlineLevel="0" collapsed="false">
      <c r="A439" s="6" t="s">
        <v>2242</v>
      </c>
      <c r="B439" s="6" t="s">
        <v>1875</v>
      </c>
      <c r="C439" s="6" t="s">
        <v>1876</v>
      </c>
      <c r="D439" s="6" t="s">
        <v>110</v>
      </c>
      <c r="E439" s="6" t="s">
        <v>111</v>
      </c>
      <c r="F439" s="6"/>
      <c r="G439" s="6" t="s">
        <v>1362</v>
      </c>
      <c r="H439" s="6" t="s">
        <v>1330</v>
      </c>
      <c r="I439" s="6" t="s">
        <v>81</v>
      </c>
      <c r="J439" s="6" t="s">
        <v>621</v>
      </c>
      <c r="K439" s="6" t="s">
        <v>1653</v>
      </c>
      <c r="L439" s="6" t="s">
        <v>1654</v>
      </c>
      <c r="M439" s="6" t="s">
        <v>2223</v>
      </c>
      <c r="N439" s="6"/>
      <c r="O439" s="6"/>
      <c r="P439" s="6" t="s">
        <v>1656</v>
      </c>
      <c r="Q439" s="6" t="s">
        <v>169</v>
      </c>
      <c r="R439" s="6" t="s">
        <v>1657</v>
      </c>
      <c r="S439" s="6"/>
      <c r="T439" s="6"/>
      <c r="U439" s="6"/>
      <c r="V439" s="6"/>
      <c r="W439" s="6"/>
      <c r="X439" s="6"/>
      <c r="Y439" s="6"/>
      <c r="Z439" s="6"/>
      <c r="AA439" s="6" t="s">
        <v>89</v>
      </c>
      <c r="AB439" s="6" t="s">
        <v>2243</v>
      </c>
      <c r="AC439" s="6" t="s">
        <v>1906</v>
      </c>
      <c r="AD439" s="6" t="s">
        <v>2225</v>
      </c>
      <c r="AE439" s="6" t="s">
        <v>2226</v>
      </c>
      <c r="AF439" s="6" t="s">
        <v>2227</v>
      </c>
      <c r="AG439" s="6"/>
      <c r="AH439" s="6"/>
      <c r="AI439" s="7"/>
      <c r="AJ439" s="7"/>
      <c r="AK439" s="7"/>
      <c r="AL439" s="7"/>
      <c r="AM439" s="7"/>
      <c r="AN439" s="7"/>
      <c r="AO439" s="7"/>
      <c r="AP439" s="7"/>
      <c r="AQ439" s="7"/>
      <c r="AR439" s="7"/>
      <c r="AS439" s="7"/>
      <c r="AT439" s="7"/>
      <c r="AU439" s="7"/>
      <c r="AV439" s="7"/>
      <c r="AW439" s="7"/>
      <c r="AX439" s="7"/>
      <c r="AY439" s="7"/>
      <c r="AZ439" s="7"/>
    </row>
    <row r="440" customFormat="false" ht="150" hidden="false" customHeight="true" outlineLevel="0" collapsed="false">
      <c r="A440" s="6" t="s">
        <v>2244</v>
      </c>
      <c r="B440" s="6" t="s">
        <v>1875</v>
      </c>
      <c r="C440" s="6" t="s">
        <v>1876</v>
      </c>
      <c r="D440" s="6" t="s">
        <v>110</v>
      </c>
      <c r="E440" s="6" t="s">
        <v>111</v>
      </c>
      <c r="F440" s="6"/>
      <c r="G440" s="6" t="s">
        <v>1362</v>
      </c>
      <c r="H440" s="6" t="s">
        <v>1330</v>
      </c>
      <c r="I440" s="6" t="s">
        <v>81</v>
      </c>
      <c r="J440" s="6" t="s">
        <v>621</v>
      </c>
      <c r="K440" s="6" t="s">
        <v>1653</v>
      </c>
      <c r="L440" s="6" t="s">
        <v>1654</v>
      </c>
      <c r="M440" s="6" t="s">
        <v>2223</v>
      </c>
      <c r="N440" s="6"/>
      <c r="O440" s="6"/>
      <c r="P440" s="6" t="s">
        <v>1656</v>
      </c>
      <c r="Q440" s="6" t="s">
        <v>169</v>
      </c>
      <c r="R440" s="6" t="s">
        <v>1657</v>
      </c>
      <c r="S440" s="6"/>
      <c r="T440" s="6"/>
      <c r="U440" s="6"/>
      <c r="V440" s="6"/>
      <c r="W440" s="6"/>
      <c r="X440" s="6"/>
      <c r="Y440" s="6"/>
      <c r="Z440" s="6"/>
      <c r="AA440" s="6" t="s">
        <v>89</v>
      </c>
      <c r="AB440" s="6" t="s">
        <v>2245</v>
      </c>
      <c r="AC440" s="6" t="s">
        <v>1909</v>
      </c>
      <c r="AD440" s="6" t="s">
        <v>2225</v>
      </c>
      <c r="AE440" s="6" t="s">
        <v>2226</v>
      </c>
      <c r="AF440" s="6" t="s">
        <v>2227</v>
      </c>
      <c r="AG440" s="6"/>
      <c r="AH440" s="6"/>
      <c r="AI440" s="7"/>
      <c r="AJ440" s="7"/>
      <c r="AK440" s="7"/>
      <c r="AL440" s="7"/>
      <c r="AM440" s="7"/>
      <c r="AN440" s="7"/>
      <c r="AO440" s="7"/>
      <c r="AP440" s="7"/>
      <c r="AQ440" s="7"/>
      <c r="AR440" s="7"/>
      <c r="AS440" s="7"/>
      <c r="AT440" s="7"/>
      <c r="AU440" s="7"/>
      <c r="AV440" s="7"/>
      <c r="AW440" s="7"/>
      <c r="AX440" s="7"/>
      <c r="AY440" s="7"/>
      <c r="AZ440" s="7"/>
    </row>
    <row r="441" customFormat="false" ht="150" hidden="false" customHeight="true" outlineLevel="0" collapsed="false">
      <c r="A441" s="6" t="s">
        <v>2246</v>
      </c>
      <c r="B441" s="6" t="s">
        <v>1875</v>
      </c>
      <c r="C441" s="6" t="s">
        <v>1876</v>
      </c>
      <c r="D441" s="6" t="s">
        <v>110</v>
      </c>
      <c r="E441" s="6" t="s">
        <v>111</v>
      </c>
      <c r="F441" s="6"/>
      <c r="G441" s="6" t="s">
        <v>1362</v>
      </c>
      <c r="H441" s="6" t="s">
        <v>1330</v>
      </c>
      <c r="I441" s="6" t="s">
        <v>81</v>
      </c>
      <c r="J441" s="6" t="s">
        <v>621</v>
      </c>
      <c r="K441" s="6" t="s">
        <v>1676</v>
      </c>
      <c r="L441" s="6" t="s">
        <v>1677</v>
      </c>
      <c r="M441" s="6" t="s">
        <v>2247</v>
      </c>
      <c r="N441" s="6"/>
      <c r="O441" s="6"/>
      <c r="P441" s="6" t="s">
        <v>258</v>
      </c>
      <c r="Q441" s="6" t="s">
        <v>1679</v>
      </c>
      <c r="R441" s="6" t="s">
        <v>1680</v>
      </c>
      <c r="S441" s="6"/>
      <c r="T441" s="6"/>
      <c r="U441" s="6"/>
      <c r="V441" s="6"/>
      <c r="W441" s="6"/>
      <c r="X441" s="6"/>
      <c r="Y441" s="6"/>
      <c r="Z441" s="6"/>
      <c r="AA441" s="6" t="s">
        <v>89</v>
      </c>
      <c r="AB441" s="6" t="s">
        <v>2248</v>
      </c>
      <c r="AC441" s="6" t="s">
        <v>1879</v>
      </c>
      <c r="AD441" s="6" t="s">
        <v>2249</v>
      </c>
      <c r="AE441" s="6" t="s">
        <v>2250</v>
      </c>
      <c r="AF441" s="6" t="s">
        <v>2251</v>
      </c>
      <c r="AG441" s="6"/>
      <c r="AH441" s="6"/>
      <c r="AI441" s="7"/>
      <c r="AJ441" s="7"/>
      <c r="AK441" s="7"/>
      <c r="AL441" s="7"/>
      <c r="AM441" s="7"/>
      <c r="AN441" s="7"/>
      <c r="AO441" s="7"/>
      <c r="AP441" s="7"/>
      <c r="AQ441" s="7"/>
      <c r="AR441" s="7"/>
      <c r="AS441" s="7"/>
      <c r="AT441" s="7"/>
      <c r="AU441" s="7"/>
      <c r="AV441" s="7"/>
      <c r="AW441" s="7"/>
      <c r="AX441" s="7"/>
      <c r="AY441" s="7"/>
      <c r="AZ441" s="7"/>
    </row>
    <row r="442" customFormat="false" ht="150" hidden="false" customHeight="true" outlineLevel="0" collapsed="false">
      <c r="A442" s="6" t="s">
        <v>2252</v>
      </c>
      <c r="B442" s="6" t="s">
        <v>1875</v>
      </c>
      <c r="C442" s="6" t="s">
        <v>1876</v>
      </c>
      <c r="D442" s="6" t="s">
        <v>110</v>
      </c>
      <c r="E442" s="6" t="s">
        <v>111</v>
      </c>
      <c r="F442" s="6"/>
      <c r="G442" s="6" t="s">
        <v>1362</v>
      </c>
      <c r="H442" s="6" t="s">
        <v>1330</v>
      </c>
      <c r="I442" s="6" t="s">
        <v>81</v>
      </c>
      <c r="J442" s="6" t="s">
        <v>621</v>
      </c>
      <c r="K442" s="6" t="s">
        <v>1676</v>
      </c>
      <c r="L442" s="6" t="s">
        <v>1677</v>
      </c>
      <c r="M442" s="6" t="s">
        <v>2247</v>
      </c>
      <c r="N442" s="6"/>
      <c r="O442" s="6"/>
      <c r="P442" s="6" t="s">
        <v>258</v>
      </c>
      <c r="Q442" s="6" t="s">
        <v>1679</v>
      </c>
      <c r="R442" s="6" t="s">
        <v>1680</v>
      </c>
      <c r="S442" s="6"/>
      <c r="T442" s="6"/>
      <c r="U442" s="6"/>
      <c r="V442" s="6"/>
      <c r="W442" s="6"/>
      <c r="X442" s="6"/>
      <c r="Y442" s="6"/>
      <c r="Z442" s="6"/>
      <c r="AA442" s="6" t="s">
        <v>89</v>
      </c>
      <c r="AB442" s="6" t="s">
        <v>2253</v>
      </c>
      <c r="AC442" s="6" t="s">
        <v>1885</v>
      </c>
      <c r="AD442" s="6" t="s">
        <v>2249</v>
      </c>
      <c r="AE442" s="6" t="s">
        <v>2250</v>
      </c>
      <c r="AF442" s="6" t="s">
        <v>2251</v>
      </c>
      <c r="AG442" s="6"/>
      <c r="AH442" s="6"/>
      <c r="AI442" s="7"/>
      <c r="AJ442" s="7"/>
      <c r="AK442" s="7"/>
      <c r="AL442" s="7"/>
      <c r="AM442" s="7"/>
      <c r="AN442" s="7"/>
      <c r="AO442" s="7"/>
      <c r="AP442" s="7"/>
      <c r="AQ442" s="7"/>
      <c r="AR442" s="7"/>
      <c r="AS442" s="7"/>
      <c r="AT442" s="7"/>
      <c r="AU442" s="7"/>
      <c r="AV442" s="7"/>
      <c r="AW442" s="7"/>
      <c r="AX442" s="7"/>
      <c r="AY442" s="7"/>
      <c r="AZ442" s="7"/>
    </row>
    <row r="443" customFormat="false" ht="150" hidden="false" customHeight="true" outlineLevel="0" collapsed="false">
      <c r="A443" s="6" t="s">
        <v>2254</v>
      </c>
      <c r="B443" s="6" t="s">
        <v>1875</v>
      </c>
      <c r="C443" s="6" t="s">
        <v>1876</v>
      </c>
      <c r="D443" s="6" t="s">
        <v>110</v>
      </c>
      <c r="E443" s="6" t="s">
        <v>111</v>
      </c>
      <c r="F443" s="6"/>
      <c r="G443" s="6" t="s">
        <v>1362</v>
      </c>
      <c r="H443" s="6" t="s">
        <v>1330</v>
      </c>
      <c r="I443" s="6" t="s">
        <v>81</v>
      </c>
      <c r="J443" s="6" t="s">
        <v>621</v>
      </c>
      <c r="K443" s="6" t="s">
        <v>1676</v>
      </c>
      <c r="L443" s="6" t="s">
        <v>1677</v>
      </c>
      <c r="M443" s="6" t="s">
        <v>2247</v>
      </c>
      <c r="N443" s="6"/>
      <c r="O443" s="6"/>
      <c r="P443" s="6" t="s">
        <v>258</v>
      </c>
      <c r="Q443" s="6" t="s">
        <v>1679</v>
      </c>
      <c r="R443" s="6" t="s">
        <v>1680</v>
      </c>
      <c r="S443" s="6"/>
      <c r="T443" s="6"/>
      <c r="U443" s="6"/>
      <c r="V443" s="6"/>
      <c r="W443" s="6"/>
      <c r="X443" s="6"/>
      <c r="Y443" s="6"/>
      <c r="Z443" s="6"/>
      <c r="AA443" s="6" t="s">
        <v>89</v>
      </c>
      <c r="AB443" s="6" t="s">
        <v>2255</v>
      </c>
      <c r="AC443" s="6" t="s">
        <v>1888</v>
      </c>
      <c r="AD443" s="6" t="s">
        <v>2249</v>
      </c>
      <c r="AE443" s="6" t="s">
        <v>2250</v>
      </c>
      <c r="AF443" s="6" t="s">
        <v>2251</v>
      </c>
      <c r="AG443" s="6"/>
      <c r="AH443" s="6"/>
      <c r="AI443" s="7"/>
      <c r="AJ443" s="7"/>
      <c r="AK443" s="7"/>
      <c r="AL443" s="7"/>
      <c r="AM443" s="7"/>
      <c r="AN443" s="7"/>
      <c r="AO443" s="7"/>
      <c r="AP443" s="7"/>
      <c r="AQ443" s="7"/>
      <c r="AR443" s="7"/>
      <c r="AS443" s="7"/>
      <c r="AT443" s="7"/>
      <c r="AU443" s="7"/>
      <c r="AV443" s="7"/>
      <c r="AW443" s="7"/>
      <c r="AX443" s="7"/>
      <c r="AY443" s="7"/>
      <c r="AZ443" s="7"/>
    </row>
    <row r="444" customFormat="false" ht="150" hidden="false" customHeight="true" outlineLevel="0" collapsed="false">
      <c r="A444" s="6" t="s">
        <v>2256</v>
      </c>
      <c r="B444" s="6" t="s">
        <v>1875</v>
      </c>
      <c r="C444" s="6" t="s">
        <v>1876</v>
      </c>
      <c r="D444" s="6" t="s">
        <v>110</v>
      </c>
      <c r="E444" s="6" t="s">
        <v>111</v>
      </c>
      <c r="F444" s="6"/>
      <c r="G444" s="6" t="s">
        <v>1362</v>
      </c>
      <c r="H444" s="6" t="s">
        <v>1330</v>
      </c>
      <c r="I444" s="6" t="s">
        <v>81</v>
      </c>
      <c r="J444" s="6" t="s">
        <v>621</v>
      </c>
      <c r="K444" s="6" t="s">
        <v>1676</v>
      </c>
      <c r="L444" s="6" t="s">
        <v>1677</v>
      </c>
      <c r="M444" s="6" t="s">
        <v>2247</v>
      </c>
      <c r="N444" s="6"/>
      <c r="O444" s="6"/>
      <c r="P444" s="6" t="s">
        <v>258</v>
      </c>
      <c r="Q444" s="6" t="s">
        <v>1679</v>
      </c>
      <c r="R444" s="6" t="s">
        <v>1680</v>
      </c>
      <c r="S444" s="6"/>
      <c r="T444" s="6"/>
      <c r="U444" s="6"/>
      <c r="V444" s="6"/>
      <c r="W444" s="6"/>
      <c r="X444" s="6"/>
      <c r="Y444" s="6"/>
      <c r="Z444" s="6"/>
      <c r="AA444" s="6" t="s">
        <v>89</v>
      </c>
      <c r="AB444" s="6" t="s">
        <v>2257</v>
      </c>
      <c r="AC444" s="6" t="s">
        <v>1891</v>
      </c>
      <c r="AD444" s="6" t="s">
        <v>2249</v>
      </c>
      <c r="AE444" s="6" t="s">
        <v>2250</v>
      </c>
      <c r="AF444" s="6" t="s">
        <v>2251</v>
      </c>
      <c r="AG444" s="6"/>
      <c r="AH444" s="6"/>
      <c r="AI444" s="7"/>
      <c r="AJ444" s="7"/>
      <c r="AK444" s="7"/>
      <c r="AL444" s="7"/>
      <c r="AM444" s="7"/>
      <c r="AN444" s="7"/>
      <c r="AO444" s="7"/>
      <c r="AP444" s="7"/>
      <c r="AQ444" s="7"/>
      <c r="AR444" s="7"/>
      <c r="AS444" s="7"/>
      <c r="AT444" s="7"/>
      <c r="AU444" s="7"/>
      <c r="AV444" s="7"/>
      <c r="AW444" s="7"/>
      <c r="AX444" s="7"/>
      <c r="AY444" s="7"/>
      <c r="AZ444" s="7"/>
    </row>
    <row r="445" customFormat="false" ht="150" hidden="false" customHeight="true" outlineLevel="0" collapsed="false">
      <c r="A445" s="6" t="s">
        <v>2258</v>
      </c>
      <c r="B445" s="6" t="s">
        <v>1875</v>
      </c>
      <c r="C445" s="6" t="s">
        <v>1876</v>
      </c>
      <c r="D445" s="6" t="s">
        <v>110</v>
      </c>
      <c r="E445" s="6" t="s">
        <v>111</v>
      </c>
      <c r="F445" s="6"/>
      <c r="G445" s="6" t="s">
        <v>1362</v>
      </c>
      <c r="H445" s="6" t="s">
        <v>1330</v>
      </c>
      <c r="I445" s="6" t="s">
        <v>81</v>
      </c>
      <c r="J445" s="6" t="s">
        <v>621</v>
      </c>
      <c r="K445" s="6" t="s">
        <v>1676</v>
      </c>
      <c r="L445" s="6" t="s">
        <v>1677</v>
      </c>
      <c r="M445" s="6" t="s">
        <v>2247</v>
      </c>
      <c r="N445" s="6"/>
      <c r="O445" s="6"/>
      <c r="P445" s="6" t="s">
        <v>258</v>
      </c>
      <c r="Q445" s="6" t="s">
        <v>1679</v>
      </c>
      <c r="R445" s="6" t="s">
        <v>1680</v>
      </c>
      <c r="S445" s="6"/>
      <c r="T445" s="6"/>
      <c r="U445" s="6"/>
      <c r="V445" s="6"/>
      <c r="W445" s="6"/>
      <c r="X445" s="6"/>
      <c r="Y445" s="6"/>
      <c r="Z445" s="6"/>
      <c r="AA445" s="6" t="s">
        <v>89</v>
      </c>
      <c r="AB445" s="6" t="s">
        <v>2259</v>
      </c>
      <c r="AC445" s="6" t="s">
        <v>1894</v>
      </c>
      <c r="AD445" s="6" t="s">
        <v>2249</v>
      </c>
      <c r="AE445" s="6" t="s">
        <v>2250</v>
      </c>
      <c r="AF445" s="6" t="s">
        <v>2251</v>
      </c>
      <c r="AG445" s="6"/>
      <c r="AH445" s="6"/>
      <c r="AI445" s="7"/>
      <c r="AJ445" s="7"/>
      <c r="AK445" s="7"/>
      <c r="AL445" s="7"/>
      <c r="AM445" s="7"/>
      <c r="AN445" s="7"/>
      <c r="AO445" s="7"/>
      <c r="AP445" s="7"/>
      <c r="AQ445" s="7"/>
      <c r="AR445" s="7"/>
      <c r="AS445" s="7"/>
      <c r="AT445" s="7"/>
      <c r="AU445" s="7"/>
      <c r="AV445" s="7"/>
      <c r="AW445" s="7"/>
      <c r="AX445" s="7"/>
      <c r="AY445" s="7"/>
      <c r="AZ445" s="7"/>
    </row>
    <row r="446" customFormat="false" ht="150" hidden="false" customHeight="true" outlineLevel="0" collapsed="false">
      <c r="A446" s="6" t="s">
        <v>2260</v>
      </c>
      <c r="B446" s="6" t="s">
        <v>1875</v>
      </c>
      <c r="C446" s="6" t="s">
        <v>1876</v>
      </c>
      <c r="D446" s="6" t="s">
        <v>110</v>
      </c>
      <c r="E446" s="6" t="s">
        <v>111</v>
      </c>
      <c r="F446" s="6"/>
      <c r="G446" s="6" t="s">
        <v>1362</v>
      </c>
      <c r="H446" s="6" t="s">
        <v>1330</v>
      </c>
      <c r="I446" s="6" t="s">
        <v>81</v>
      </c>
      <c r="J446" s="6" t="s">
        <v>621</v>
      </c>
      <c r="K446" s="6" t="s">
        <v>1676</v>
      </c>
      <c r="L446" s="6" t="s">
        <v>1677</v>
      </c>
      <c r="M446" s="6" t="s">
        <v>2247</v>
      </c>
      <c r="N446" s="6"/>
      <c r="O446" s="6"/>
      <c r="P446" s="6" t="s">
        <v>258</v>
      </c>
      <c r="Q446" s="6" t="s">
        <v>1679</v>
      </c>
      <c r="R446" s="6" t="s">
        <v>1680</v>
      </c>
      <c r="S446" s="6"/>
      <c r="T446" s="6"/>
      <c r="U446" s="6"/>
      <c r="V446" s="6"/>
      <c r="W446" s="6"/>
      <c r="X446" s="6"/>
      <c r="Y446" s="6"/>
      <c r="Z446" s="6"/>
      <c r="AA446" s="6" t="s">
        <v>89</v>
      </c>
      <c r="AB446" s="6" t="s">
        <v>2261</v>
      </c>
      <c r="AC446" s="6" t="s">
        <v>1897</v>
      </c>
      <c r="AD446" s="6" t="s">
        <v>2249</v>
      </c>
      <c r="AE446" s="6" t="s">
        <v>2250</v>
      </c>
      <c r="AF446" s="6" t="s">
        <v>2251</v>
      </c>
      <c r="AG446" s="6"/>
      <c r="AH446" s="6"/>
      <c r="AI446" s="7"/>
      <c r="AJ446" s="7"/>
      <c r="AK446" s="7"/>
      <c r="AL446" s="7"/>
      <c r="AM446" s="7"/>
      <c r="AN446" s="7"/>
      <c r="AO446" s="7"/>
      <c r="AP446" s="7"/>
      <c r="AQ446" s="7"/>
      <c r="AR446" s="7"/>
      <c r="AS446" s="7"/>
      <c r="AT446" s="7"/>
      <c r="AU446" s="7"/>
      <c r="AV446" s="7"/>
      <c r="AW446" s="7"/>
      <c r="AX446" s="7"/>
      <c r="AY446" s="7"/>
      <c r="AZ446" s="7"/>
    </row>
    <row r="447" customFormat="false" ht="150" hidden="false" customHeight="true" outlineLevel="0" collapsed="false">
      <c r="A447" s="6" t="s">
        <v>2262</v>
      </c>
      <c r="B447" s="6" t="s">
        <v>1875</v>
      </c>
      <c r="C447" s="6" t="s">
        <v>1876</v>
      </c>
      <c r="D447" s="6" t="s">
        <v>110</v>
      </c>
      <c r="E447" s="6" t="s">
        <v>111</v>
      </c>
      <c r="F447" s="6"/>
      <c r="G447" s="6" t="s">
        <v>1362</v>
      </c>
      <c r="H447" s="6" t="s">
        <v>1330</v>
      </c>
      <c r="I447" s="6" t="s">
        <v>81</v>
      </c>
      <c r="J447" s="6" t="s">
        <v>621</v>
      </c>
      <c r="K447" s="6" t="s">
        <v>1676</v>
      </c>
      <c r="L447" s="6" t="s">
        <v>1677</v>
      </c>
      <c r="M447" s="6" t="s">
        <v>2247</v>
      </c>
      <c r="N447" s="6"/>
      <c r="O447" s="6"/>
      <c r="P447" s="6" t="s">
        <v>258</v>
      </c>
      <c r="Q447" s="6" t="s">
        <v>1679</v>
      </c>
      <c r="R447" s="6" t="s">
        <v>1680</v>
      </c>
      <c r="S447" s="6"/>
      <c r="T447" s="6"/>
      <c r="U447" s="6"/>
      <c r="V447" s="6"/>
      <c r="W447" s="6"/>
      <c r="X447" s="6"/>
      <c r="Y447" s="6"/>
      <c r="Z447" s="6"/>
      <c r="AA447" s="6" t="s">
        <v>89</v>
      </c>
      <c r="AB447" s="6" t="s">
        <v>2263</v>
      </c>
      <c r="AC447" s="6" t="s">
        <v>1900</v>
      </c>
      <c r="AD447" s="6" t="s">
        <v>2249</v>
      </c>
      <c r="AE447" s="6" t="s">
        <v>2250</v>
      </c>
      <c r="AF447" s="6" t="s">
        <v>2251</v>
      </c>
      <c r="AG447" s="6"/>
      <c r="AH447" s="6"/>
      <c r="AI447" s="7"/>
      <c r="AJ447" s="7"/>
      <c r="AK447" s="7"/>
      <c r="AL447" s="7"/>
      <c r="AM447" s="7"/>
      <c r="AN447" s="7"/>
      <c r="AO447" s="7"/>
      <c r="AP447" s="7"/>
      <c r="AQ447" s="7"/>
      <c r="AR447" s="7"/>
      <c r="AS447" s="7"/>
      <c r="AT447" s="7"/>
      <c r="AU447" s="7"/>
      <c r="AV447" s="7"/>
      <c r="AW447" s="7"/>
      <c r="AX447" s="7"/>
      <c r="AY447" s="7"/>
      <c r="AZ447" s="7"/>
    </row>
    <row r="448" customFormat="false" ht="150" hidden="false" customHeight="true" outlineLevel="0" collapsed="false">
      <c r="A448" s="6" t="s">
        <v>2264</v>
      </c>
      <c r="B448" s="6" t="s">
        <v>1875</v>
      </c>
      <c r="C448" s="6" t="s">
        <v>1876</v>
      </c>
      <c r="D448" s="6" t="s">
        <v>110</v>
      </c>
      <c r="E448" s="6" t="s">
        <v>111</v>
      </c>
      <c r="F448" s="6"/>
      <c r="G448" s="6" t="s">
        <v>1362</v>
      </c>
      <c r="H448" s="6" t="s">
        <v>1330</v>
      </c>
      <c r="I448" s="6" t="s">
        <v>81</v>
      </c>
      <c r="J448" s="6" t="s">
        <v>621</v>
      </c>
      <c r="K448" s="6" t="s">
        <v>1676</v>
      </c>
      <c r="L448" s="6" t="s">
        <v>1677</v>
      </c>
      <c r="M448" s="6" t="s">
        <v>2247</v>
      </c>
      <c r="N448" s="6"/>
      <c r="O448" s="6"/>
      <c r="P448" s="6" t="s">
        <v>258</v>
      </c>
      <c r="Q448" s="6" t="s">
        <v>1679</v>
      </c>
      <c r="R448" s="6" t="s">
        <v>1680</v>
      </c>
      <c r="S448" s="6"/>
      <c r="T448" s="6"/>
      <c r="U448" s="6"/>
      <c r="V448" s="6"/>
      <c r="W448" s="6"/>
      <c r="X448" s="6"/>
      <c r="Y448" s="6"/>
      <c r="Z448" s="6"/>
      <c r="AA448" s="6" t="s">
        <v>89</v>
      </c>
      <c r="AB448" s="6" t="s">
        <v>2265</v>
      </c>
      <c r="AC448" s="6" t="s">
        <v>1903</v>
      </c>
      <c r="AD448" s="6" t="s">
        <v>2249</v>
      </c>
      <c r="AE448" s="6" t="s">
        <v>2250</v>
      </c>
      <c r="AF448" s="6" t="s">
        <v>2251</v>
      </c>
      <c r="AG448" s="6"/>
      <c r="AH448" s="6"/>
      <c r="AI448" s="7"/>
      <c r="AJ448" s="7"/>
      <c r="AK448" s="7"/>
      <c r="AL448" s="7"/>
      <c r="AM448" s="7"/>
      <c r="AN448" s="7"/>
      <c r="AO448" s="7"/>
      <c r="AP448" s="7"/>
      <c r="AQ448" s="7"/>
      <c r="AR448" s="7"/>
      <c r="AS448" s="7"/>
      <c r="AT448" s="7"/>
      <c r="AU448" s="7"/>
      <c r="AV448" s="7"/>
      <c r="AW448" s="7"/>
      <c r="AX448" s="7"/>
      <c r="AY448" s="7"/>
      <c r="AZ448" s="7"/>
    </row>
    <row r="449" customFormat="false" ht="150" hidden="false" customHeight="true" outlineLevel="0" collapsed="false">
      <c r="A449" s="6" t="s">
        <v>2266</v>
      </c>
      <c r="B449" s="6" t="s">
        <v>1875</v>
      </c>
      <c r="C449" s="6" t="s">
        <v>1876</v>
      </c>
      <c r="D449" s="6" t="s">
        <v>110</v>
      </c>
      <c r="E449" s="6" t="s">
        <v>111</v>
      </c>
      <c r="F449" s="6"/>
      <c r="G449" s="6" t="s">
        <v>1362</v>
      </c>
      <c r="H449" s="6" t="s">
        <v>1330</v>
      </c>
      <c r="I449" s="6" t="s">
        <v>81</v>
      </c>
      <c r="J449" s="6" t="s">
        <v>621</v>
      </c>
      <c r="K449" s="6" t="s">
        <v>1676</v>
      </c>
      <c r="L449" s="6" t="s">
        <v>1677</v>
      </c>
      <c r="M449" s="6" t="s">
        <v>2247</v>
      </c>
      <c r="N449" s="6"/>
      <c r="O449" s="6"/>
      <c r="P449" s="6" t="s">
        <v>258</v>
      </c>
      <c r="Q449" s="6" t="s">
        <v>1679</v>
      </c>
      <c r="R449" s="6" t="s">
        <v>1680</v>
      </c>
      <c r="S449" s="6"/>
      <c r="T449" s="6"/>
      <c r="U449" s="6"/>
      <c r="V449" s="6"/>
      <c r="W449" s="6"/>
      <c r="X449" s="6"/>
      <c r="Y449" s="6"/>
      <c r="Z449" s="6"/>
      <c r="AA449" s="6" t="s">
        <v>89</v>
      </c>
      <c r="AB449" s="6" t="s">
        <v>2267</v>
      </c>
      <c r="AC449" s="6" t="s">
        <v>1906</v>
      </c>
      <c r="AD449" s="6" t="s">
        <v>2249</v>
      </c>
      <c r="AE449" s="6" t="s">
        <v>2250</v>
      </c>
      <c r="AF449" s="6" t="s">
        <v>2251</v>
      </c>
      <c r="AG449" s="6"/>
      <c r="AH449" s="6"/>
      <c r="AI449" s="7"/>
      <c r="AJ449" s="7"/>
      <c r="AK449" s="7"/>
      <c r="AL449" s="7"/>
      <c r="AM449" s="7"/>
      <c r="AN449" s="7"/>
      <c r="AO449" s="7"/>
      <c r="AP449" s="7"/>
      <c r="AQ449" s="7"/>
      <c r="AR449" s="7"/>
      <c r="AS449" s="7"/>
      <c r="AT449" s="7"/>
      <c r="AU449" s="7"/>
      <c r="AV449" s="7"/>
      <c r="AW449" s="7"/>
      <c r="AX449" s="7"/>
      <c r="AY449" s="7"/>
      <c r="AZ449" s="7"/>
    </row>
    <row r="450" customFormat="false" ht="150" hidden="false" customHeight="true" outlineLevel="0" collapsed="false">
      <c r="A450" s="6" t="s">
        <v>2268</v>
      </c>
      <c r="B450" s="6" t="s">
        <v>1875</v>
      </c>
      <c r="C450" s="6" t="s">
        <v>1876</v>
      </c>
      <c r="D450" s="6" t="s">
        <v>110</v>
      </c>
      <c r="E450" s="6" t="s">
        <v>111</v>
      </c>
      <c r="F450" s="6"/>
      <c r="G450" s="6" t="s">
        <v>1362</v>
      </c>
      <c r="H450" s="6" t="s">
        <v>1330</v>
      </c>
      <c r="I450" s="6" t="s">
        <v>81</v>
      </c>
      <c r="J450" s="6" t="s">
        <v>621</v>
      </c>
      <c r="K450" s="6" t="s">
        <v>1676</v>
      </c>
      <c r="L450" s="6" t="s">
        <v>1677</v>
      </c>
      <c r="M450" s="6" t="s">
        <v>2247</v>
      </c>
      <c r="N450" s="6"/>
      <c r="O450" s="6"/>
      <c r="P450" s="6" t="s">
        <v>258</v>
      </c>
      <c r="Q450" s="6" t="s">
        <v>1679</v>
      </c>
      <c r="R450" s="6" t="s">
        <v>1680</v>
      </c>
      <c r="S450" s="6"/>
      <c r="T450" s="6"/>
      <c r="U450" s="6"/>
      <c r="V450" s="6"/>
      <c r="W450" s="6"/>
      <c r="X450" s="6"/>
      <c r="Y450" s="6"/>
      <c r="Z450" s="6"/>
      <c r="AA450" s="6" t="s">
        <v>89</v>
      </c>
      <c r="AB450" s="6" t="s">
        <v>2269</v>
      </c>
      <c r="AC450" s="6" t="s">
        <v>1909</v>
      </c>
      <c r="AD450" s="6" t="s">
        <v>2249</v>
      </c>
      <c r="AE450" s="6" t="s">
        <v>2250</v>
      </c>
      <c r="AF450" s="6" t="s">
        <v>2251</v>
      </c>
      <c r="AG450" s="6"/>
      <c r="AH450" s="6"/>
      <c r="AI450" s="7"/>
      <c r="AJ450" s="7"/>
      <c r="AK450" s="7"/>
      <c r="AL450" s="7"/>
      <c r="AM450" s="7"/>
      <c r="AN450" s="7"/>
      <c r="AO450" s="7"/>
      <c r="AP450" s="7"/>
      <c r="AQ450" s="7"/>
      <c r="AR450" s="7"/>
      <c r="AS450" s="7"/>
      <c r="AT450" s="7"/>
      <c r="AU450" s="7"/>
      <c r="AV450" s="7"/>
      <c r="AW450" s="7"/>
      <c r="AX450" s="7"/>
      <c r="AY450" s="7"/>
      <c r="AZ450" s="7"/>
    </row>
    <row r="451" customFormat="false" ht="150" hidden="false" customHeight="true" outlineLevel="0" collapsed="false">
      <c r="A451" s="6" t="s">
        <v>2270</v>
      </c>
      <c r="B451" s="6" t="s">
        <v>1875</v>
      </c>
      <c r="C451" s="6" t="s">
        <v>1876</v>
      </c>
      <c r="D451" s="6" t="s">
        <v>132</v>
      </c>
      <c r="E451" s="6" t="s">
        <v>133</v>
      </c>
      <c r="F451" s="6"/>
      <c r="G451" s="6" t="s">
        <v>1362</v>
      </c>
      <c r="H451" s="6" t="s">
        <v>1330</v>
      </c>
      <c r="I451" s="6" t="s">
        <v>81</v>
      </c>
      <c r="J451" s="6" t="s">
        <v>621</v>
      </c>
      <c r="K451" s="6" t="s">
        <v>1699</v>
      </c>
      <c r="L451" s="6" t="s">
        <v>1700</v>
      </c>
      <c r="M451" s="6" t="s">
        <v>2271</v>
      </c>
      <c r="N451" s="6"/>
      <c r="O451" s="6"/>
      <c r="P451" s="6" t="s">
        <v>1702</v>
      </c>
      <c r="Q451" s="6" t="s">
        <v>338</v>
      </c>
      <c r="R451" s="6" t="s">
        <v>1703</v>
      </c>
      <c r="S451" s="6"/>
      <c r="T451" s="6"/>
      <c r="U451" s="6"/>
      <c r="V451" s="6"/>
      <c r="W451" s="6"/>
      <c r="X451" s="6"/>
      <c r="Y451" s="6"/>
      <c r="Z451" s="6"/>
      <c r="AA451" s="6" t="s">
        <v>89</v>
      </c>
      <c r="AB451" s="6" t="s">
        <v>2272</v>
      </c>
      <c r="AC451" s="6" t="s">
        <v>1879</v>
      </c>
      <c r="AD451" s="6" t="s">
        <v>2273</v>
      </c>
      <c r="AE451" s="6" t="s">
        <v>2274</v>
      </c>
      <c r="AF451" s="6" t="s">
        <v>2275</v>
      </c>
      <c r="AG451" s="6"/>
      <c r="AH451" s="6"/>
      <c r="AI451" s="7"/>
      <c r="AJ451" s="7"/>
      <c r="AK451" s="7"/>
      <c r="AL451" s="7"/>
      <c r="AM451" s="7"/>
      <c r="AN451" s="7"/>
      <c r="AO451" s="7"/>
      <c r="AP451" s="7"/>
      <c r="AQ451" s="7"/>
      <c r="AR451" s="7"/>
      <c r="AS451" s="7"/>
      <c r="AT451" s="7"/>
      <c r="AU451" s="7"/>
      <c r="AV451" s="7"/>
      <c r="AW451" s="7"/>
      <c r="AX451" s="7"/>
      <c r="AY451" s="7"/>
      <c r="AZ451" s="7"/>
    </row>
    <row r="452" customFormat="false" ht="150" hidden="false" customHeight="true" outlineLevel="0" collapsed="false">
      <c r="A452" s="6" t="s">
        <v>2276</v>
      </c>
      <c r="B452" s="6" t="s">
        <v>1875</v>
      </c>
      <c r="C452" s="6" t="s">
        <v>1876</v>
      </c>
      <c r="D452" s="6" t="s">
        <v>132</v>
      </c>
      <c r="E452" s="6" t="s">
        <v>133</v>
      </c>
      <c r="F452" s="6"/>
      <c r="G452" s="6" t="s">
        <v>1362</v>
      </c>
      <c r="H452" s="6" t="s">
        <v>1330</v>
      </c>
      <c r="I452" s="6" t="s">
        <v>81</v>
      </c>
      <c r="J452" s="6" t="s">
        <v>621</v>
      </c>
      <c r="K452" s="6" t="s">
        <v>1699</v>
      </c>
      <c r="L452" s="6" t="s">
        <v>1700</v>
      </c>
      <c r="M452" s="6" t="s">
        <v>2271</v>
      </c>
      <c r="N452" s="6"/>
      <c r="O452" s="6"/>
      <c r="P452" s="6" t="s">
        <v>1702</v>
      </c>
      <c r="Q452" s="6" t="s">
        <v>338</v>
      </c>
      <c r="R452" s="6" t="s">
        <v>1703</v>
      </c>
      <c r="S452" s="6"/>
      <c r="T452" s="6"/>
      <c r="U452" s="6"/>
      <c r="V452" s="6"/>
      <c r="W452" s="6"/>
      <c r="X452" s="6"/>
      <c r="Y452" s="6"/>
      <c r="Z452" s="6"/>
      <c r="AA452" s="6" t="s">
        <v>89</v>
      </c>
      <c r="AB452" s="6" t="s">
        <v>2277</v>
      </c>
      <c r="AC452" s="6" t="s">
        <v>1885</v>
      </c>
      <c r="AD452" s="6" t="s">
        <v>2273</v>
      </c>
      <c r="AE452" s="6" t="s">
        <v>2274</v>
      </c>
      <c r="AF452" s="6" t="s">
        <v>2275</v>
      </c>
      <c r="AG452" s="6"/>
      <c r="AH452" s="6"/>
      <c r="AI452" s="7"/>
      <c r="AJ452" s="7"/>
      <c r="AK452" s="7"/>
      <c r="AL452" s="7"/>
      <c r="AM452" s="7"/>
      <c r="AN452" s="7"/>
      <c r="AO452" s="7"/>
      <c r="AP452" s="7"/>
      <c r="AQ452" s="7"/>
      <c r="AR452" s="7"/>
      <c r="AS452" s="7"/>
      <c r="AT452" s="7"/>
      <c r="AU452" s="7"/>
      <c r="AV452" s="7"/>
      <c r="AW452" s="7"/>
      <c r="AX452" s="7"/>
      <c r="AY452" s="7"/>
      <c r="AZ452" s="7"/>
    </row>
    <row r="453" customFormat="false" ht="150" hidden="false" customHeight="true" outlineLevel="0" collapsed="false">
      <c r="A453" s="6" t="s">
        <v>2278</v>
      </c>
      <c r="B453" s="6" t="s">
        <v>1875</v>
      </c>
      <c r="C453" s="6" t="s">
        <v>1876</v>
      </c>
      <c r="D453" s="6" t="s">
        <v>132</v>
      </c>
      <c r="E453" s="6" t="s">
        <v>133</v>
      </c>
      <c r="F453" s="6"/>
      <c r="G453" s="6" t="s">
        <v>1362</v>
      </c>
      <c r="H453" s="6" t="s">
        <v>1330</v>
      </c>
      <c r="I453" s="6" t="s">
        <v>81</v>
      </c>
      <c r="J453" s="6" t="s">
        <v>621</v>
      </c>
      <c r="K453" s="6" t="s">
        <v>1699</v>
      </c>
      <c r="L453" s="6" t="s">
        <v>1700</v>
      </c>
      <c r="M453" s="6" t="s">
        <v>2271</v>
      </c>
      <c r="N453" s="6"/>
      <c r="O453" s="6"/>
      <c r="P453" s="6" t="s">
        <v>1702</v>
      </c>
      <c r="Q453" s="6" t="s">
        <v>338</v>
      </c>
      <c r="R453" s="6" t="s">
        <v>1703</v>
      </c>
      <c r="S453" s="6"/>
      <c r="T453" s="6"/>
      <c r="U453" s="6"/>
      <c r="V453" s="6"/>
      <c r="W453" s="6"/>
      <c r="X453" s="6"/>
      <c r="Y453" s="6"/>
      <c r="Z453" s="6"/>
      <c r="AA453" s="6" t="s">
        <v>89</v>
      </c>
      <c r="AB453" s="6" t="s">
        <v>2279</v>
      </c>
      <c r="AC453" s="6" t="s">
        <v>1888</v>
      </c>
      <c r="AD453" s="6" t="s">
        <v>2273</v>
      </c>
      <c r="AE453" s="6" t="s">
        <v>2274</v>
      </c>
      <c r="AF453" s="6" t="s">
        <v>2275</v>
      </c>
      <c r="AG453" s="6"/>
      <c r="AH453" s="6"/>
      <c r="AI453" s="7"/>
      <c r="AJ453" s="7"/>
      <c r="AK453" s="7"/>
      <c r="AL453" s="7"/>
      <c r="AM453" s="7"/>
      <c r="AN453" s="7"/>
      <c r="AO453" s="7"/>
      <c r="AP453" s="7"/>
      <c r="AQ453" s="7"/>
      <c r="AR453" s="7"/>
      <c r="AS453" s="7"/>
      <c r="AT453" s="7"/>
      <c r="AU453" s="7"/>
      <c r="AV453" s="7"/>
      <c r="AW453" s="7"/>
      <c r="AX453" s="7"/>
      <c r="AY453" s="7"/>
      <c r="AZ453" s="7"/>
    </row>
    <row r="454" customFormat="false" ht="150" hidden="false" customHeight="true" outlineLevel="0" collapsed="false">
      <c r="A454" s="6" t="s">
        <v>2280</v>
      </c>
      <c r="B454" s="6" t="s">
        <v>1875</v>
      </c>
      <c r="C454" s="6" t="s">
        <v>1876</v>
      </c>
      <c r="D454" s="6" t="s">
        <v>132</v>
      </c>
      <c r="E454" s="6" t="s">
        <v>133</v>
      </c>
      <c r="F454" s="6"/>
      <c r="G454" s="6" t="s">
        <v>1362</v>
      </c>
      <c r="H454" s="6" t="s">
        <v>1330</v>
      </c>
      <c r="I454" s="6" t="s">
        <v>81</v>
      </c>
      <c r="J454" s="6" t="s">
        <v>621</v>
      </c>
      <c r="K454" s="6" t="s">
        <v>1699</v>
      </c>
      <c r="L454" s="6" t="s">
        <v>1700</v>
      </c>
      <c r="M454" s="6" t="s">
        <v>2271</v>
      </c>
      <c r="N454" s="6"/>
      <c r="O454" s="6"/>
      <c r="P454" s="6" t="s">
        <v>1702</v>
      </c>
      <c r="Q454" s="6" t="s">
        <v>338</v>
      </c>
      <c r="R454" s="6" t="s">
        <v>1703</v>
      </c>
      <c r="S454" s="6"/>
      <c r="T454" s="6"/>
      <c r="U454" s="6"/>
      <c r="V454" s="6"/>
      <c r="W454" s="6"/>
      <c r="X454" s="6"/>
      <c r="Y454" s="6"/>
      <c r="Z454" s="6"/>
      <c r="AA454" s="6" t="s">
        <v>89</v>
      </c>
      <c r="AB454" s="6" t="s">
        <v>2281</v>
      </c>
      <c r="AC454" s="6" t="s">
        <v>1891</v>
      </c>
      <c r="AD454" s="6" t="s">
        <v>2273</v>
      </c>
      <c r="AE454" s="6" t="s">
        <v>2274</v>
      </c>
      <c r="AF454" s="6" t="s">
        <v>2275</v>
      </c>
      <c r="AG454" s="6"/>
      <c r="AH454" s="6"/>
      <c r="AI454" s="7"/>
      <c r="AJ454" s="7"/>
      <c r="AK454" s="7"/>
      <c r="AL454" s="7"/>
      <c r="AM454" s="7"/>
      <c r="AN454" s="7"/>
      <c r="AO454" s="7"/>
      <c r="AP454" s="7"/>
      <c r="AQ454" s="7"/>
      <c r="AR454" s="7"/>
      <c r="AS454" s="7"/>
      <c r="AT454" s="7"/>
      <c r="AU454" s="7"/>
      <c r="AV454" s="7"/>
      <c r="AW454" s="7"/>
      <c r="AX454" s="7"/>
      <c r="AY454" s="7"/>
      <c r="AZ454" s="7"/>
    </row>
    <row r="455" customFormat="false" ht="150" hidden="false" customHeight="true" outlineLevel="0" collapsed="false">
      <c r="A455" s="6" t="s">
        <v>2282</v>
      </c>
      <c r="B455" s="6" t="s">
        <v>1875</v>
      </c>
      <c r="C455" s="6" t="s">
        <v>1876</v>
      </c>
      <c r="D455" s="6" t="s">
        <v>132</v>
      </c>
      <c r="E455" s="6" t="s">
        <v>133</v>
      </c>
      <c r="F455" s="6"/>
      <c r="G455" s="6" t="s">
        <v>1362</v>
      </c>
      <c r="H455" s="6" t="s">
        <v>1330</v>
      </c>
      <c r="I455" s="6" t="s">
        <v>81</v>
      </c>
      <c r="J455" s="6" t="s">
        <v>621</v>
      </c>
      <c r="K455" s="6" t="s">
        <v>1699</v>
      </c>
      <c r="L455" s="6" t="s">
        <v>1700</v>
      </c>
      <c r="M455" s="6" t="s">
        <v>2271</v>
      </c>
      <c r="N455" s="6"/>
      <c r="O455" s="6"/>
      <c r="P455" s="6" t="s">
        <v>1702</v>
      </c>
      <c r="Q455" s="6" t="s">
        <v>338</v>
      </c>
      <c r="R455" s="6" t="s">
        <v>1703</v>
      </c>
      <c r="S455" s="6"/>
      <c r="T455" s="6"/>
      <c r="U455" s="6"/>
      <c r="V455" s="6"/>
      <c r="W455" s="6"/>
      <c r="X455" s="6"/>
      <c r="Y455" s="6"/>
      <c r="Z455" s="6"/>
      <c r="AA455" s="6" t="s">
        <v>89</v>
      </c>
      <c r="AB455" s="6" t="s">
        <v>2283</v>
      </c>
      <c r="AC455" s="6" t="s">
        <v>1894</v>
      </c>
      <c r="AD455" s="6" t="s">
        <v>2273</v>
      </c>
      <c r="AE455" s="6" t="s">
        <v>2274</v>
      </c>
      <c r="AF455" s="6" t="s">
        <v>2275</v>
      </c>
      <c r="AG455" s="6"/>
      <c r="AH455" s="6"/>
      <c r="AI455" s="7"/>
      <c r="AJ455" s="7"/>
      <c r="AK455" s="7"/>
      <c r="AL455" s="7"/>
      <c r="AM455" s="7"/>
      <c r="AN455" s="7"/>
      <c r="AO455" s="7"/>
      <c r="AP455" s="7"/>
      <c r="AQ455" s="7"/>
      <c r="AR455" s="7"/>
      <c r="AS455" s="7"/>
      <c r="AT455" s="7"/>
      <c r="AU455" s="7"/>
      <c r="AV455" s="7"/>
      <c r="AW455" s="7"/>
      <c r="AX455" s="7"/>
      <c r="AY455" s="7"/>
      <c r="AZ455" s="7"/>
    </row>
    <row r="456" customFormat="false" ht="150" hidden="false" customHeight="true" outlineLevel="0" collapsed="false">
      <c r="A456" s="6" t="s">
        <v>2284</v>
      </c>
      <c r="B456" s="6" t="s">
        <v>1875</v>
      </c>
      <c r="C456" s="6" t="s">
        <v>1876</v>
      </c>
      <c r="D456" s="6" t="s">
        <v>132</v>
      </c>
      <c r="E456" s="6" t="s">
        <v>133</v>
      </c>
      <c r="F456" s="6"/>
      <c r="G456" s="6" t="s">
        <v>1362</v>
      </c>
      <c r="H456" s="6" t="s">
        <v>1330</v>
      </c>
      <c r="I456" s="6" t="s">
        <v>81</v>
      </c>
      <c r="J456" s="6" t="s">
        <v>621</v>
      </c>
      <c r="K456" s="6" t="s">
        <v>1699</v>
      </c>
      <c r="L456" s="6" t="s">
        <v>1700</v>
      </c>
      <c r="M456" s="6" t="s">
        <v>2271</v>
      </c>
      <c r="N456" s="6"/>
      <c r="O456" s="6"/>
      <c r="P456" s="6" t="s">
        <v>1702</v>
      </c>
      <c r="Q456" s="6" t="s">
        <v>338</v>
      </c>
      <c r="R456" s="6" t="s">
        <v>1703</v>
      </c>
      <c r="S456" s="6"/>
      <c r="T456" s="6"/>
      <c r="U456" s="6"/>
      <c r="V456" s="6"/>
      <c r="W456" s="6"/>
      <c r="X456" s="6"/>
      <c r="Y456" s="6"/>
      <c r="Z456" s="6"/>
      <c r="AA456" s="6" t="s">
        <v>89</v>
      </c>
      <c r="AB456" s="6" t="s">
        <v>2285</v>
      </c>
      <c r="AC456" s="6" t="s">
        <v>1897</v>
      </c>
      <c r="AD456" s="6" t="s">
        <v>2273</v>
      </c>
      <c r="AE456" s="6" t="s">
        <v>2274</v>
      </c>
      <c r="AF456" s="6" t="s">
        <v>2275</v>
      </c>
      <c r="AG456" s="6"/>
      <c r="AH456" s="6"/>
      <c r="AI456" s="7"/>
      <c r="AJ456" s="7"/>
      <c r="AK456" s="7"/>
      <c r="AL456" s="7"/>
      <c r="AM456" s="7"/>
      <c r="AN456" s="7"/>
      <c r="AO456" s="7"/>
      <c r="AP456" s="7"/>
      <c r="AQ456" s="7"/>
      <c r="AR456" s="7"/>
      <c r="AS456" s="7"/>
      <c r="AT456" s="7"/>
      <c r="AU456" s="7"/>
      <c r="AV456" s="7"/>
      <c r="AW456" s="7"/>
      <c r="AX456" s="7"/>
      <c r="AY456" s="7"/>
      <c r="AZ456" s="7"/>
    </row>
    <row r="457" customFormat="false" ht="150" hidden="false" customHeight="true" outlineLevel="0" collapsed="false">
      <c r="A457" s="6" t="s">
        <v>2286</v>
      </c>
      <c r="B457" s="6" t="s">
        <v>1875</v>
      </c>
      <c r="C457" s="6" t="s">
        <v>1876</v>
      </c>
      <c r="D457" s="6" t="s">
        <v>132</v>
      </c>
      <c r="E457" s="6" t="s">
        <v>133</v>
      </c>
      <c r="F457" s="6"/>
      <c r="G457" s="6" t="s">
        <v>1362</v>
      </c>
      <c r="H457" s="6" t="s">
        <v>1330</v>
      </c>
      <c r="I457" s="6" t="s">
        <v>81</v>
      </c>
      <c r="J457" s="6" t="s">
        <v>621</v>
      </c>
      <c r="K457" s="6" t="s">
        <v>1699</v>
      </c>
      <c r="L457" s="6" t="s">
        <v>1700</v>
      </c>
      <c r="M457" s="6" t="s">
        <v>2271</v>
      </c>
      <c r="N457" s="6"/>
      <c r="O457" s="6"/>
      <c r="P457" s="6" t="s">
        <v>1702</v>
      </c>
      <c r="Q457" s="6" t="s">
        <v>338</v>
      </c>
      <c r="R457" s="6" t="s">
        <v>1703</v>
      </c>
      <c r="S457" s="6"/>
      <c r="T457" s="6"/>
      <c r="U457" s="6"/>
      <c r="V457" s="6"/>
      <c r="W457" s="6"/>
      <c r="X457" s="6"/>
      <c r="Y457" s="6"/>
      <c r="Z457" s="6"/>
      <c r="AA457" s="6" t="s">
        <v>89</v>
      </c>
      <c r="AB457" s="6" t="s">
        <v>2287</v>
      </c>
      <c r="AC457" s="6" t="s">
        <v>1900</v>
      </c>
      <c r="AD457" s="6" t="s">
        <v>2273</v>
      </c>
      <c r="AE457" s="6" t="s">
        <v>2274</v>
      </c>
      <c r="AF457" s="6" t="s">
        <v>2275</v>
      </c>
      <c r="AG457" s="6"/>
      <c r="AH457" s="6"/>
      <c r="AI457" s="7"/>
      <c r="AJ457" s="7"/>
      <c r="AK457" s="7"/>
      <c r="AL457" s="7"/>
      <c r="AM457" s="7"/>
      <c r="AN457" s="7"/>
      <c r="AO457" s="7"/>
      <c r="AP457" s="7"/>
      <c r="AQ457" s="7"/>
      <c r="AR457" s="7"/>
      <c r="AS457" s="7"/>
      <c r="AT457" s="7"/>
      <c r="AU457" s="7"/>
      <c r="AV457" s="7"/>
      <c r="AW457" s="7"/>
      <c r="AX457" s="7"/>
      <c r="AY457" s="7"/>
      <c r="AZ457" s="7"/>
    </row>
    <row r="458" customFormat="false" ht="150" hidden="false" customHeight="true" outlineLevel="0" collapsed="false">
      <c r="A458" s="6" t="s">
        <v>2288</v>
      </c>
      <c r="B458" s="6" t="s">
        <v>1875</v>
      </c>
      <c r="C458" s="6" t="s">
        <v>1876</v>
      </c>
      <c r="D458" s="6" t="s">
        <v>132</v>
      </c>
      <c r="E458" s="6" t="s">
        <v>133</v>
      </c>
      <c r="F458" s="6"/>
      <c r="G458" s="6" t="s">
        <v>1362</v>
      </c>
      <c r="H458" s="6" t="s">
        <v>1330</v>
      </c>
      <c r="I458" s="6" t="s">
        <v>81</v>
      </c>
      <c r="J458" s="6" t="s">
        <v>621</v>
      </c>
      <c r="K458" s="6" t="s">
        <v>1699</v>
      </c>
      <c r="L458" s="6" t="s">
        <v>1700</v>
      </c>
      <c r="M458" s="6" t="s">
        <v>2271</v>
      </c>
      <c r="N458" s="6"/>
      <c r="O458" s="6"/>
      <c r="P458" s="6" t="s">
        <v>1702</v>
      </c>
      <c r="Q458" s="6" t="s">
        <v>338</v>
      </c>
      <c r="R458" s="6" t="s">
        <v>1703</v>
      </c>
      <c r="S458" s="6"/>
      <c r="T458" s="6"/>
      <c r="U458" s="6"/>
      <c r="V458" s="6"/>
      <c r="W458" s="6"/>
      <c r="X458" s="6"/>
      <c r="Y458" s="6"/>
      <c r="Z458" s="6"/>
      <c r="AA458" s="6" t="s">
        <v>89</v>
      </c>
      <c r="AB458" s="6" t="s">
        <v>2289</v>
      </c>
      <c r="AC458" s="6" t="s">
        <v>1903</v>
      </c>
      <c r="AD458" s="6" t="s">
        <v>2273</v>
      </c>
      <c r="AE458" s="6" t="s">
        <v>2274</v>
      </c>
      <c r="AF458" s="6" t="s">
        <v>2275</v>
      </c>
      <c r="AG458" s="6"/>
      <c r="AH458" s="6"/>
      <c r="AI458" s="7"/>
      <c r="AJ458" s="7"/>
      <c r="AK458" s="7"/>
      <c r="AL458" s="7"/>
      <c r="AM458" s="7"/>
      <c r="AN458" s="7"/>
      <c r="AO458" s="7"/>
      <c r="AP458" s="7"/>
      <c r="AQ458" s="7"/>
      <c r="AR458" s="7"/>
      <c r="AS458" s="7"/>
      <c r="AT458" s="7"/>
      <c r="AU458" s="7"/>
      <c r="AV458" s="7"/>
      <c r="AW458" s="7"/>
      <c r="AX458" s="7"/>
      <c r="AY458" s="7"/>
      <c r="AZ458" s="7"/>
    </row>
    <row r="459" customFormat="false" ht="150" hidden="false" customHeight="true" outlineLevel="0" collapsed="false">
      <c r="A459" s="6" t="s">
        <v>2290</v>
      </c>
      <c r="B459" s="6" t="s">
        <v>1875</v>
      </c>
      <c r="C459" s="6" t="s">
        <v>1876</v>
      </c>
      <c r="D459" s="6" t="s">
        <v>132</v>
      </c>
      <c r="E459" s="6" t="s">
        <v>133</v>
      </c>
      <c r="F459" s="6"/>
      <c r="G459" s="6" t="s">
        <v>1362</v>
      </c>
      <c r="H459" s="6" t="s">
        <v>1330</v>
      </c>
      <c r="I459" s="6" t="s">
        <v>81</v>
      </c>
      <c r="J459" s="6" t="s">
        <v>621</v>
      </c>
      <c r="K459" s="6" t="s">
        <v>1699</v>
      </c>
      <c r="L459" s="6" t="s">
        <v>1700</v>
      </c>
      <c r="M459" s="6" t="s">
        <v>2271</v>
      </c>
      <c r="N459" s="6"/>
      <c r="O459" s="6"/>
      <c r="P459" s="6" t="s">
        <v>1702</v>
      </c>
      <c r="Q459" s="6" t="s">
        <v>338</v>
      </c>
      <c r="R459" s="6" t="s">
        <v>1703</v>
      </c>
      <c r="S459" s="6"/>
      <c r="T459" s="6"/>
      <c r="U459" s="6"/>
      <c r="V459" s="6"/>
      <c r="W459" s="6"/>
      <c r="X459" s="6"/>
      <c r="Y459" s="6"/>
      <c r="Z459" s="6"/>
      <c r="AA459" s="6" t="s">
        <v>89</v>
      </c>
      <c r="AB459" s="6" t="s">
        <v>2291</v>
      </c>
      <c r="AC459" s="6" t="s">
        <v>1906</v>
      </c>
      <c r="AD459" s="6" t="s">
        <v>2273</v>
      </c>
      <c r="AE459" s="6" t="s">
        <v>2274</v>
      </c>
      <c r="AF459" s="6" t="s">
        <v>2275</v>
      </c>
      <c r="AG459" s="6"/>
      <c r="AH459" s="6"/>
      <c r="AI459" s="7"/>
      <c r="AJ459" s="7"/>
      <c r="AK459" s="7"/>
      <c r="AL459" s="7"/>
      <c r="AM459" s="7"/>
      <c r="AN459" s="7"/>
      <c r="AO459" s="7"/>
      <c r="AP459" s="7"/>
      <c r="AQ459" s="7"/>
      <c r="AR459" s="7"/>
      <c r="AS459" s="7"/>
      <c r="AT459" s="7"/>
      <c r="AU459" s="7"/>
      <c r="AV459" s="7"/>
      <c r="AW459" s="7"/>
      <c r="AX459" s="7"/>
      <c r="AY459" s="7"/>
      <c r="AZ459" s="7"/>
    </row>
    <row r="460" customFormat="false" ht="150" hidden="false" customHeight="true" outlineLevel="0" collapsed="false">
      <c r="A460" s="6" t="s">
        <v>2292</v>
      </c>
      <c r="B460" s="6" t="s">
        <v>1875</v>
      </c>
      <c r="C460" s="6" t="s">
        <v>1876</v>
      </c>
      <c r="D460" s="6" t="s">
        <v>132</v>
      </c>
      <c r="E460" s="6" t="s">
        <v>133</v>
      </c>
      <c r="F460" s="6"/>
      <c r="G460" s="6" t="s">
        <v>1362</v>
      </c>
      <c r="H460" s="6" t="s">
        <v>1330</v>
      </c>
      <c r="I460" s="6" t="s">
        <v>81</v>
      </c>
      <c r="J460" s="6" t="s">
        <v>621</v>
      </c>
      <c r="K460" s="6" t="s">
        <v>1699</v>
      </c>
      <c r="L460" s="6" t="s">
        <v>1700</v>
      </c>
      <c r="M460" s="6" t="s">
        <v>2271</v>
      </c>
      <c r="N460" s="6"/>
      <c r="O460" s="6"/>
      <c r="P460" s="6" t="s">
        <v>1702</v>
      </c>
      <c r="Q460" s="6" t="s">
        <v>338</v>
      </c>
      <c r="R460" s="6" t="s">
        <v>1703</v>
      </c>
      <c r="S460" s="6"/>
      <c r="T460" s="6"/>
      <c r="U460" s="6"/>
      <c r="V460" s="6"/>
      <c r="W460" s="6"/>
      <c r="X460" s="6"/>
      <c r="Y460" s="6"/>
      <c r="Z460" s="6"/>
      <c r="AA460" s="6" t="s">
        <v>89</v>
      </c>
      <c r="AB460" s="6" t="s">
        <v>2293</v>
      </c>
      <c r="AC460" s="6" t="s">
        <v>1909</v>
      </c>
      <c r="AD460" s="6" t="s">
        <v>2273</v>
      </c>
      <c r="AE460" s="6" t="s">
        <v>2274</v>
      </c>
      <c r="AF460" s="6" t="s">
        <v>2275</v>
      </c>
      <c r="AG460" s="6"/>
      <c r="AH460" s="6"/>
      <c r="AI460" s="7"/>
      <c r="AJ460" s="7"/>
      <c r="AK460" s="7"/>
      <c r="AL460" s="7"/>
      <c r="AM460" s="7"/>
      <c r="AN460" s="7"/>
      <c r="AO460" s="7"/>
      <c r="AP460" s="7"/>
      <c r="AQ460" s="7"/>
      <c r="AR460" s="7"/>
      <c r="AS460" s="7"/>
      <c r="AT460" s="7"/>
      <c r="AU460" s="7"/>
      <c r="AV460" s="7"/>
      <c r="AW460" s="7"/>
      <c r="AX460" s="7"/>
      <c r="AY460" s="7"/>
      <c r="AZ460" s="7"/>
    </row>
    <row r="461" customFormat="false" ht="150" hidden="false" customHeight="true" outlineLevel="0" collapsed="false">
      <c r="A461" s="6" t="s">
        <v>2294</v>
      </c>
      <c r="B461" s="6" t="s">
        <v>1875</v>
      </c>
      <c r="C461" s="6" t="s">
        <v>1876</v>
      </c>
      <c r="D461" s="6" t="s">
        <v>132</v>
      </c>
      <c r="E461" s="6" t="s">
        <v>133</v>
      </c>
      <c r="F461" s="6"/>
      <c r="G461" s="6" t="s">
        <v>1362</v>
      </c>
      <c r="H461" s="6" t="s">
        <v>1330</v>
      </c>
      <c r="I461" s="6" t="s">
        <v>81</v>
      </c>
      <c r="J461" s="6" t="s">
        <v>621</v>
      </c>
      <c r="K461" s="6" t="s">
        <v>1722</v>
      </c>
      <c r="L461" s="6" t="s">
        <v>1723</v>
      </c>
      <c r="M461" s="6" t="s">
        <v>2295</v>
      </c>
      <c r="N461" s="6"/>
      <c r="O461" s="6"/>
      <c r="P461" s="6" t="s">
        <v>1725</v>
      </c>
      <c r="Q461" s="6" t="s">
        <v>771</v>
      </c>
      <c r="R461" s="6" t="s">
        <v>1726</v>
      </c>
      <c r="S461" s="6"/>
      <c r="T461" s="6"/>
      <c r="U461" s="6"/>
      <c r="V461" s="6"/>
      <c r="W461" s="6"/>
      <c r="X461" s="6"/>
      <c r="Y461" s="6"/>
      <c r="Z461" s="6"/>
      <c r="AA461" s="6" t="s">
        <v>89</v>
      </c>
      <c r="AB461" s="6" t="s">
        <v>2296</v>
      </c>
      <c r="AC461" s="6" t="s">
        <v>1879</v>
      </c>
      <c r="AD461" s="6" t="s">
        <v>2297</v>
      </c>
      <c r="AE461" s="6" t="s">
        <v>2298</v>
      </c>
      <c r="AF461" s="6" t="s">
        <v>2299</v>
      </c>
      <c r="AG461" s="6"/>
      <c r="AH461" s="6"/>
      <c r="AI461" s="7"/>
      <c r="AJ461" s="7"/>
      <c r="AK461" s="7"/>
      <c r="AL461" s="7"/>
      <c r="AM461" s="7"/>
      <c r="AN461" s="7"/>
      <c r="AO461" s="7"/>
      <c r="AP461" s="7"/>
      <c r="AQ461" s="7"/>
      <c r="AR461" s="7"/>
      <c r="AS461" s="7"/>
      <c r="AT461" s="7"/>
      <c r="AU461" s="7"/>
      <c r="AV461" s="7"/>
      <c r="AW461" s="7"/>
      <c r="AX461" s="7"/>
      <c r="AY461" s="7"/>
      <c r="AZ461" s="7"/>
    </row>
    <row r="462" customFormat="false" ht="150" hidden="false" customHeight="true" outlineLevel="0" collapsed="false">
      <c r="A462" s="6" t="s">
        <v>2300</v>
      </c>
      <c r="B462" s="6" t="s">
        <v>1875</v>
      </c>
      <c r="C462" s="6" t="s">
        <v>1876</v>
      </c>
      <c r="D462" s="6" t="s">
        <v>132</v>
      </c>
      <c r="E462" s="6" t="s">
        <v>133</v>
      </c>
      <c r="F462" s="6"/>
      <c r="G462" s="6" t="s">
        <v>1362</v>
      </c>
      <c r="H462" s="6" t="s">
        <v>1330</v>
      </c>
      <c r="I462" s="6" t="s">
        <v>81</v>
      </c>
      <c r="J462" s="6" t="s">
        <v>621</v>
      </c>
      <c r="K462" s="6" t="s">
        <v>1722</v>
      </c>
      <c r="L462" s="6" t="s">
        <v>1723</v>
      </c>
      <c r="M462" s="6" t="s">
        <v>2295</v>
      </c>
      <c r="N462" s="6"/>
      <c r="O462" s="6"/>
      <c r="P462" s="6" t="s">
        <v>1725</v>
      </c>
      <c r="Q462" s="6" t="s">
        <v>771</v>
      </c>
      <c r="R462" s="6" t="s">
        <v>1726</v>
      </c>
      <c r="S462" s="6"/>
      <c r="T462" s="6"/>
      <c r="U462" s="6"/>
      <c r="V462" s="6"/>
      <c r="W462" s="6"/>
      <c r="X462" s="6"/>
      <c r="Y462" s="6"/>
      <c r="Z462" s="6"/>
      <c r="AA462" s="6" t="s">
        <v>89</v>
      </c>
      <c r="AB462" s="6" t="s">
        <v>2301</v>
      </c>
      <c r="AC462" s="6" t="s">
        <v>1885</v>
      </c>
      <c r="AD462" s="6" t="s">
        <v>2297</v>
      </c>
      <c r="AE462" s="6" t="s">
        <v>2298</v>
      </c>
      <c r="AF462" s="6" t="s">
        <v>2299</v>
      </c>
      <c r="AG462" s="6"/>
      <c r="AH462" s="6"/>
      <c r="AI462" s="7"/>
      <c r="AJ462" s="7"/>
      <c r="AK462" s="7"/>
      <c r="AL462" s="7"/>
      <c r="AM462" s="7"/>
      <c r="AN462" s="7"/>
      <c r="AO462" s="7"/>
      <c r="AP462" s="7"/>
      <c r="AQ462" s="7"/>
      <c r="AR462" s="7"/>
      <c r="AS462" s="7"/>
      <c r="AT462" s="7"/>
      <c r="AU462" s="7"/>
      <c r="AV462" s="7"/>
      <c r="AW462" s="7"/>
      <c r="AX462" s="7"/>
      <c r="AY462" s="7"/>
      <c r="AZ462" s="7"/>
    </row>
    <row r="463" customFormat="false" ht="150" hidden="false" customHeight="true" outlineLevel="0" collapsed="false">
      <c r="A463" s="6" t="s">
        <v>2302</v>
      </c>
      <c r="B463" s="6" t="s">
        <v>1875</v>
      </c>
      <c r="C463" s="6" t="s">
        <v>1876</v>
      </c>
      <c r="D463" s="6" t="s">
        <v>132</v>
      </c>
      <c r="E463" s="6" t="s">
        <v>133</v>
      </c>
      <c r="F463" s="6"/>
      <c r="G463" s="6" t="s">
        <v>1362</v>
      </c>
      <c r="H463" s="6" t="s">
        <v>1330</v>
      </c>
      <c r="I463" s="6" t="s">
        <v>81</v>
      </c>
      <c r="J463" s="6" t="s">
        <v>621</v>
      </c>
      <c r="K463" s="6" t="s">
        <v>1722</v>
      </c>
      <c r="L463" s="6" t="s">
        <v>1723</v>
      </c>
      <c r="M463" s="6" t="s">
        <v>2295</v>
      </c>
      <c r="N463" s="6"/>
      <c r="O463" s="6"/>
      <c r="P463" s="6" t="s">
        <v>1725</v>
      </c>
      <c r="Q463" s="6" t="s">
        <v>771</v>
      </c>
      <c r="R463" s="6" t="s">
        <v>1726</v>
      </c>
      <c r="S463" s="6"/>
      <c r="T463" s="6"/>
      <c r="U463" s="6"/>
      <c r="V463" s="6"/>
      <c r="W463" s="6"/>
      <c r="X463" s="6"/>
      <c r="Y463" s="6"/>
      <c r="Z463" s="6"/>
      <c r="AA463" s="6" t="s">
        <v>89</v>
      </c>
      <c r="AB463" s="6" t="s">
        <v>2303</v>
      </c>
      <c r="AC463" s="6" t="s">
        <v>1888</v>
      </c>
      <c r="AD463" s="6" t="s">
        <v>2297</v>
      </c>
      <c r="AE463" s="6" t="s">
        <v>2298</v>
      </c>
      <c r="AF463" s="6" t="s">
        <v>2299</v>
      </c>
      <c r="AG463" s="6"/>
      <c r="AH463" s="6"/>
      <c r="AI463" s="7"/>
      <c r="AJ463" s="7"/>
      <c r="AK463" s="7"/>
      <c r="AL463" s="7"/>
      <c r="AM463" s="7"/>
      <c r="AN463" s="7"/>
      <c r="AO463" s="7"/>
      <c r="AP463" s="7"/>
      <c r="AQ463" s="7"/>
      <c r="AR463" s="7"/>
      <c r="AS463" s="7"/>
      <c r="AT463" s="7"/>
      <c r="AU463" s="7"/>
      <c r="AV463" s="7"/>
      <c r="AW463" s="7"/>
      <c r="AX463" s="7"/>
      <c r="AY463" s="7"/>
      <c r="AZ463" s="7"/>
    </row>
    <row r="464" customFormat="false" ht="150" hidden="false" customHeight="true" outlineLevel="0" collapsed="false">
      <c r="A464" s="6" t="s">
        <v>2304</v>
      </c>
      <c r="B464" s="6" t="s">
        <v>1875</v>
      </c>
      <c r="C464" s="6" t="s">
        <v>1876</v>
      </c>
      <c r="D464" s="6" t="s">
        <v>132</v>
      </c>
      <c r="E464" s="6" t="s">
        <v>133</v>
      </c>
      <c r="F464" s="6"/>
      <c r="G464" s="6" t="s">
        <v>1362</v>
      </c>
      <c r="H464" s="6" t="s">
        <v>1330</v>
      </c>
      <c r="I464" s="6" t="s">
        <v>81</v>
      </c>
      <c r="J464" s="6" t="s">
        <v>621</v>
      </c>
      <c r="K464" s="6" t="s">
        <v>1722</v>
      </c>
      <c r="L464" s="6" t="s">
        <v>1723</v>
      </c>
      <c r="M464" s="6" t="s">
        <v>2295</v>
      </c>
      <c r="N464" s="6"/>
      <c r="O464" s="6"/>
      <c r="P464" s="6" t="s">
        <v>1725</v>
      </c>
      <c r="Q464" s="6" t="s">
        <v>771</v>
      </c>
      <c r="R464" s="6" t="s">
        <v>1726</v>
      </c>
      <c r="S464" s="6"/>
      <c r="T464" s="6"/>
      <c r="U464" s="6"/>
      <c r="V464" s="6"/>
      <c r="W464" s="6"/>
      <c r="X464" s="6"/>
      <c r="Y464" s="6"/>
      <c r="Z464" s="6"/>
      <c r="AA464" s="6" t="s">
        <v>89</v>
      </c>
      <c r="AB464" s="6" t="s">
        <v>2305</v>
      </c>
      <c r="AC464" s="6" t="s">
        <v>1891</v>
      </c>
      <c r="AD464" s="6" t="s">
        <v>2297</v>
      </c>
      <c r="AE464" s="6" t="s">
        <v>2298</v>
      </c>
      <c r="AF464" s="6" t="s">
        <v>2299</v>
      </c>
      <c r="AG464" s="6"/>
      <c r="AH464" s="6"/>
      <c r="AI464" s="7"/>
      <c r="AJ464" s="7"/>
      <c r="AK464" s="7"/>
      <c r="AL464" s="7"/>
      <c r="AM464" s="7"/>
      <c r="AN464" s="7"/>
      <c r="AO464" s="7"/>
      <c r="AP464" s="7"/>
      <c r="AQ464" s="7"/>
      <c r="AR464" s="7"/>
      <c r="AS464" s="7"/>
      <c r="AT464" s="7"/>
      <c r="AU464" s="7"/>
      <c r="AV464" s="7"/>
      <c r="AW464" s="7"/>
      <c r="AX464" s="7"/>
      <c r="AY464" s="7"/>
      <c r="AZ464" s="7"/>
    </row>
    <row r="465" customFormat="false" ht="150" hidden="false" customHeight="true" outlineLevel="0" collapsed="false">
      <c r="A465" s="6" t="s">
        <v>2306</v>
      </c>
      <c r="B465" s="6" t="s">
        <v>1875</v>
      </c>
      <c r="C465" s="6" t="s">
        <v>1876</v>
      </c>
      <c r="D465" s="6" t="s">
        <v>132</v>
      </c>
      <c r="E465" s="6" t="s">
        <v>133</v>
      </c>
      <c r="F465" s="6"/>
      <c r="G465" s="6" t="s">
        <v>1362</v>
      </c>
      <c r="H465" s="6" t="s">
        <v>1330</v>
      </c>
      <c r="I465" s="6" t="s">
        <v>81</v>
      </c>
      <c r="J465" s="6" t="s">
        <v>621</v>
      </c>
      <c r="K465" s="6" t="s">
        <v>1722</v>
      </c>
      <c r="L465" s="6" t="s">
        <v>1723</v>
      </c>
      <c r="M465" s="6" t="s">
        <v>2295</v>
      </c>
      <c r="N465" s="6"/>
      <c r="O465" s="6"/>
      <c r="P465" s="6" t="s">
        <v>1725</v>
      </c>
      <c r="Q465" s="6" t="s">
        <v>771</v>
      </c>
      <c r="R465" s="6" t="s">
        <v>1726</v>
      </c>
      <c r="S465" s="6"/>
      <c r="T465" s="6"/>
      <c r="U465" s="6"/>
      <c r="V465" s="6"/>
      <c r="W465" s="6"/>
      <c r="X465" s="6"/>
      <c r="Y465" s="6"/>
      <c r="Z465" s="6"/>
      <c r="AA465" s="6" t="s">
        <v>89</v>
      </c>
      <c r="AB465" s="6" t="s">
        <v>2307</v>
      </c>
      <c r="AC465" s="6" t="s">
        <v>1894</v>
      </c>
      <c r="AD465" s="6" t="s">
        <v>2297</v>
      </c>
      <c r="AE465" s="6" t="s">
        <v>2298</v>
      </c>
      <c r="AF465" s="6" t="s">
        <v>2299</v>
      </c>
      <c r="AG465" s="6"/>
      <c r="AH465" s="6"/>
      <c r="AI465" s="7"/>
      <c r="AJ465" s="7"/>
      <c r="AK465" s="7"/>
      <c r="AL465" s="7"/>
      <c r="AM465" s="7"/>
      <c r="AN465" s="7"/>
      <c r="AO465" s="7"/>
      <c r="AP465" s="7"/>
      <c r="AQ465" s="7"/>
      <c r="AR465" s="7"/>
      <c r="AS465" s="7"/>
      <c r="AT465" s="7"/>
      <c r="AU465" s="7"/>
      <c r="AV465" s="7"/>
      <c r="AW465" s="7"/>
      <c r="AX465" s="7"/>
      <c r="AY465" s="7"/>
      <c r="AZ465" s="7"/>
    </row>
    <row r="466" customFormat="false" ht="150" hidden="false" customHeight="true" outlineLevel="0" collapsed="false">
      <c r="A466" s="6" t="s">
        <v>2308</v>
      </c>
      <c r="B466" s="6" t="s">
        <v>1875</v>
      </c>
      <c r="C466" s="6" t="s">
        <v>1876</v>
      </c>
      <c r="D466" s="6" t="s">
        <v>132</v>
      </c>
      <c r="E466" s="6" t="s">
        <v>133</v>
      </c>
      <c r="F466" s="6"/>
      <c r="G466" s="6" t="s">
        <v>1362</v>
      </c>
      <c r="H466" s="6" t="s">
        <v>1330</v>
      </c>
      <c r="I466" s="6" t="s">
        <v>81</v>
      </c>
      <c r="J466" s="6" t="s">
        <v>621</v>
      </c>
      <c r="K466" s="6" t="s">
        <v>1722</v>
      </c>
      <c r="L466" s="6" t="s">
        <v>1723</v>
      </c>
      <c r="M466" s="6" t="s">
        <v>2295</v>
      </c>
      <c r="N466" s="6"/>
      <c r="O466" s="6"/>
      <c r="P466" s="6" t="s">
        <v>1725</v>
      </c>
      <c r="Q466" s="6" t="s">
        <v>771</v>
      </c>
      <c r="R466" s="6" t="s">
        <v>1726</v>
      </c>
      <c r="S466" s="6"/>
      <c r="T466" s="6"/>
      <c r="U466" s="6"/>
      <c r="V466" s="6"/>
      <c r="W466" s="6"/>
      <c r="X466" s="6"/>
      <c r="Y466" s="6"/>
      <c r="Z466" s="6"/>
      <c r="AA466" s="6" t="s">
        <v>89</v>
      </c>
      <c r="AB466" s="6" t="s">
        <v>2309</v>
      </c>
      <c r="AC466" s="6" t="s">
        <v>1897</v>
      </c>
      <c r="AD466" s="6" t="s">
        <v>2297</v>
      </c>
      <c r="AE466" s="6" t="s">
        <v>2298</v>
      </c>
      <c r="AF466" s="6" t="s">
        <v>2299</v>
      </c>
      <c r="AG466" s="6"/>
      <c r="AH466" s="6"/>
      <c r="AI466" s="7"/>
      <c r="AJ466" s="7"/>
      <c r="AK466" s="7"/>
      <c r="AL466" s="7"/>
      <c r="AM466" s="7"/>
      <c r="AN466" s="7"/>
      <c r="AO466" s="7"/>
      <c r="AP466" s="7"/>
      <c r="AQ466" s="7"/>
      <c r="AR466" s="7"/>
      <c r="AS466" s="7"/>
      <c r="AT466" s="7"/>
      <c r="AU466" s="7"/>
      <c r="AV466" s="7"/>
      <c r="AW466" s="7"/>
      <c r="AX466" s="7"/>
      <c r="AY466" s="7"/>
      <c r="AZ466" s="7"/>
    </row>
    <row r="467" customFormat="false" ht="150" hidden="false" customHeight="true" outlineLevel="0" collapsed="false">
      <c r="A467" s="6" t="s">
        <v>2310</v>
      </c>
      <c r="B467" s="6" t="s">
        <v>1875</v>
      </c>
      <c r="C467" s="6" t="s">
        <v>1876</v>
      </c>
      <c r="D467" s="6" t="s">
        <v>132</v>
      </c>
      <c r="E467" s="6" t="s">
        <v>133</v>
      </c>
      <c r="F467" s="6"/>
      <c r="G467" s="6" t="s">
        <v>1362</v>
      </c>
      <c r="H467" s="6" t="s">
        <v>1330</v>
      </c>
      <c r="I467" s="6" t="s">
        <v>81</v>
      </c>
      <c r="J467" s="6" t="s">
        <v>621</v>
      </c>
      <c r="K467" s="6" t="s">
        <v>1722</v>
      </c>
      <c r="L467" s="6" t="s">
        <v>1723</v>
      </c>
      <c r="M467" s="6" t="s">
        <v>2295</v>
      </c>
      <c r="N467" s="6"/>
      <c r="O467" s="6"/>
      <c r="P467" s="6" t="s">
        <v>1725</v>
      </c>
      <c r="Q467" s="6" t="s">
        <v>771</v>
      </c>
      <c r="R467" s="6" t="s">
        <v>1726</v>
      </c>
      <c r="S467" s="6"/>
      <c r="T467" s="6"/>
      <c r="U467" s="6"/>
      <c r="V467" s="6"/>
      <c r="W467" s="6"/>
      <c r="X467" s="6"/>
      <c r="Y467" s="6"/>
      <c r="Z467" s="6"/>
      <c r="AA467" s="6" t="s">
        <v>89</v>
      </c>
      <c r="AB467" s="6" t="s">
        <v>2311</v>
      </c>
      <c r="AC467" s="6" t="s">
        <v>1900</v>
      </c>
      <c r="AD467" s="6" t="s">
        <v>2297</v>
      </c>
      <c r="AE467" s="6" t="s">
        <v>2298</v>
      </c>
      <c r="AF467" s="6" t="s">
        <v>2299</v>
      </c>
      <c r="AG467" s="6"/>
      <c r="AH467" s="6"/>
      <c r="AI467" s="7"/>
      <c r="AJ467" s="7"/>
      <c r="AK467" s="7"/>
      <c r="AL467" s="7"/>
      <c r="AM467" s="7"/>
      <c r="AN467" s="7"/>
      <c r="AO467" s="7"/>
      <c r="AP467" s="7"/>
      <c r="AQ467" s="7"/>
      <c r="AR467" s="7"/>
      <c r="AS467" s="7"/>
      <c r="AT467" s="7"/>
      <c r="AU467" s="7"/>
      <c r="AV467" s="7"/>
      <c r="AW467" s="7"/>
      <c r="AX467" s="7"/>
      <c r="AY467" s="7"/>
      <c r="AZ467" s="7"/>
    </row>
    <row r="468" customFormat="false" ht="150" hidden="false" customHeight="true" outlineLevel="0" collapsed="false">
      <c r="A468" s="6" t="s">
        <v>2312</v>
      </c>
      <c r="B468" s="6" t="s">
        <v>1875</v>
      </c>
      <c r="C468" s="6" t="s">
        <v>1876</v>
      </c>
      <c r="D468" s="6" t="s">
        <v>132</v>
      </c>
      <c r="E468" s="6" t="s">
        <v>133</v>
      </c>
      <c r="F468" s="6"/>
      <c r="G468" s="6" t="s">
        <v>1362</v>
      </c>
      <c r="H468" s="6" t="s">
        <v>1330</v>
      </c>
      <c r="I468" s="6" t="s">
        <v>81</v>
      </c>
      <c r="J468" s="6" t="s">
        <v>621</v>
      </c>
      <c r="K468" s="6" t="s">
        <v>1722</v>
      </c>
      <c r="L468" s="6" t="s">
        <v>1723</v>
      </c>
      <c r="M468" s="6" t="s">
        <v>2295</v>
      </c>
      <c r="N468" s="6"/>
      <c r="O468" s="6"/>
      <c r="P468" s="6" t="s">
        <v>1725</v>
      </c>
      <c r="Q468" s="6" t="s">
        <v>771</v>
      </c>
      <c r="R468" s="6" t="s">
        <v>1726</v>
      </c>
      <c r="S468" s="6"/>
      <c r="T468" s="6"/>
      <c r="U468" s="6"/>
      <c r="V468" s="6"/>
      <c r="W468" s="6"/>
      <c r="X468" s="6"/>
      <c r="Y468" s="6"/>
      <c r="Z468" s="6"/>
      <c r="AA468" s="6" t="s">
        <v>89</v>
      </c>
      <c r="AB468" s="6" t="s">
        <v>2313</v>
      </c>
      <c r="AC468" s="6" t="s">
        <v>1903</v>
      </c>
      <c r="AD468" s="6" t="s">
        <v>2297</v>
      </c>
      <c r="AE468" s="6" t="s">
        <v>2298</v>
      </c>
      <c r="AF468" s="6" t="s">
        <v>2299</v>
      </c>
      <c r="AG468" s="6"/>
      <c r="AH468" s="6"/>
      <c r="AI468" s="7"/>
      <c r="AJ468" s="7"/>
      <c r="AK468" s="7"/>
      <c r="AL468" s="7"/>
      <c r="AM468" s="7"/>
      <c r="AN468" s="7"/>
      <c r="AO468" s="7"/>
      <c r="AP468" s="7"/>
      <c r="AQ468" s="7"/>
      <c r="AR468" s="7"/>
      <c r="AS468" s="7"/>
      <c r="AT468" s="7"/>
      <c r="AU468" s="7"/>
      <c r="AV468" s="7"/>
      <c r="AW468" s="7"/>
      <c r="AX468" s="7"/>
      <c r="AY468" s="7"/>
      <c r="AZ468" s="7"/>
    </row>
    <row r="469" customFormat="false" ht="150" hidden="false" customHeight="true" outlineLevel="0" collapsed="false">
      <c r="A469" s="6" t="s">
        <v>2314</v>
      </c>
      <c r="B469" s="6" t="s">
        <v>1875</v>
      </c>
      <c r="C469" s="6" t="s">
        <v>1876</v>
      </c>
      <c r="D469" s="6" t="s">
        <v>132</v>
      </c>
      <c r="E469" s="6" t="s">
        <v>133</v>
      </c>
      <c r="F469" s="6"/>
      <c r="G469" s="6" t="s">
        <v>1362</v>
      </c>
      <c r="H469" s="6" t="s">
        <v>1330</v>
      </c>
      <c r="I469" s="6" t="s">
        <v>81</v>
      </c>
      <c r="J469" s="6" t="s">
        <v>621</v>
      </c>
      <c r="K469" s="6" t="s">
        <v>1722</v>
      </c>
      <c r="L469" s="6" t="s">
        <v>1723</v>
      </c>
      <c r="M469" s="6" t="s">
        <v>2295</v>
      </c>
      <c r="N469" s="6"/>
      <c r="O469" s="6"/>
      <c r="P469" s="6" t="s">
        <v>1725</v>
      </c>
      <c r="Q469" s="6" t="s">
        <v>771</v>
      </c>
      <c r="R469" s="6" t="s">
        <v>1726</v>
      </c>
      <c r="S469" s="6"/>
      <c r="T469" s="6"/>
      <c r="U469" s="6"/>
      <c r="V469" s="6"/>
      <c r="W469" s="6"/>
      <c r="X469" s="6"/>
      <c r="Y469" s="6"/>
      <c r="Z469" s="6"/>
      <c r="AA469" s="6" t="s">
        <v>89</v>
      </c>
      <c r="AB469" s="6" t="s">
        <v>2315</v>
      </c>
      <c r="AC469" s="6" t="s">
        <v>1906</v>
      </c>
      <c r="AD469" s="6" t="s">
        <v>2297</v>
      </c>
      <c r="AE469" s="6" t="s">
        <v>2298</v>
      </c>
      <c r="AF469" s="6" t="s">
        <v>2299</v>
      </c>
      <c r="AG469" s="6"/>
      <c r="AH469" s="6"/>
      <c r="AI469" s="7"/>
      <c r="AJ469" s="7"/>
      <c r="AK469" s="7"/>
      <c r="AL469" s="7"/>
      <c r="AM469" s="7"/>
      <c r="AN469" s="7"/>
      <c r="AO469" s="7"/>
      <c r="AP469" s="7"/>
      <c r="AQ469" s="7"/>
      <c r="AR469" s="7"/>
      <c r="AS469" s="7"/>
      <c r="AT469" s="7"/>
      <c r="AU469" s="7"/>
      <c r="AV469" s="7"/>
      <c r="AW469" s="7"/>
      <c r="AX469" s="7"/>
      <c r="AY469" s="7"/>
      <c r="AZ469" s="7"/>
    </row>
    <row r="470" customFormat="false" ht="150" hidden="false" customHeight="true" outlineLevel="0" collapsed="false">
      <c r="A470" s="6" t="s">
        <v>2316</v>
      </c>
      <c r="B470" s="6" t="s">
        <v>1875</v>
      </c>
      <c r="C470" s="6" t="s">
        <v>1876</v>
      </c>
      <c r="D470" s="6" t="s">
        <v>132</v>
      </c>
      <c r="E470" s="6" t="s">
        <v>133</v>
      </c>
      <c r="F470" s="6"/>
      <c r="G470" s="6" t="s">
        <v>1362</v>
      </c>
      <c r="H470" s="6" t="s">
        <v>1330</v>
      </c>
      <c r="I470" s="6" t="s">
        <v>81</v>
      </c>
      <c r="J470" s="6" t="s">
        <v>621</v>
      </c>
      <c r="K470" s="6" t="s">
        <v>1722</v>
      </c>
      <c r="L470" s="6" t="s">
        <v>1723</v>
      </c>
      <c r="M470" s="6" t="s">
        <v>2295</v>
      </c>
      <c r="N470" s="6"/>
      <c r="O470" s="6"/>
      <c r="P470" s="6" t="s">
        <v>1725</v>
      </c>
      <c r="Q470" s="6" t="s">
        <v>771</v>
      </c>
      <c r="R470" s="6" t="s">
        <v>1726</v>
      </c>
      <c r="S470" s="6"/>
      <c r="T470" s="6"/>
      <c r="U470" s="6"/>
      <c r="V470" s="6"/>
      <c r="W470" s="6"/>
      <c r="X470" s="6"/>
      <c r="Y470" s="6"/>
      <c r="Z470" s="6"/>
      <c r="AA470" s="6" t="s">
        <v>89</v>
      </c>
      <c r="AB470" s="6" t="s">
        <v>2317</v>
      </c>
      <c r="AC470" s="6" t="s">
        <v>1909</v>
      </c>
      <c r="AD470" s="6" t="s">
        <v>2297</v>
      </c>
      <c r="AE470" s="6" t="s">
        <v>2298</v>
      </c>
      <c r="AF470" s="6" t="s">
        <v>2299</v>
      </c>
      <c r="AG470" s="6"/>
      <c r="AH470" s="6"/>
      <c r="AI470" s="7"/>
      <c r="AJ470" s="7"/>
      <c r="AK470" s="7"/>
      <c r="AL470" s="7"/>
      <c r="AM470" s="7"/>
      <c r="AN470" s="7"/>
      <c r="AO470" s="7"/>
      <c r="AP470" s="7"/>
      <c r="AQ470" s="7"/>
      <c r="AR470" s="7"/>
      <c r="AS470" s="7"/>
      <c r="AT470" s="7"/>
      <c r="AU470" s="7"/>
      <c r="AV470" s="7"/>
      <c r="AW470" s="7"/>
      <c r="AX470" s="7"/>
      <c r="AY470" s="7"/>
      <c r="AZ470" s="7"/>
    </row>
    <row r="471" customFormat="false" ht="150" hidden="false" customHeight="true" outlineLevel="0" collapsed="false">
      <c r="A471" s="6" t="s">
        <v>2318</v>
      </c>
      <c r="B471" s="6" t="s">
        <v>1875</v>
      </c>
      <c r="C471" s="6" t="s">
        <v>1876</v>
      </c>
      <c r="D471" s="6" t="s">
        <v>132</v>
      </c>
      <c r="E471" s="6" t="s">
        <v>133</v>
      </c>
      <c r="F471" s="6"/>
      <c r="G471" s="6" t="s">
        <v>1362</v>
      </c>
      <c r="H471" s="6" t="s">
        <v>1330</v>
      </c>
      <c r="I471" s="6" t="s">
        <v>81</v>
      </c>
      <c r="J471" s="6" t="s">
        <v>621</v>
      </c>
      <c r="K471" s="6" t="s">
        <v>1745</v>
      </c>
      <c r="L471" s="6" t="s">
        <v>1746</v>
      </c>
      <c r="M471" s="6" t="s">
        <v>2319</v>
      </c>
      <c r="N471" s="6"/>
      <c r="O471" s="6"/>
      <c r="P471" s="6" t="s">
        <v>1748</v>
      </c>
      <c r="Q471" s="6"/>
      <c r="R471" s="6" t="s">
        <v>1680</v>
      </c>
      <c r="S471" s="6"/>
      <c r="T471" s="6"/>
      <c r="U471" s="6"/>
      <c r="V471" s="6"/>
      <c r="W471" s="6"/>
      <c r="X471" s="6"/>
      <c r="Y471" s="6"/>
      <c r="Z471" s="6"/>
      <c r="AA471" s="6" t="s">
        <v>89</v>
      </c>
      <c r="AB471" s="6" t="s">
        <v>2320</v>
      </c>
      <c r="AC471" s="6" t="s">
        <v>1879</v>
      </c>
      <c r="AD471" s="6" t="s">
        <v>2321</v>
      </c>
      <c r="AE471" s="6" t="s">
        <v>2322</v>
      </c>
      <c r="AF471" s="6" t="s">
        <v>2323</v>
      </c>
      <c r="AG471" s="6"/>
      <c r="AH471" s="6"/>
      <c r="AI471" s="7"/>
      <c r="AJ471" s="7"/>
      <c r="AK471" s="7"/>
      <c r="AL471" s="7"/>
      <c r="AM471" s="7"/>
      <c r="AN471" s="7"/>
      <c r="AO471" s="7"/>
      <c r="AP471" s="7"/>
      <c r="AQ471" s="7"/>
      <c r="AR471" s="7"/>
      <c r="AS471" s="7"/>
      <c r="AT471" s="7"/>
      <c r="AU471" s="7"/>
      <c r="AV471" s="7"/>
      <c r="AW471" s="7"/>
      <c r="AX471" s="7"/>
      <c r="AY471" s="7"/>
      <c r="AZ471" s="7"/>
    </row>
    <row r="472" customFormat="false" ht="150" hidden="false" customHeight="true" outlineLevel="0" collapsed="false">
      <c r="A472" s="6" t="s">
        <v>2324</v>
      </c>
      <c r="B472" s="6" t="s">
        <v>1875</v>
      </c>
      <c r="C472" s="6" t="s">
        <v>1876</v>
      </c>
      <c r="D472" s="6" t="s">
        <v>132</v>
      </c>
      <c r="E472" s="6" t="s">
        <v>133</v>
      </c>
      <c r="F472" s="6"/>
      <c r="G472" s="6" t="s">
        <v>1362</v>
      </c>
      <c r="H472" s="6" t="s">
        <v>1330</v>
      </c>
      <c r="I472" s="6" t="s">
        <v>81</v>
      </c>
      <c r="J472" s="6" t="s">
        <v>621</v>
      </c>
      <c r="K472" s="6" t="s">
        <v>1745</v>
      </c>
      <c r="L472" s="6" t="s">
        <v>1746</v>
      </c>
      <c r="M472" s="6" t="s">
        <v>2319</v>
      </c>
      <c r="N472" s="6"/>
      <c r="O472" s="6"/>
      <c r="P472" s="6" t="s">
        <v>1748</v>
      </c>
      <c r="Q472" s="6"/>
      <c r="R472" s="6" t="s">
        <v>1680</v>
      </c>
      <c r="S472" s="6"/>
      <c r="T472" s="6"/>
      <c r="U472" s="6"/>
      <c r="V472" s="6"/>
      <c r="W472" s="6"/>
      <c r="X472" s="6"/>
      <c r="Y472" s="6"/>
      <c r="Z472" s="6"/>
      <c r="AA472" s="6" t="s">
        <v>89</v>
      </c>
      <c r="AB472" s="6" t="s">
        <v>2325</v>
      </c>
      <c r="AC472" s="6" t="s">
        <v>1885</v>
      </c>
      <c r="AD472" s="6" t="s">
        <v>2321</v>
      </c>
      <c r="AE472" s="6" t="s">
        <v>2322</v>
      </c>
      <c r="AF472" s="6" t="s">
        <v>2323</v>
      </c>
      <c r="AG472" s="6"/>
      <c r="AH472" s="6"/>
      <c r="AI472" s="7"/>
      <c r="AJ472" s="7"/>
      <c r="AK472" s="7"/>
      <c r="AL472" s="7"/>
      <c r="AM472" s="7"/>
      <c r="AN472" s="7"/>
      <c r="AO472" s="7"/>
      <c r="AP472" s="7"/>
      <c r="AQ472" s="7"/>
      <c r="AR472" s="7"/>
      <c r="AS472" s="7"/>
      <c r="AT472" s="7"/>
      <c r="AU472" s="7"/>
      <c r="AV472" s="7"/>
      <c r="AW472" s="7"/>
      <c r="AX472" s="7"/>
      <c r="AY472" s="7"/>
      <c r="AZ472" s="7"/>
    </row>
    <row r="473" customFormat="false" ht="150" hidden="false" customHeight="true" outlineLevel="0" collapsed="false">
      <c r="A473" s="6" t="s">
        <v>2326</v>
      </c>
      <c r="B473" s="6" t="s">
        <v>1875</v>
      </c>
      <c r="C473" s="6" t="s">
        <v>1876</v>
      </c>
      <c r="D473" s="6" t="s">
        <v>132</v>
      </c>
      <c r="E473" s="6" t="s">
        <v>133</v>
      </c>
      <c r="F473" s="6"/>
      <c r="G473" s="6" t="s">
        <v>1362</v>
      </c>
      <c r="H473" s="6" t="s">
        <v>1330</v>
      </c>
      <c r="I473" s="6" t="s">
        <v>81</v>
      </c>
      <c r="J473" s="6" t="s">
        <v>621</v>
      </c>
      <c r="K473" s="6" t="s">
        <v>1745</v>
      </c>
      <c r="L473" s="6" t="s">
        <v>1746</v>
      </c>
      <c r="M473" s="6" t="s">
        <v>2319</v>
      </c>
      <c r="N473" s="6"/>
      <c r="O473" s="6"/>
      <c r="P473" s="6" t="s">
        <v>1748</v>
      </c>
      <c r="Q473" s="6"/>
      <c r="R473" s="6" t="s">
        <v>1680</v>
      </c>
      <c r="S473" s="6"/>
      <c r="T473" s="6"/>
      <c r="U473" s="6"/>
      <c r="V473" s="6"/>
      <c r="W473" s="6"/>
      <c r="X473" s="6"/>
      <c r="Y473" s="6"/>
      <c r="Z473" s="6"/>
      <c r="AA473" s="6" t="s">
        <v>89</v>
      </c>
      <c r="AB473" s="6" t="s">
        <v>2327</v>
      </c>
      <c r="AC473" s="6" t="s">
        <v>1888</v>
      </c>
      <c r="AD473" s="6" t="s">
        <v>2321</v>
      </c>
      <c r="AE473" s="6" t="s">
        <v>2322</v>
      </c>
      <c r="AF473" s="6" t="s">
        <v>2323</v>
      </c>
      <c r="AG473" s="6"/>
      <c r="AH473" s="6"/>
      <c r="AI473" s="7"/>
      <c r="AJ473" s="7"/>
      <c r="AK473" s="7"/>
      <c r="AL473" s="7"/>
      <c r="AM473" s="7"/>
      <c r="AN473" s="7"/>
      <c r="AO473" s="7"/>
      <c r="AP473" s="7"/>
      <c r="AQ473" s="7"/>
      <c r="AR473" s="7"/>
      <c r="AS473" s="7"/>
      <c r="AT473" s="7"/>
      <c r="AU473" s="7"/>
      <c r="AV473" s="7"/>
      <c r="AW473" s="7"/>
      <c r="AX473" s="7"/>
      <c r="AY473" s="7"/>
      <c r="AZ473" s="7"/>
    </row>
    <row r="474" customFormat="false" ht="150" hidden="false" customHeight="true" outlineLevel="0" collapsed="false">
      <c r="A474" s="6" t="s">
        <v>2328</v>
      </c>
      <c r="B474" s="6" t="s">
        <v>1875</v>
      </c>
      <c r="C474" s="6" t="s">
        <v>1876</v>
      </c>
      <c r="D474" s="6" t="s">
        <v>132</v>
      </c>
      <c r="E474" s="6" t="s">
        <v>133</v>
      </c>
      <c r="F474" s="6"/>
      <c r="G474" s="6" t="s">
        <v>1362</v>
      </c>
      <c r="H474" s="6" t="s">
        <v>1330</v>
      </c>
      <c r="I474" s="6" t="s">
        <v>81</v>
      </c>
      <c r="J474" s="6" t="s">
        <v>621</v>
      </c>
      <c r="K474" s="6" t="s">
        <v>1745</v>
      </c>
      <c r="L474" s="6" t="s">
        <v>1746</v>
      </c>
      <c r="M474" s="6" t="s">
        <v>2319</v>
      </c>
      <c r="N474" s="6"/>
      <c r="O474" s="6"/>
      <c r="P474" s="6" t="s">
        <v>1748</v>
      </c>
      <c r="Q474" s="6"/>
      <c r="R474" s="6" t="s">
        <v>1680</v>
      </c>
      <c r="S474" s="6"/>
      <c r="T474" s="6"/>
      <c r="U474" s="6"/>
      <c r="V474" s="6"/>
      <c r="W474" s="6"/>
      <c r="X474" s="6"/>
      <c r="Y474" s="6"/>
      <c r="Z474" s="6"/>
      <c r="AA474" s="6" t="s">
        <v>89</v>
      </c>
      <c r="AB474" s="6" t="s">
        <v>2329</v>
      </c>
      <c r="AC474" s="6" t="s">
        <v>1891</v>
      </c>
      <c r="AD474" s="6" t="s">
        <v>2321</v>
      </c>
      <c r="AE474" s="6" t="s">
        <v>2322</v>
      </c>
      <c r="AF474" s="6" t="s">
        <v>2323</v>
      </c>
      <c r="AG474" s="6"/>
      <c r="AH474" s="6"/>
      <c r="AI474" s="7"/>
      <c r="AJ474" s="7"/>
      <c r="AK474" s="7"/>
      <c r="AL474" s="7"/>
      <c r="AM474" s="7"/>
      <c r="AN474" s="7"/>
      <c r="AO474" s="7"/>
      <c r="AP474" s="7"/>
      <c r="AQ474" s="7"/>
      <c r="AR474" s="7"/>
      <c r="AS474" s="7"/>
      <c r="AT474" s="7"/>
      <c r="AU474" s="7"/>
      <c r="AV474" s="7"/>
      <c r="AW474" s="7"/>
      <c r="AX474" s="7"/>
      <c r="AY474" s="7"/>
      <c r="AZ474" s="7"/>
    </row>
    <row r="475" customFormat="false" ht="150" hidden="false" customHeight="true" outlineLevel="0" collapsed="false">
      <c r="A475" s="6" t="s">
        <v>2330</v>
      </c>
      <c r="B475" s="6" t="s">
        <v>1875</v>
      </c>
      <c r="C475" s="6" t="s">
        <v>1876</v>
      </c>
      <c r="D475" s="6" t="s">
        <v>132</v>
      </c>
      <c r="E475" s="6" t="s">
        <v>133</v>
      </c>
      <c r="F475" s="6"/>
      <c r="G475" s="6" t="s">
        <v>1362</v>
      </c>
      <c r="H475" s="6" t="s">
        <v>1330</v>
      </c>
      <c r="I475" s="6" t="s">
        <v>81</v>
      </c>
      <c r="J475" s="6" t="s">
        <v>621</v>
      </c>
      <c r="K475" s="6" t="s">
        <v>1745</v>
      </c>
      <c r="L475" s="6" t="s">
        <v>1746</v>
      </c>
      <c r="M475" s="6" t="s">
        <v>2319</v>
      </c>
      <c r="N475" s="6"/>
      <c r="O475" s="6"/>
      <c r="P475" s="6" t="s">
        <v>1748</v>
      </c>
      <c r="Q475" s="6"/>
      <c r="R475" s="6" t="s">
        <v>1680</v>
      </c>
      <c r="S475" s="6"/>
      <c r="T475" s="6"/>
      <c r="U475" s="6"/>
      <c r="V475" s="6"/>
      <c r="W475" s="6"/>
      <c r="X475" s="6"/>
      <c r="Y475" s="6"/>
      <c r="Z475" s="6"/>
      <c r="AA475" s="6" t="s">
        <v>89</v>
      </c>
      <c r="AB475" s="6" t="s">
        <v>2331</v>
      </c>
      <c r="AC475" s="6" t="s">
        <v>1894</v>
      </c>
      <c r="AD475" s="6" t="s">
        <v>2321</v>
      </c>
      <c r="AE475" s="6" t="s">
        <v>2322</v>
      </c>
      <c r="AF475" s="6" t="s">
        <v>2323</v>
      </c>
      <c r="AG475" s="6"/>
      <c r="AH475" s="6"/>
      <c r="AI475" s="7"/>
      <c r="AJ475" s="7"/>
      <c r="AK475" s="7"/>
      <c r="AL475" s="7"/>
      <c r="AM475" s="7"/>
      <c r="AN475" s="7"/>
      <c r="AO475" s="7"/>
      <c r="AP475" s="7"/>
      <c r="AQ475" s="7"/>
      <c r="AR475" s="7"/>
      <c r="AS475" s="7"/>
      <c r="AT475" s="7"/>
      <c r="AU475" s="7"/>
      <c r="AV475" s="7"/>
      <c r="AW475" s="7"/>
      <c r="AX475" s="7"/>
      <c r="AY475" s="7"/>
      <c r="AZ475" s="7"/>
    </row>
    <row r="476" customFormat="false" ht="150" hidden="false" customHeight="true" outlineLevel="0" collapsed="false">
      <c r="A476" s="6" t="s">
        <v>2332</v>
      </c>
      <c r="B476" s="6" t="s">
        <v>1875</v>
      </c>
      <c r="C476" s="6" t="s">
        <v>1876</v>
      </c>
      <c r="D476" s="6" t="s">
        <v>132</v>
      </c>
      <c r="E476" s="6" t="s">
        <v>133</v>
      </c>
      <c r="F476" s="6"/>
      <c r="G476" s="6" t="s">
        <v>1362</v>
      </c>
      <c r="H476" s="6" t="s">
        <v>1330</v>
      </c>
      <c r="I476" s="6" t="s">
        <v>81</v>
      </c>
      <c r="J476" s="6" t="s">
        <v>621</v>
      </c>
      <c r="K476" s="6" t="s">
        <v>1745</v>
      </c>
      <c r="L476" s="6" t="s">
        <v>1746</v>
      </c>
      <c r="M476" s="6" t="s">
        <v>2319</v>
      </c>
      <c r="N476" s="6"/>
      <c r="O476" s="6"/>
      <c r="P476" s="6" t="s">
        <v>1748</v>
      </c>
      <c r="Q476" s="6"/>
      <c r="R476" s="6" t="s">
        <v>1680</v>
      </c>
      <c r="S476" s="6"/>
      <c r="T476" s="6"/>
      <c r="U476" s="6"/>
      <c r="V476" s="6"/>
      <c r="W476" s="6"/>
      <c r="X476" s="6"/>
      <c r="Y476" s="6"/>
      <c r="Z476" s="6"/>
      <c r="AA476" s="6" t="s">
        <v>89</v>
      </c>
      <c r="AB476" s="6" t="s">
        <v>2333</v>
      </c>
      <c r="AC476" s="6" t="s">
        <v>1897</v>
      </c>
      <c r="AD476" s="6" t="s">
        <v>2321</v>
      </c>
      <c r="AE476" s="6" t="s">
        <v>2322</v>
      </c>
      <c r="AF476" s="6" t="s">
        <v>2323</v>
      </c>
      <c r="AG476" s="6"/>
      <c r="AH476" s="6"/>
      <c r="AI476" s="7"/>
      <c r="AJ476" s="7"/>
      <c r="AK476" s="7"/>
      <c r="AL476" s="7"/>
      <c r="AM476" s="7"/>
      <c r="AN476" s="7"/>
      <c r="AO476" s="7"/>
      <c r="AP476" s="7"/>
      <c r="AQ476" s="7"/>
      <c r="AR476" s="7"/>
      <c r="AS476" s="7"/>
      <c r="AT476" s="7"/>
      <c r="AU476" s="7"/>
      <c r="AV476" s="7"/>
      <c r="AW476" s="7"/>
      <c r="AX476" s="7"/>
      <c r="AY476" s="7"/>
      <c r="AZ476" s="7"/>
    </row>
    <row r="477" customFormat="false" ht="150" hidden="false" customHeight="true" outlineLevel="0" collapsed="false">
      <c r="A477" s="6" t="s">
        <v>2334</v>
      </c>
      <c r="B477" s="6" t="s">
        <v>1875</v>
      </c>
      <c r="C477" s="6" t="s">
        <v>1876</v>
      </c>
      <c r="D477" s="6" t="s">
        <v>132</v>
      </c>
      <c r="E477" s="6" t="s">
        <v>133</v>
      </c>
      <c r="F477" s="6"/>
      <c r="G477" s="6" t="s">
        <v>1362</v>
      </c>
      <c r="H477" s="6" t="s">
        <v>1330</v>
      </c>
      <c r="I477" s="6" t="s">
        <v>81</v>
      </c>
      <c r="J477" s="6" t="s">
        <v>621</v>
      </c>
      <c r="K477" s="6" t="s">
        <v>1745</v>
      </c>
      <c r="L477" s="6" t="s">
        <v>1746</v>
      </c>
      <c r="M477" s="6" t="s">
        <v>2319</v>
      </c>
      <c r="N477" s="6"/>
      <c r="O477" s="6"/>
      <c r="P477" s="6" t="s">
        <v>1748</v>
      </c>
      <c r="Q477" s="6"/>
      <c r="R477" s="6" t="s">
        <v>1680</v>
      </c>
      <c r="S477" s="6"/>
      <c r="T477" s="6"/>
      <c r="U477" s="6"/>
      <c r="V477" s="6"/>
      <c r="W477" s="6"/>
      <c r="X477" s="6"/>
      <c r="Y477" s="6"/>
      <c r="Z477" s="6"/>
      <c r="AA477" s="6" t="s">
        <v>89</v>
      </c>
      <c r="AB477" s="6" t="s">
        <v>2335</v>
      </c>
      <c r="AC477" s="6" t="s">
        <v>1900</v>
      </c>
      <c r="AD477" s="6" t="s">
        <v>2321</v>
      </c>
      <c r="AE477" s="6" t="s">
        <v>2322</v>
      </c>
      <c r="AF477" s="6" t="s">
        <v>2323</v>
      </c>
      <c r="AG477" s="6"/>
      <c r="AH477" s="6"/>
      <c r="AI477" s="7"/>
      <c r="AJ477" s="7"/>
      <c r="AK477" s="7"/>
      <c r="AL477" s="7"/>
      <c r="AM477" s="7"/>
      <c r="AN477" s="7"/>
      <c r="AO477" s="7"/>
      <c r="AP477" s="7"/>
      <c r="AQ477" s="7"/>
      <c r="AR477" s="7"/>
      <c r="AS477" s="7"/>
      <c r="AT477" s="7"/>
      <c r="AU477" s="7"/>
      <c r="AV477" s="7"/>
      <c r="AW477" s="7"/>
      <c r="AX477" s="7"/>
      <c r="AY477" s="7"/>
      <c r="AZ477" s="7"/>
    </row>
    <row r="478" customFormat="false" ht="150" hidden="false" customHeight="true" outlineLevel="0" collapsed="false">
      <c r="A478" s="6" t="s">
        <v>2336</v>
      </c>
      <c r="B478" s="6" t="s">
        <v>1875</v>
      </c>
      <c r="C478" s="6" t="s">
        <v>1876</v>
      </c>
      <c r="D478" s="6" t="s">
        <v>132</v>
      </c>
      <c r="E478" s="6" t="s">
        <v>133</v>
      </c>
      <c r="F478" s="6"/>
      <c r="G478" s="6" t="s">
        <v>1362</v>
      </c>
      <c r="H478" s="6" t="s">
        <v>1330</v>
      </c>
      <c r="I478" s="6" t="s">
        <v>81</v>
      </c>
      <c r="J478" s="6" t="s">
        <v>621</v>
      </c>
      <c r="K478" s="6" t="s">
        <v>1745</v>
      </c>
      <c r="L478" s="6" t="s">
        <v>1746</v>
      </c>
      <c r="M478" s="6" t="s">
        <v>2319</v>
      </c>
      <c r="N478" s="6"/>
      <c r="O478" s="6"/>
      <c r="P478" s="6" t="s">
        <v>1748</v>
      </c>
      <c r="Q478" s="6"/>
      <c r="R478" s="6" t="s">
        <v>1680</v>
      </c>
      <c r="S478" s="6"/>
      <c r="T478" s="6"/>
      <c r="U478" s="6"/>
      <c r="V478" s="6"/>
      <c r="W478" s="6"/>
      <c r="X478" s="6"/>
      <c r="Y478" s="6"/>
      <c r="Z478" s="6"/>
      <c r="AA478" s="6" t="s">
        <v>89</v>
      </c>
      <c r="AB478" s="6" t="s">
        <v>2337</v>
      </c>
      <c r="AC478" s="6" t="s">
        <v>1903</v>
      </c>
      <c r="AD478" s="6" t="s">
        <v>2321</v>
      </c>
      <c r="AE478" s="6" t="s">
        <v>2322</v>
      </c>
      <c r="AF478" s="6" t="s">
        <v>2323</v>
      </c>
      <c r="AG478" s="6"/>
      <c r="AH478" s="6"/>
      <c r="AI478" s="7"/>
      <c r="AJ478" s="7"/>
      <c r="AK478" s="7"/>
      <c r="AL478" s="7"/>
      <c r="AM478" s="7"/>
      <c r="AN478" s="7"/>
      <c r="AO478" s="7"/>
      <c r="AP478" s="7"/>
      <c r="AQ478" s="7"/>
      <c r="AR478" s="7"/>
      <c r="AS478" s="7"/>
      <c r="AT478" s="7"/>
      <c r="AU478" s="7"/>
      <c r="AV478" s="7"/>
      <c r="AW478" s="7"/>
      <c r="AX478" s="7"/>
      <c r="AY478" s="7"/>
      <c r="AZ478" s="7"/>
    </row>
    <row r="479" customFormat="false" ht="150" hidden="false" customHeight="true" outlineLevel="0" collapsed="false">
      <c r="A479" s="6" t="s">
        <v>2338</v>
      </c>
      <c r="B479" s="6" t="s">
        <v>1875</v>
      </c>
      <c r="C479" s="6" t="s">
        <v>1876</v>
      </c>
      <c r="D479" s="6" t="s">
        <v>132</v>
      </c>
      <c r="E479" s="6" t="s">
        <v>133</v>
      </c>
      <c r="F479" s="6"/>
      <c r="G479" s="6" t="s">
        <v>1362</v>
      </c>
      <c r="H479" s="6" t="s">
        <v>1330</v>
      </c>
      <c r="I479" s="6" t="s">
        <v>81</v>
      </c>
      <c r="J479" s="6" t="s">
        <v>621</v>
      </c>
      <c r="K479" s="6" t="s">
        <v>1745</v>
      </c>
      <c r="L479" s="6" t="s">
        <v>1746</v>
      </c>
      <c r="M479" s="6" t="s">
        <v>2319</v>
      </c>
      <c r="N479" s="6"/>
      <c r="O479" s="6"/>
      <c r="P479" s="6" t="s">
        <v>1748</v>
      </c>
      <c r="Q479" s="6"/>
      <c r="R479" s="6" t="s">
        <v>1680</v>
      </c>
      <c r="S479" s="6"/>
      <c r="T479" s="6"/>
      <c r="U479" s="6"/>
      <c r="V479" s="6"/>
      <c r="W479" s="6"/>
      <c r="X479" s="6"/>
      <c r="Y479" s="6"/>
      <c r="Z479" s="6"/>
      <c r="AA479" s="6" t="s">
        <v>89</v>
      </c>
      <c r="AB479" s="6" t="s">
        <v>2339</v>
      </c>
      <c r="AC479" s="6" t="s">
        <v>1906</v>
      </c>
      <c r="AD479" s="6" t="s">
        <v>2321</v>
      </c>
      <c r="AE479" s="6" t="s">
        <v>2322</v>
      </c>
      <c r="AF479" s="6" t="s">
        <v>2323</v>
      </c>
      <c r="AG479" s="6"/>
      <c r="AH479" s="6"/>
      <c r="AI479" s="7"/>
      <c r="AJ479" s="7"/>
      <c r="AK479" s="7"/>
      <c r="AL479" s="7"/>
      <c r="AM479" s="7"/>
      <c r="AN479" s="7"/>
      <c r="AO479" s="7"/>
      <c r="AP479" s="7"/>
      <c r="AQ479" s="7"/>
      <c r="AR479" s="7"/>
      <c r="AS479" s="7"/>
      <c r="AT479" s="7"/>
      <c r="AU479" s="7"/>
      <c r="AV479" s="7"/>
      <c r="AW479" s="7"/>
      <c r="AX479" s="7"/>
      <c r="AY479" s="7"/>
      <c r="AZ479" s="7"/>
    </row>
    <row r="480" customFormat="false" ht="150" hidden="false" customHeight="true" outlineLevel="0" collapsed="false">
      <c r="A480" s="6" t="s">
        <v>2340</v>
      </c>
      <c r="B480" s="6" t="s">
        <v>1875</v>
      </c>
      <c r="C480" s="6" t="s">
        <v>1876</v>
      </c>
      <c r="D480" s="6" t="s">
        <v>132</v>
      </c>
      <c r="E480" s="6" t="s">
        <v>133</v>
      </c>
      <c r="F480" s="6"/>
      <c r="G480" s="6" t="s">
        <v>1362</v>
      </c>
      <c r="H480" s="6" t="s">
        <v>1330</v>
      </c>
      <c r="I480" s="6" t="s">
        <v>81</v>
      </c>
      <c r="J480" s="6" t="s">
        <v>621</v>
      </c>
      <c r="K480" s="6" t="s">
        <v>1745</v>
      </c>
      <c r="L480" s="6" t="s">
        <v>1746</v>
      </c>
      <c r="M480" s="6" t="s">
        <v>2319</v>
      </c>
      <c r="N480" s="6"/>
      <c r="O480" s="6"/>
      <c r="P480" s="6" t="s">
        <v>1748</v>
      </c>
      <c r="Q480" s="6"/>
      <c r="R480" s="6" t="s">
        <v>1680</v>
      </c>
      <c r="S480" s="6"/>
      <c r="T480" s="6"/>
      <c r="U480" s="6"/>
      <c r="V480" s="6"/>
      <c r="W480" s="6"/>
      <c r="X480" s="6"/>
      <c r="Y480" s="6"/>
      <c r="Z480" s="6"/>
      <c r="AA480" s="6" t="s">
        <v>89</v>
      </c>
      <c r="AB480" s="6" t="s">
        <v>2341</v>
      </c>
      <c r="AC480" s="6" t="s">
        <v>1909</v>
      </c>
      <c r="AD480" s="6" t="s">
        <v>2321</v>
      </c>
      <c r="AE480" s="6" t="s">
        <v>2322</v>
      </c>
      <c r="AF480" s="6" t="s">
        <v>2323</v>
      </c>
      <c r="AG480" s="6"/>
      <c r="AH480" s="6"/>
      <c r="AI480" s="7"/>
      <c r="AJ480" s="7"/>
      <c r="AK480" s="7"/>
      <c r="AL480" s="7"/>
      <c r="AM480" s="7"/>
      <c r="AN480" s="7"/>
      <c r="AO480" s="7"/>
      <c r="AP480" s="7"/>
      <c r="AQ480" s="7"/>
      <c r="AR480" s="7"/>
      <c r="AS480" s="7"/>
      <c r="AT480" s="7"/>
      <c r="AU480" s="7"/>
      <c r="AV480" s="7"/>
      <c r="AW480" s="7"/>
      <c r="AX480" s="7"/>
      <c r="AY480" s="7"/>
      <c r="AZ480" s="7"/>
    </row>
    <row r="481" customFormat="false" ht="150" hidden="false" customHeight="true" outlineLevel="0" collapsed="false">
      <c r="A481" s="6" t="s">
        <v>2342</v>
      </c>
      <c r="B481" s="6" t="s">
        <v>1875</v>
      </c>
      <c r="C481" s="6" t="s">
        <v>1876</v>
      </c>
      <c r="D481" s="6" t="s">
        <v>132</v>
      </c>
      <c r="E481" s="6" t="s">
        <v>133</v>
      </c>
      <c r="F481" s="6"/>
      <c r="G481" s="6" t="s">
        <v>1362</v>
      </c>
      <c r="H481" s="6" t="s">
        <v>1330</v>
      </c>
      <c r="I481" s="6" t="s">
        <v>81</v>
      </c>
      <c r="J481" s="6" t="s">
        <v>621</v>
      </c>
      <c r="K481" s="6" t="s">
        <v>1767</v>
      </c>
      <c r="L481" s="6" t="s">
        <v>1768</v>
      </c>
      <c r="M481" s="6" t="s">
        <v>2343</v>
      </c>
      <c r="N481" s="6"/>
      <c r="O481" s="6"/>
      <c r="P481" s="6"/>
      <c r="Q481" s="6"/>
      <c r="R481" s="6" t="s">
        <v>1680</v>
      </c>
      <c r="S481" s="6"/>
      <c r="T481" s="6"/>
      <c r="U481" s="6"/>
      <c r="V481" s="6"/>
      <c r="W481" s="6"/>
      <c r="X481" s="6"/>
      <c r="Y481" s="6"/>
      <c r="Z481" s="6"/>
      <c r="AA481" s="6" t="s">
        <v>89</v>
      </c>
      <c r="AB481" s="6" t="s">
        <v>2344</v>
      </c>
      <c r="AC481" s="6" t="s">
        <v>1879</v>
      </c>
      <c r="AD481" s="6" t="s">
        <v>2345</v>
      </c>
      <c r="AE481" s="6" t="s">
        <v>2346</v>
      </c>
      <c r="AF481" s="6" t="s">
        <v>2347</v>
      </c>
      <c r="AG481" s="6"/>
      <c r="AH481" s="6"/>
      <c r="AI481" s="7"/>
      <c r="AJ481" s="7"/>
      <c r="AK481" s="7"/>
      <c r="AL481" s="7"/>
      <c r="AM481" s="7"/>
      <c r="AN481" s="7"/>
      <c r="AO481" s="7"/>
      <c r="AP481" s="7"/>
      <c r="AQ481" s="7"/>
      <c r="AR481" s="7"/>
      <c r="AS481" s="7"/>
      <c r="AT481" s="7"/>
      <c r="AU481" s="7"/>
      <c r="AV481" s="7"/>
      <c r="AW481" s="7"/>
      <c r="AX481" s="7"/>
      <c r="AY481" s="7"/>
      <c r="AZ481" s="7"/>
    </row>
    <row r="482" customFormat="false" ht="150" hidden="false" customHeight="true" outlineLevel="0" collapsed="false">
      <c r="A482" s="6" t="s">
        <v>2348</v>
      </c>
      <c r="B482" s="6" t="s">
        <v>1875</v>
      </c>
      <c r="C482" s="6" t="s">
        <v>1876</v>
      </c>
      <c r="D482" s="6" t="s">
        <v>132</v>
      </c>
      <c r="E482" s="6" t="s">
        <v>133</v>
      </c>
      <c r="F482" s="6"/>
      <c r="G482" s="6" t="s">
        <v>1362</v>
      </c>
      <c r="H482" s="6" t="s">
        <v>1330</v>
      </c>
      <c r="I482" s="6" t="s">
        <v>81</v>
      </c>
      <c r="J482" s="6" t="s">
        <v>621</v>
      </c>
      <c r="K482" s="6" t="s">
        <v>1767</v>
      </c>
      <c r="L482" s="6" t="s">
        <v>1768</v>
      </c>
      <c r="M482" s="6" t="s">
        <v>2343</v>
      </c>
      <c r="N482" s="6"/>
      <c r="O482" s="6"/>
      <c r="P482" s="6"/>
      <c r="Q482" s="6"/>
      <c r="R482" s="6" t="s">
        <v>1680</v>
      </c>
      <c r="S482" s="6"/>
      <c r="T482" s="6"/>
      <c r="U482" s="6"/>
      <c r="V482" s="6"/>
      <c r="W482" s="6"/>
      <c r="X482" s="6"/>
      <c r="Y482" s="6"/>
      <c r="Z482" s="6"/>
      <c r="AA482" s="6" t="s">
        <v>89</v>
      </c>
      <c r="AB482" s="6" t="s">
        <v>2349</v>
      </c>
      <c r="AC482" s="6" t="s">
        <v>1885</v>
      </c>
      <c r="AD482" s="6" t="s">
        <v>2345</v>
      </c>
      <c r="AE482" s="6" t="s">
        <v>2346</v>
      </c>
      <c r="AF482" s="6" t="s">
        <v>2347</v>
      </c>
      <c r="AG482" s="6"/>
      <c r="AH482" s="6"/>
      <c r="AI482" s="7"/>
      <c r="AJ482" s="7"/>
      <c r="AK482" s="7"/>
      <c r="AL482" s="7"/>
      <c r="AM482" s="7"/>
      <c r="AN482" s="7"/>
      <c r="AO482" s="7"/>
      <c r="AP482" s="7"/>
      <c r="AQ482" s="7"/>
      <c r="AR482" s="7"/>
      <c r="AS482" s="7"/>
      <c r="AT482" s="7"/>
      <c r="AU482" s="7"/>
      <c r="AV482" s="7"/>
      <c r="AW482" s="7"/>
      <c r="AX482" s="7"/>
      <c r="AY482" s="7"/>
      <c r="AZ482" s="7"/>
    </row>
    <row r="483" customFormat="false" ht="150" hidden="false" customHeight="true" outlineLevel="0" collapsed="false">
      <c r="A483" s="6" t="s">
        <v>2350</v>
      </c>
      <c r="B483" s="6" t="s">
        <v>1875</v>
      </c>
      <c r="C483" s="6" t="s">
        <v>1876</v>
      </c>
      <c r="D483" s="6" t="s">
        <v>132</v>
      </c>
      <c r="E483" s="6" t="s">
        <v>133</v>
      </c>
      <c r="F483" s="6"/>
      <c r="G483" s="6" t="s">
        <v>1362</v>
      </c>
      <c r="H483" s="6" t="s">
        <v>1330</v>
      </c>
      <c r="I483" s="6" t="s">
        <v>81</v>
      </c>
      <c r="J483" s="6" t="s">
        <v>621</v>
      </c>
      <c r="K483" s="6" t="s">
        <v>1767</v>
      </c>
      <c r="L483" s="6" t="s">
        <v>1768</v>
      </c>
      <c r="M483" s="6" t="s">
        <v>2343</v>
      </c>
      <c r="N483" s="6"/>
      <c r="O483" s="6"/>
      <c r="P483" s="6"/>
      <c r="Q483" s="6"/>
      <c r="R483" s="6" t="s">
        <v>1680</v>
      </c>
      <c r="S483" s="6"/>
      <c r="T483" s="6"/>
      <c r="U483" s="6"/>
      <c r="V483" s="6"/>
      <c r="W483" s="6"/>
      <c r="X483" s="6"/>
      <c r="Y483" s="6"/>
      <c r="Z483" s="6"/>
      <c r="AA483" s="6" t="s">
        <v>89</v>
      </c>
      <c r="AB483" s="6" t="s">
        <v>2351</v>
      </c>
      <c r="AC483" s="6" t="s">
        <v>1888</v>
      </c>
      <c r="AD483" s="6" t="s">
        <v>2345</v>
      </c>
      <c r="AE483" s="6" t="s">
        <v>2346</v>
      </c>
      <c r="AF483" s="6" t="s">
        <v>2347</v>
      </c>
      <c r="AG483" s="6"/>
      <c r="AH483" s="6"/>
      <c r="AI483" s="7"/>
      <c r="AJ483" s="7"/>
      <c r="AK483" s="7"/>
      <c r="AL483" s="7"/>
      <c r="AM483" s="7"/>
      <c r="AN483" s="7"/>
      <c r="AO483" s="7"/>
      <c r="AP483" s="7"/>
      <c r="AQ483" s="7"/>
      <c r="AR483" s="7"/>
      <c r="AS483" s="7"/>
      <c r="AT483" s="7"/>
      <c r="AU483" s="7"/>
      <c r="AV483" s="7"/>
      <c r="AW483" s="7"/>
      <c r="AX483" s="7"/>
      <c r="AY483" s="7"/>
      <c r="AZ483" s="7"/>
    </row>
    <row r="484" customFormat="false" ht="150" hidden="false" customHeight="true" outlineLevel="0" collapsed="false">
      <c r="A484" s="6" t="s">
        <v>2352</v>
      </c>
      <c r="B484" s="6" t="s">
        <v>1875</v>
      </c>
      <c r="C484" s="6" t="s">
        <v>1876</v>
      </c>
      <c r="D484" s="6" t="s">
        <v>132</v>
      </c>
      <c r="E484" s="6" t="s">
        <v>133</v>
      </c>
      <c r="F484" s="6"/>
      <c r="G484" s="6" t="s">
        <v>1362</v>
      </c>
      <c r="H484" s="6" t="s">
        <v>1330</v>
      </c>
      <c r="I484" s="6" t="s">
        <v>81</v>
      </c>
      <c r="J484" s="6" t="s">
        <v>621</v>
      </c>
      <c r="K484" s="6" t="s">
        <v>1767</v>
      </c>
      <c r="L484" s="6" t="s">
        <v>1768</v>
      </c>
      <c r="M484" s="6" t="s">
        <v>2343</v>
      </c>
      <c r="N484" s="6"/>
      <c r="O484" s="6"/>
      <c r="P484" s="6"/>
      <c r="Q484" s="6"/>
      <c r="R484" s="6" t="s">
        <v>1680</v>
      </c>
      <c r="S484" s="6"/>
      <c r="T484" s="6"/>
      <c r="U484" s="6"/>
      <c r="V484" s="6"/>
      <c r="W484" s="6"/>
      <c r="X484" s="6"/>
      <c r="Y484" s="6"/>
      <c r="Z484" s="6"/>
      <c r="AA484" s="6" t="s">
        <v>89</v>
      </c>
      <c r="AB484" s="6" t="s">
        <v>2353</v>
      </c>
      <c r="AC484" s="6" t="s">
        <v>1891</v>
      </c>
      <c r="AD484" s="6" t="s">
        <v>2345</v>
      </c>
      <c r="AE484" s="6" t="s">
        <v>2346</v>
      </c>
      <c r="AF484" s="6" t="s">
        <v>2347</v>
      </c>
      <c r="AG484" s="6"/>
      <c r="AH484" s="6"/>
      <c r="AI484" s="7"/>
      <c r="AJ484" s="7"/>
      <c r="AK484" s="7"/>
      <c r="AL484" s="7"/>
      <c r="AM484" s="7"/>
      <c r="AN484" s="7"/>
      <c r="AO484" s="7"/>
      <c r="AP484" s="7"/>
      <c r="AQ484" s="7"/>
      <c r="AR484" s="7"/>
      <c r="AS484" s="7"/>
      <c r="AT484" s="7"/>
      <c r="AU484" s="7"/>
      <c r="AV484" s="7"/>
      <c r="AW484" s="7"/>
      <c r="AX484" s="7"/>
      <c r="AY484" s="7"/>
      <c r="AZ484" s="7"/>
    </row>
    <row r="485" customFormat="false" ht="150" hidden="false" customHeight="true" outlineLevel="0" collapsed="false">
      <c r="A485" s="6" t="s">
        <v>2354</v>
      </c>
      <c r="B485" s="6" t="s">
        <v>1875</v>
      </c>
      <c r="C485" s="6" t="s">
        <v>1876</v>
      </c>
      <c r="D485" s="6" t="s">
        <v>132</v>
      </c>
      <c r="E485" s="6" t="s">
        <v>133</v>
      </c>
      <c r="F485" s="6"/>
      <c r="G485" s="6" t="s">
        <v>1362</v>
      </c>
      <c r="H485" s="6" t="s">
        <v>1330</v>
      </c>
      <c r="I485" s="6" t="s">
        <v>81</v>
      </c>
      <c r="J485" s="6" t="s">
        <v>621</v>
      </c>
      <c r="K485" s="6" t="s">
        <v>1767</v>
      </c>
      <c r="L485" s="6" t="s">
        <v>1768</v>
      </c>
      <c r="M485" s="6" t="s">
        <v>2343</v>
      </c>
      <c r="N485" s="6"/>
      <c r="O485" s="6"/>
      <c r="P485" s="6"/>
      <c r="Q485" s="6"/>
      <c r="R485" s="6" t="s">
        <v>1680</v>
      </c>
      <c r="S485" s="6"/>
      <c r="T485" s="6"/>
      <c r="U485" s="6"/>
      <c r="V485" s="6"/>
      <c r="W485" s="6"/>
      <c r="X485" s="6"/>
      <c r="Y485" s="6"/>
      <c r="Z485" s="6"/>
      <c r="AA485" s="6" t="s">
        <v>89</v>
      </c>
      <c r="AB485" s="6" t="s">
        <v>2355</v>
      </c>
      <c r="AC485" s="6" t="s">
        <v>1894</v>
      </c>
      <c r="AD485" s="6" t="s">
        <v>2345</v>
      </c>
      <c r="AE485" s="6" t="s">
        <v>2346</v>
      </c>
      <c r="AF485" s="6" t="s">
        <v>2347</v>
      </c>
      <c r="AG485" s="6"/>
      <c r="AH485" s="6"/>
      <c r="AI485" s="7"/>
      <c r="AJ485" s="7"/>
      <c r="AK485" s="7"/>
      <c r="AL485" s="7"/>
      <c r="AM485" s="7"/>
      <c r="AN485" s="7"/>
      <c r="AO485" s="7"/>
      <c r="AP485" s="7"/>
      <c r="AQ485" s="7"/>
      <c r="AR485" s="7"/>
      <c r="AS485" s="7"/>
      <c r="AT485" s="7"/>
      <c r="AU485" s="7"/>
      <c r="AV485" s="7"/>
      <c r="AW485" s="7"/>
      <c r="AX485" s="7"/>
      <c r="AY485" s="7"/>
      <c r="AZ485" s="7"/>
    </row>
    <row r="486" customFormat="false" ht="150" hidden="false" customHeight="true" outlineLevel="0" collapsed="false">
      <c r="A486" s="6" t="s">
        <v>2356</v>
      </c>
      <c r="B486" s="6" t="s">
        <v>1875</v>
      </c>
      <c r="C486" s="6" t="s">
        <v>1876</v>
      </c>
      <c r="D486" s="6" t="s">
        <v>132</v>
      </c>
      <c r="E486" s="6" t="s">
        <v>133</v>
      </c>
      <c r="F486" s="6"/>
      <c r="G486" s="6" t="s">
        <v>1362</v>
      </c>
      <c r="H486" s="6" t="s">
        <v>1330</v>
      </c>
      <c r="I486" s="6" t="s">
        <v>81</v>
      </c>
      <c r="J486" s="6" t="s">
        <v>621</v>
      </c>
      <c r="K486" s="6" t="s">
        <v>1767</v>
      </c>
      <c r="L486" s="6" t="s">
        <v>1768</v>
      </c>
      <c r="M486" s="6" t="s">
        <v>2343</v>
      </c>
      <c r="N486" s="6"/>
      <c r="O486" s="6"/>
      <c r="P486" s="6"/>
      <c r="Q486" s="6"/>
      <c r="R486" s="6" t="s">
        <v>1680</v>
      </c>
      <c r="S486" s="6"/>
      <c r="T486" s="6"/>
      <c r="U486" s="6"/>
      <c r="V486" s="6"/>
      <c r="W486" s="6"/>
      <c r="X486" s="6"/>
      <c r="Y486" s="6"/>
      <c r="Z486" s="6"/>
      <c r="AA486" s="6" t="s">
        <v>89</v>
      </c>
      <c r="AB486" s="6" t="s">
        <v>2357</v>
      </c>
      <c r="AC486" s="6" t="s">
        <v>1897</v>
      </c>
      <c r="AD486" s="6" t="s">
        <v>2345</v>
      </c>
      <c r="AE486" s="6" t="s">
        <v>2346</v>
      </c>
      <c r="AF486" s="6" t="s">
        <v>2347</v>
      </c>
      <c r="AG486" s="6"/>
      <c r="AH486" s="6"/>
      <c r="AI486" s="7"/>
      <c r="AJ486" s="7"/>
      <c r="AK486" s="7"/>
      <c r="AL486" s="7"/>
      <c r="AM486" s="7"/>
      <c r="AN486" s="7"/>
      <c r="AO486" s="7"/>
      <c r="AP486" s="7"/>
      <c r="AQ486" s="7"/>
      <c r="AR486" s="7"/>
      <c r="AS486" s="7"/>
      <c r="AT486" s="7"/>
      <c r="AU486" s="7"/>
      <c r="AV486" s="7"/>
      <c r="AW486" s="7"/>
      <c r="AX486" s="7"/>
      <c r="AY486" s="7"/>
      <c r="AZ486" s="7"/>
    </row>
    <row r="487" customFormat="false" ht="150" hidden="false" customHeight="true" outlineLevel="0" collapsed="false">
      <c r="A487" s="6" t="s">
        <v>2358</v>
      </c>
      <c r="B487" s="6" t="s">
        <v>1875</v>
      </c>
      <c r="C487" s="6" t="s">
        <v>1876</v>
      </c>
      <c r="D487" s="6" t="s">
        <v>132</v>
      </c>
      <c r="E487" s="6" t="s">
        <v>133</v>
      </c>
      <c r="F487" s="6"/>
      <c r="G487" s="6" t="s">
        <v>1362</v>
      </c>
      <c r="H487" s="6" t="s">
        <v>1330</v>
      </c>
      <c r="I487" s="6" t="s">
        <v>81</v>
      </c>
      <c r="J487" s="6" t="s">
        <v>621</v>
      </c>
      <c r="K487" s="6" t="s">
        <v>1767</v>
      </c>
      <c r="L487" s="6" t="s">
        <v>1768</v>
      </c>
      <c r="M487" s="6" t="s">
        <v>2343</v>
      </c>
      <c r="N487" s="6"/>
      <c r="O487" s="6"/>
      <c r="P487" s="6"/>
      <c r="Q487" s="6"/>
      <c r="R487" s="6" t="s">
        <v>1680</v>
      </c>
      <c r="S487" s="6"/>
      <c r="T487" s="6"/>
      <c r="U487" s="6"/>
      <c r="V487" s="6"/>
      <c r="W487" s="6"/>
      <c r="X487" s="6"/>
      <c r="Y487" s="6"/>
      <c r="Z487" s="6"/>
      <c r="AA487" s="6" t="s">
        <v>89</v>
      </c>
      <c r="AB487" s="6" t="s">
        <v>2359</v>
      </c>
      <c r="AC487" s="6" t="s">
        <v>1900</v>
      </c>
      <c r="AD487" s="6" t="s">
        <v>2345</v>
      </c>
      <c r="AE487" s="6" t="s">
        <v>2346</v>
      </c>
      <c r="AF487" s="6" t="s">
        <v>2347</v>
      </c>
      <c r="AG487" s="6"/>
      <c r="AH487" s="6"/>
      <c r="AI487" s="7"/>
      <c r="AJ487" s="7"/>
      <c r="AK487" s="7"/>
      <c r="AL487" s="7"/>
      <c r="AM487" s="7"/>
      <c r="AN487" s="7"/>
      <c r="AO487" s="7"/>
      <c r="AP487" s="7"/>
      <c r="AQ487" s="7"/>
      <c r="AR487" s="7"/>
      <c r="AS487" s="7"/>
      <c r="AT487" s="7"/>
      <c r="AU487" s="7"/>
      <c r="AV487" s="7"/>
      <c r="AW487" s="7"/>
      <c r="AX487" s="7"/>
      <c r="AY487" s="7"/>
      <c r="AZ487" s="7"/>
    </row>
    <row r="488" customFormat="false" ht="150" hidden="false" customHeight="true" outlineLevel="0" collapsed="false">
      <c r="A488" s="6" t="s">
        <v>2360</v>
      </c>
      <c r="B488" s="6" t="s">
        <v>1875</v>
      </c>
      <c r="C488" s="6" t="s">
        <v>1876</v>
      </c>
      <c r="D488" s="6" t="s">
        <v>132</v>
      </c>
      <c r="E488" s="6" t="s">
        <v>133</v>
      </c>
      <c r="F488" s="6"/>
      <c r="G488" s="6" t="s">
        <v>1362</v>
      </c>
      <c r="H488" s="6" t="s">
        <v>1330</v>
      </c>
      <c r="I488" s="6" t="s">
        <v>81</v>
      </c>
      <c r="J488" s="6" t="s">
        <v>621</v>
      </c>
      <c r="K488" s="6" t="s">
        <v>1767</v>
      </c>
      <c r="L488" s="6" t="s">
        <v>1768</v>
      </c>
      <c r="M488" s="6" t="s">
        <v>2343</v>
      </c>
      <c r="N488" s="6"/>
      <c r="O488" s="6"/>
      <c r="P488" s="6"/>
      <c r="Q488" s="6"/>
      <c r="R488" s="6" t="s">
        <v>1680</v>
      </c>
      <c r="S488" s="6"/>
      <c r="T488" s="6"/>
      <c r="U488" s="6"/>
      <c r="V488" s="6"/>
      <c r="W488" s="6"/>
      <c r="X488" s="6"/>
      <c r="Y488" s="6"/>
      <c r="Z488" s="6"/>
      <c r="AA488" s="6" t="s">
        <v>89</v>
      </c>
      <c r="AB488" s="6" t="s">
        <v>2361</v>
      </c>
      <c r="AC488" s="6" t="s">
        <v>1903</v>
      </c>
      <c r="AD488" s="6" t="s">
        <v>2345</v>
      </c>
      <c r="AE488" s="6" t="s">
        <v>2346</v>
      </c>
      <c r="AF488" s="6" t="s">
        <v>2347</v>
      </c>
      <c r="AG488" s="6"/>
      <c r="AH488" s="6"/>
      <c r="AI488" s="7"/>
      <c r="AJ488" s="7"/>
      <c r="AK488" s="7"/>
      <c r="AL488" s="7"/>
      <c r="AM488" s="7"/>
      <c r="AN488" s="7"/>
      <c r="AO488" s="7"/>
      <c r="AP488" s="7"/>
      <c r="AQ488" s="7"/>
      <c r="AR488" s="7"/>
      <c r="AS488" s="7"/>
      <c r="AT488" s="7"/>
      <c r="AU488" s="7"/>
      <c r="AV488" s="7"/>
      <c r="AW488" s="7"/>
      <c r="AX488" s="7"/>
      <c r="AY488" s="7"/>
      <c r="AZ488" s="7"/>
    </row>
    <row r="489" customFormat="false" ht="150" hidden="false" customHeight="true" outlineLevel="0" collapsed="false">
      <c r="A489" s="6" t="s">
        <v>2362</v>
      </c>
      <c r="B489" s="6" t="s">
        <v>1875</v>
      </c>
      <c r="C489" s="6" t="s">
        <v>1876</v>
      </c>
      <c r="D489" s="6" t="s">
        <v>132</v>
      </c>
      <c r="E489" s="6" t="s">
        <v>133</v>
      </c>
      <c r="F489" s="6"/>
      <c r="G489" s="6" t="s">
        <v>1362</v>
      </c>
      <c r="H489" s="6" t="s">
        <v>1330</v>
      </c>
      <c r="I489" s="6" t="s">
        <v>81</v>
      </c>
      <c r="J489" s="6" t="s">
        <v>621</v>
      </c>
      <c r="K489" s="6" t="s">
        <v>1767</v>
      </c>
      <c r="L489" s="6" t="s">
        <v>1768</v>
      </c>
      <c r="M489" s="6" t="s">
        <v>2343</v>
      </c>
      <c r="N489" s="6"/>
      <c r="O489" s="6"/>
      <c r="P489" s="6"/>
      <c r="Q489" s="6"/>
      <c r="R489" s="6" t="s">
        <v>1680</v>
      </c>
      <c r="S489" s="6"/>
      <c r="T489" s="6"/>
      <c r="U489" s="6"/>
      <c r="V489" s="6"/>
      <c r="W489" s="6"/>
      <c r="X489" s="6"/>
      <c r="Y489" s="6"/>
      <c r="Z489" s="6"/>
      <c r="AA489" s="6" t="s">
        <v>89</v>
      </c>
      <c r="AB489" s="6" t="s">
        <v>2363</v>
      </c>
      <c r="AC489" s="6" t="s">
        <v>1906</v>
      </c>
      <c r="AD489" s="6" t="s">
        <v>2345</v>
      </c>
      <c r="AE489" s="6" t="s">
        <v>2346</v>
      </c>
      <c r="AF489" s="6" t="s">
        <v>2347</v>
      </c>
      <c r="AG489" s="6"/>
      <c r="AH489" s="6"/>
      <c r="AI489" s="7"/>
      <c r="AJ489" s="7"/>
      <c r="AK489" s="7"/>
      <c r="AL489" s="7"/>
      <c r="AM489" s="7"/>
      <c r="AN489" s="7"/>
      <c r="AO489" s="7"/>
      <c r="AP489" s="7"/>
      <c r="AQ489" s="7"/>
      <c r="AR489" s="7"/>
      <c r="AS489" s="7"/>
      <c r="AT489" s="7"/>
      <c r="AU489" s="7"/>
      <c r="AV489" s="7"/>
      <c r="AW489" s="7"/>
      <c r="AX489" s="7"/>
      <c r="AY489" s="7"/>
      <c r="AZ489" s="7"/>
    </row>
    <row r="490" customFormat="false" ht="150" hidden="false" customHeight="true" outlineLevel="0" collapsed="false">
      <c r="A490" s="6" t="s">
        <v>2364</v>
      </c>
      <c r="B490" s="6" t="s">
        <v>1875</v>
      </c>
      <c r="C490" s="6" t="s">
        <v>1876</v>
      </c>
      <c r="D490" s="6" t="s">
        <v>132</v>
      </c>
      <c r="E490" s="6" t="s">
        <v>133</v>
      </c>
      <c r="F490" s="6"/>
      <c r="G490" s="6" t="s">
        <v>1362</v>
      </c>
      <c r="H490" s="6" t="s">
        <v>1330</v>
      </c>
      <c r="I490" s="6" t="s">
        <v>81</v>
      </c>
      <c r="J490" s="6" t="s">
        <v>621</v>
      </c>
      <c r="K490" s="6" t="s">
        <v>1767</v>
      </c>
      <c r="L490" s="6" t="s">
        <v>1768</v>
      </c>
      <c r="M490" s="6" t="s">
        <v>2343</v>
      </c>
      <c r="N490" s="6"/>
      <c r="O490" s="6"/>
      <c r="P490" s="6"/>
      <c r="Q490" s="6"/>
      <c r="R490" s="6" t="s">
        <v>1680</v>
      </c>
      <c r="S490" s="6"/>
      <c r="T490" s="6"/>
      <c r="U490" s="6"/>
      <c r="V490" s="6"/>
      <c r="W490" s="6"/>
      <c r="X490" s="6"/>
      <c r="Y490" s="6"/>
      <c r="Z490" s="6"/>
      <c r="AA490" s="6" t="s">
        <v>89</v>
      </c>
      <c r="AB490" s="6" t="s">
        <v>2365</v>
      </c>
      <c r="AC490" s="6" t="s">
        <v>1909</v>
      </c>
      <c r="AD490" s="6" t="s">
        <v>2345</v>
      </c>
      <c r="AE490" s="6" t="s">
        <v>2346</v>
      </c>
      <c r="AF490" s="6" t="s">
        <v>2347</v>
      </c>
      <c r="AG490" s="6"/>
      <c r="AH490" s="6"/>
      <c r="AI490" s="7"/>
      <c r="AJ490" s="7"/>
      <c r="AK490" s="7"/>
      <c r="AL490" s="7"/>
      <c r="AM490" s="7"/>
      <c r="AN490" s="7"/>
      <c r="AO490" s="7"/>
      <c r="AP490" s="7"/>
      <c r="AQ490" s="7"/>
      <c r="AR490" s="7"/>
      <c r="AS490" s="7"/>
      <c r="AT490" s="7"/>
      <c r="AU490" s="7"/>
      <c r="AV490" s="7"/>
      <c r="AW490" s="7"/>
      <c r="AX490" s="7"/>
      <c r="AY490" s="7"/>
      <c r="AZ490" s="7"/>
    </row>
    <row r="491" customFormat="false" ht="150" hidden="false" customHeight="true" outlineLevel="0" collapsed="false">
      <c r="A491" s="6" t="s">
        <v>2366</v>
      </c>
      <c r="B491" s="6" t="s">
        <v>1875</v>
      </c>
      <c r="C491" s="6" t="s">
        <v>1876</v>
      </c>
      <c r="D491" s="6" t="s">
        <v>145</v>
      </c>
      <c r="E491" s="6" t="s">
        <v>146</v>
      </c>
      <c r="F491" s="6"/>
      <c r="G491" s="6" t="s">
        <v>1362</v>
      </c>
      <c r="H491" s="6" t="s">
        <v>1330</v>
      </c>
      <c r="I491" s="6" t="s">
        <v>81</v>
      </c>
      <c r="J491" s="6" t="s">
        <v>621</v>
      </c>
      <c r="K491" s="6" t="s">
        <v>304</v>
      </c>
      <c r="L491" s="6" t="s">
        <v>305</v>
      </c>
      <c r="M491" s="6" t="s">
        <v>2367</v>
      </c>
      <c r="N491" s="6"/>
      <c r="O491" s="6"/>
      <c r="P491" s="6" t="s">
        <v>200</v>
      </c>
      <c r="Q491" s="6" t="s">
        <v>268</v>
      </c>
      <c r="R491" s="6" t="s">
        <v>306</v>
      </c>
      <c r="S491" s="6"/>
      <c r="T491" s="6"/>
      <c r="U491" s="6"/>
      <c r="V491" s="6"/>
      <c r="W491" s="6"/>
      <c r="X491" s="6"/>
      <c r="Y491" s="6"/>
      <c r="Z491" s="6"/>
      <c r="AA491" s="6" t="s">
        <v>89</v>
      </c>
      <c r="AB491" s="6" t="s">
        <v>2368</v>
      </c>
      <c r="AC491" s="6" t="s">
        <v>1879</v>
      </c>
      <c r="AD491" s="6" t="s">
        <v>2369</v>
      </c>
      <c r="AE491" s="6" t="s">
        <v>2370</v>
      </c>
      <c r="AF491" s="6" t="s">
        <v>2371</v>
      </c>
      <c r="AG491" s="6"/>
      <c r="AH491" s="6"/>
      <c r="AI491" s="7"/>
      <c r="AJ491" s="7"/>
      <c r="AK491" s="7"/>
      <c r="AL491" s="7"/>
      <c r="AM491" s="7"/>
      <c r="AN491" s="7"/>
      <c r="AO491" s="7"/>
      <c r="AP491" s="7"/>
      <c r="AQ491" s="7"/>
      <c r="AR491" s="7"/>
      <c r="AS491" s="7"/>
      <c r="AT491" s="7"/>
      <c r="AU491" s="7"/>
      <c r="AV491" s="7"/>
      <c r="AW491" s="7"/>
      <c r="AX491" s="7"/>
      <c r="AY491" s="7"/>
      <c r="AZ491" s="7"/>
    </row>
    <row r="492" customFormat="false" ht="150" hidden="false" customHeight="true" outlineLevel="0" collapsed="false">
      <c r="A492" s="6" t="s">
        <v>2372</v>
      </c>
      <c r="B492" s="6" t="s">
        <v>1875</v>
      </c>
      <c r="C492" s="6" t="s">
        <v>1876</v>
      </c>
      <c r="D492" s="6" t="s">
        <v>145</v>
      </c>
      <c r="E492" s="6" t="s">
        <v>146</v>
      </c>
      <c r="F492" s="6"/>
      <c r="G492" s="6" t="s">
        <v>1362</v>
      </c>
      <c r="H492" s="6" t="s">
        <v>1330</v>
      </c>
      <c r="I492" s="6" t="s">
        <v>81</v>
      </c>
      <c r="J492" s="6" t="s">
        <v>621</v>
      </c>
      <c r="K492" s="6" t="s">
        <v>304</v>
      </c>
      <c r="L492" s="6" t="s">
        <v>305</v>
      </c>
      <c r="M492" s="6" t="s">
        <v>2367</v>
      </c>
      <c r="N492" s="6"/>
      <c r="O492" s="6"/>
      <c r="P492" s="6" t="s">
        <v>200</v>
      </c>
      <c r="Q492" s="6" t="s">
        <v>268</v>
      </c>
      <c r="R492" s="6" t="s">
        <v>306</v>
      </c>
      <c r="S492" s="6"/>
      <c r="T492" s="6"/>
      <c r="U492" s="6"/>
      <c r="V492" s="6"/>
      <c r="W492" s="6"/>
      <c r="X492" s="6"/>
      <c r="Y492" s="6"/>
      <c r="Z492" s="6"/>
      <c r="AA492" s="6" t="s">
        <v>89</v>
      </c>
      <c r="AB492" s="6" t="s">
        <v>2373</v>
      </c>
      <c r="AC492" s="6" t="s">
        <v>1885</v>
      </c>
      <c r="AD492" s="6" t="s">
        <v>2369</v>
      </c>
      <c r="AE492" s="6" t="s">
        <v>2370</v>
      </c>
      <c r="AF492" s="6" t="s">
        <v>2371</v>
      </c>
      <c r="AG492" s="6"/>
      <c r="AH492" s="6"/>
      <c r="AI492" s="7"/>
      <c r="AJ492" s="7"/>
      <c r="AK492" s="7"/>
      <c r="AL492" s="7"/>
      <c r="AM492" s="7"/>
      <c r="AN492" s="7"/>
      <c r="AO492" s="7"/>
      <c r="AP492" s="7"/>
      <c r="AQ492" s="7"/>
      <c r="AR492" s="7"/>
      <c r="AS492" s="7"/>
      <c r="AT492" s="7"/>
      <c r="AU492" s="7"/>
      <c r="AV492" s="7"/>
      <c r="AW492" s="7"/>
      <c r="AX492" s="7"/>
      <c r="AY492" s="7"/>
      <c r="AZ492" s="7"/>
    </row>
    <row r="493" customFormat="false" ht="150" hidden="false" customHeight="true" outlineLevel="0" collapsed="false">
      <c r="A493" s="6" t="s">
        <v>2374</v>
      </c>
      <c r="B493" s="6" t="s">
        <v>1875</v>
      </c>
      <c r="C493" s="6" t="s">
        <v>1876</v>
      </c>
      <c r="D493" s="6" t="s">
        <v>145</v>
      </c>
      <c r="E493" s="6" t="s">
        <v>146</v>
      </c>
      <c r="F493" s="6"/>
      <c r="G493" s="6" t="s">
        <v>1362</v>
      </c>
      <c r="H493" s="6" t="s">
        <v>1330</v>
      </c>
      <c r="I493" s="6" t="s">
        <v>81</v>
      </c>
      <c r="J493" s="6" t="s">
        <v>621</v>
      </c>
      <c r="K493" s="6" t="s">
        <v>304</v>
      </c>
      <c r="L493" s="6" t="s">
        <v>305</v>
      </c>
      <c r="M493" s="6" t="s">
        <v>2367</v>
      </c>
      <c r="N493" s="6"/>
      <c r="O493" s="6"/>
      <c r="P493" s="6" t="s">
        <v>200</v>
      </c>
      <c r="Q493" s="6" t="s">
        <v>268</v>
      </c>
      <c r="R493" s="6" t="s">
        <v>306</v>
      </c>
      <c r="S493" s="6"/>
      <c r="T493" s="6"/>
      <c r="U493" s="6"/>
      <c r="V493" s="6"/>
      <c r="W493" s="6"/>
      <c r="X493" s="6"/>
      <c r="Y493" s="6"/>
      <c r="Z493" s="6"/>
      <c r="AA493" s="6" t="s">
        <v>89</v>
      </c>
      <c r="AB493" s="6" t="s">
        <v>2375</v>
      </c>
      <c r="AC493" s="6" t="s">
        <v>1888</v>
      </c>
      <c r="AD493" s="6" t="s">
        <v>2369</v>
      </c>
      <c r="AE493" s="6" t="s">
        <v>2370</v>
      </c>
      <c r="AF493" s="6" t="s">
        <v>2371</v>
      </c>
      <c r="AG493" s="6"/>
      <c r="AH493" s="6"/>
      <c r="AI493" s="7"/>
      <c r="AJ493" s="7"/>
      <c r="AK493" s="7"/>
      <c r="AL493" s="7"/>
      <c r="AM493" s="7"/>
      <c r="AN493" s="7"/>
      <c r="AO493" s="7"/>
      <c r="AP493" s="7"/>
      <c r="AQ493" s="7"/>
      <c r="AR493" s="7"/>
      <c r="AS493" s="7"/>
      <c r="AT493" s="7"/>
      <c r="AU493" s="7"/>
      <c r="AV493" s="7"/>
      <c r="AW493" s="7"/>
      <c r="AX493" s="7"/>
      <c r="AY493" s="7"/>
      <c r="AZ493" s="7"/>
    </row>
    <row r="494" customFormat="false" ht="150" hidden="false" customHeight="true" outlineLevel="0" collapsed="false">
      <c r="A494" s="6" t="s">
        <v>2376</v>
      </c>
      <c r="B494" s="6" t="s">
        <v>1875</v>
      </c>
      <c r="C494" s="6" t="s">
        <v>1876</v>
      </c>
      <c r="D494" s="6" t="s">
        <v>145</v>
      </c>
      <c r="E494" s="6" t="s">
        <v>146</v>
      </c>
      <c r="F494" s="6"/>
      <c r="G494" s="6" t="s">
        <v>1362</v>
      </c>
      <c r="H494" s="6" t="s">
        <v>1330</v>
      </c>
      <c r="I494" s="6" t="s">
        <v>81</v>
      </c>
      <c r="J494" s="6" t="s">
        <v>621</v>
      </c>
      <c r="K494" s="6" t="s">
        <v>304</v>
      </c>
      <c r="L494" s="6" t="s">
        <v>305</v>
      </c>
      <c r="M494" s="6" t="s">
        <v>2367</v>
      </c>
      <c r="N494" s="6"/>
      <c r="O494" s="6"/>
      <c r="P494" s="6" t="s">
        <v>200</v>
      </c>
      <c r="Q494" s="6" t="s">
        <v>268</v>
      </c>
      <c r="R494" s="6" t="s">
        <v>306</v>
      </c>
      <c r="S494" s="6"/>
      <c r="T494" s="6"/>
      <c r="U494" s="6"/>
      <c r="V494" s="6"/>
      <c r="W494" s="6"/>
      <c r="X494" s="6"/>
      <c r="Y494" s="6"/>
      <c r="Z494" s="6"/>
      <c r="AA494" s="6" t="s">
        <v>89</v>
      </c>
      <c r="AB494" s="6" t="s">
        <v>2377</v>
      </c>
      <c r="AC494" s="6" t="s">
        <v>1891</v>
      </c>
      <c r="AD494" s="6" t="s">
        <v>2369</v>
      </c>
      <c r="AE494" s="6" t="s">
        <v>2370</v>
      </c>
      <c r="AF494" s="6" t="s">
        <v>2371</v>
      </c>
      <c r="AG494" s="6"/>
      <c r="AH494" s="6"/>
      <c r="AI494" s="7"/>
      <c r="AJ494" s="7"/>
      <c r="AK494" s="7"/>
      <c r="AL494" s="7"/>
      <c r="AM494" s="7"/>
      <c r="AN494" s="7"/>
      <c r="AO494" s="7"/>
      <c r="AP494" s="7"/>
      <c r="AQ494" s="7"/>
      <c r="AR494" s="7"/>
      <c r="AS494" s="7"/>
      <c r="AT494" s="7"/>
      <c r="AU494" s="7"/>
      <c r="AV494" s="7"/>
      <c r="AW494" s="7"/>
      <c r="AX494" s="7"/>
      <c r="AY494" s="7"/>
      <c r="AZ494" s="7"/>
    </row>
    <row r="495" customFormat="false" ht="150" hidden="false" customHeight="true" outlineLevel="0" collapsed="false">
      <c r="A495" s="6" t="s">
        <v>2378</v>
      </c>
      <c r="B495" s="6" t="s">
        <v>1875</v>
      </c>
      <c r="C495" s="6" t="s">
        <v>1876</v>
      </c>
      <c r="D495" s="6" t="s">
        <v>145</v>
      </c>
      <c r="E495" s="6" t="s">
        <v>146</v>
      </c>
      <c r="F495" s="6"/>
      <c r="G495" s="6" t="s">
        <v>1362</v>
      </c>
      <c r="H495" s="6" t="s">
        <v>1330</v>
      </c>
      <c r="I495" s="6" t="s">
        <v>81</v>
      </c>
      <c r="J495" s="6" t="s">
        <v>621</v>
      </c>
      <c r="K495" s="6" t="s">
        <v>304</v>
      </c>
      <c r="L495" s="6" t="s">
        <v>305</v>
      </c>
      <c r="M495" s="6" t="s">
        <v>2367</v>
      </c>
      <c r="N495" s="6"/>
      <c r="O495" s="6"/>
      <c r="P495" s="6" t="s">
        <v>200</v>
      </c>
      <c r="Q495" s="6" t="s">
        <v>268</v>
      </c>
      <c r="R495" s="6" t="s">
        <v>306</v>
      </c>
      <c r="S495" s="6"/>
      <c r="T495" s="6"/>
      <c r="U495" s="6"/>
      <c r="V495" s="6"/>
      <c r="W495" s="6"/>
      <c r="X495" s="6"/>
      <c r="Y495" s="6"/>
      <c r="Z495" s="6"/>
      <c r="AA495" s="6" t="s">
        <v>89</v>
      </c>
      <c r="AB495" s="6" t="s">
        <v>2379</v>
      </c>
      <c r="AC495" s="6" t="s">
        <v>1894</v>
      </c>
      <c r="AD495" s="6" t="s">
        <v>2369</v>
      </c>
      <c r="AE495" s="6" t="s">
        <v>2370</v>
      </c>
      <c r="AF495" s="6" t="s">
        <v>2371</v>
      </c>
      <c r="AG495" s="6"/>
      <c r="AH495" s="6"/>
      <c r="AI495" s="7"/>
      <c r="AJ495" s="7"/>
      <c r="AK495" s="7"/>
      <c r="AL495" s="7"/>
      <c r="AM495" s="7"/>
      <c r="AN495" s="7"/>
      <c r="AO495" s="7"/>
      <c r="AP495" s="7"/>
      <c r="AQ495" s="7"/>
      <c r="AR495" s="7"/>
      <c r="AS495" s="7"/>
      <c r="AT495" s="7"/>
      <c r="AU495" s="7"/>
      <c r="AV495" s="7"/>
      <c r="AW495" s="7"/>
      <c r="AX495" s="7"/>
      <c r="AY495" s="7"/>
      <c r="AZ495" s="7"/>
    </row>
    <row r="496" customFormat="false" ht="150" hidden="false" customHeight="true" outlineLevel="0" collapsed="false">
      <c r="A496" s="6" t="s">
        <v>2380</v>
      </c>
      <c r="B496" s="6" t="s">
        <v>1875</v>
      </c>
      <c r="C496" s="6" t="s">
        <v>1876</v>
      </c>
      <c r="D496" s="6" t="s">
        <v>145</v>
      </c>
      <c r="E496" s="6" t="s">
        <v>146</v>
      </c>
      <c r="F496" s="6"/>
      <c r="G496" s="6" t="s">
        <v>1362</v>
      </c>
      <c r="H496" s="6" t="s">
        <v>1330</v>
      </c>
      <c r="I496" s="6" t="s">
        <v>81</v>
      </c>
      <c r="J496" s="6" t="s">
        <v>621</v>
      </c>
      <c r="K496" s="6" t="s">
        <v>304</v>
      </c>
      <c r="L496" s="6" t="s">
        <v>305</v>
      </c>
      <c r="M496" s="6" t="s">
        <v>2367</v>
      </c>
      <c r="N496" s="6"/>
      <c r="O496" s="6"/>
      <c r="P496" s="6" t="s">
        <v>200</v>
      </c>
      <c r="Q496" s="6" t="s">
        <v>268</v>
      </c>
      <c r="R496" s="6" t="s">
        <v>306</v>
      </c>
      <c r="S496" s="6"/>
      <c r="T496" s="6"/>
      <c r="U496" s="6"/>
      <c r="V496" s="6"/>
      <c r="W496" s="6"/>
      <c r="X496" s="6"/>
      <c r="Y496" s="6"/>
      <c r="Z496" s="6"/>
      <c r="AA496" s="6" t="s">
        <v>89</v>
      </c>
      <c r="AB496" s="6" t="s">
        <v>2381</v>
      </c>
      <c r="AC496" s="6" t="s">
        <v>1897</v>
      </c>
      <c r="AD496" s="6" t="s">
        <v>2369</v>
      </c>
      <c r="AE496" s="6" t="s">
        <v>2370</v>
      </c>
      <c r="AF496" s="6" t="s">
        <v>2371</v>
      </c>
      <c r="AG496" s="6"/>
      <c r="AH496" s="6"/>
      <c r="AI496" s="7"/>
      <c r="AJ496" s="7"/>
      <c r="AK496" s="7"/>
      <c r="AL496" s="7"/>
      <c r="AM496" s="7"/>
      <c r="AN496" s="7"/>
      <c r="AO496" s="7"/>
      <c r="AP496" s="7"/>
      <c r="AQ496" s="7"/>
      <c r="AR496" s="7"/>
      <c r="AS496" s="7"/>
      <c r="AT496" s="7"/>
      <c r="AU496" s="7"/>
      <c r="AV496" s="7"/>
      <c r="AW496" s="7"/>
      <c r="AX496" s="7"/>
      <c r="AY496" s="7"/>
      <c r="AZ496" s="7"/>
    </row>
    <row r="497" customFormat="false" ht="150" hidden="false" customHeight="true" outlineLevel="0" collapsed="false">
      <c r="A497" s="6" t="s">
        <v>2382</v>
      </c>
      <c r="B497" s="6" t="s">
        <v>1875</v>
      </c>
      <c r="C497" s="6" t="s">
        <v>1876</v>
      </c>
      <c r="D497" s="6" t="s">
        <v>145</v>
      </c>
      <c r="E497" s="6" t="s">
        <v>146</v>
      </c>
      <c r="F497" s="6"/>
      <c r="G497" s="6" t="s">
        <v>1362</v>
      </c>
      <c r="H497" s="6" t="s">
        <v>1330</v>
      </c>
      <c r="I497" s="6" t="s">
        <v>81</v>
      </c>
      <c r="J497" s="6" t="s">
        <v>621</v>
      </c>
      <c r="K497" s="6" t="s">
        <v>304</v>
      </c>
      <c r="L497" s="6" t="s">
        <v>305</v>
      </c>
      <c r="M497" s="6" t="s">
        <v>2367</v>
      </c>
      <c r="N497" s="6"/>
      <c r="O497" s="6"/>
      <c r="P497" s="6" t="s">
        <v>200</v>
      </c>
      <c r="Q497" s="6" t="s">
        <v>268</v>
      </c>
      <c r="R497" s="6" t="s">
        <v>306</v>
      </c>
      <c r="S497" s="6"/>
      <c r="T497" s="6"/>
      <c r="U497" s="6"/>
      <c r="V497" s="6"/>
      <c r="W497" s="6"/>
      <c r="X497" s="6"/>
      <c r="Y497" s="6"/>
      <c r="Z497" s="6"/>
      <c r="AA497" s="6" t="s">
        <v>89</v>
      </c>
      <c r="AB497" s="6" t="s">
        <v>2383</v>
      </c>
      <c r="AC497" s="6" t="s">
        <v>1900</v>
      </c>
      <c r="AD497" s="6" t="s">
        <v>2369</v>
      </c>
      <c r="AE497" s="6" t="s">
        <v>2370</v>
      </c>
      <c r="AF497" s="6" t="s">
        <v>2371</v>
      </c>
      <c r="AG497" s="6"/>
      <c r="AH497" s="6"/>
      <c r="AI497" s="7"/>
      <c r="AJ497" s="7"/>
      <c r="AK497" s="7"/>
      <c r="AL497" s="7"/>
      <c r="AM497" s="7"/>
      <c r="AN497" s="7"/>
      <c r="AO497" s="7"/>
      <c r="AP497" s="7"/>
      <c r="AQ497" s="7"/>
      <c r="AR497" s="7"/>
      <c r="AS497" s="7"/>
      <c r="AT497" s="7"/>
      <c r="AU497" s="7"/>
      <c r="AV497" s="7"/>
      <c r="AW497" s="7"/>
      <c r="AX497" s="7"/>
      <c r="AY497" s="7"/>
      <c r="AZ497" s="7"/>
    </row>
    <row r="498" customFormat="false" ht="150" hidden="false" customHeight="true" outlineLevel="0" collapsed="false">
      <c r="A498" s="6" t="s">
        <v>2384</v>
      </c>
      <c r="B498" s="6" t="s">
        <v>1875</v>
      </c>
      <c r="C498" s="6" t="s">
        <v>1876</v>
      </c>
      <c r="D498" s="6" t="s">
        <v>145</v>
      </c>
      <c r="E498" s="6" t="s">
        <v>146</v>
      </c>
      <c r="F498" s="6"/>
      <c r="G498" s="6" t="s">
        <v>1362</v>
      </c>
      <c r="H498" s="6" t="s">
        <v>1330</v>
      </c>
      <c r="I498" s="6" t="s">
        <v>81</v>
      </c>
      <c r="J498" s="6" t="s">
        <v>621</v>
      </c>
      <c r="K498" s="6" t="s">
        <v>304</v>
      </c>
      <c r="L498" s="6" t="s">
        <v>305</v>
      </c>
      <c r="M498" s="6" t="s">
        <v>2367</v>
      </c>
      <c r="N498" s="6"/>
      <c r="O498" s="6"/>
      <c r="P498" s="6" t="s">
        <v>200</v>
      </c>
      <c r="Q498" s="6" t="s">
        <v>268</v>
      </c>
      <c r="R498" s="6" t="s">
        <v>306</v>
      </c>
      <c r="S498" s="6"/>
      <c r="T498" s="6"/>
      <c r="U498" s="6"/>
      <c r="V498" s="6"/>
      <c r="W498" s="6"/>
      <c r="X498" s="6"/>
      <c r="Y498" s="6"/>
      <c r="Z498" s="6"/>
      <c r="AA498" s="6" t="s">
        <v>89</v>
      </c>
      <c r="AB498" s="6" t="s">
        <v>2385</v>
      </c>
      <c r="AC498" s="6" t="s">
        <v>1903</v>
      </c>
      <c r="AD498" s="6" t="s">
        <v>2369</v>
      </c>
      <c r="AE498" s="6" t="s">
        <v>2370</v>
      </c>
      <c r="AF498" s="6" t="s">
        <v>2371</v>
      </c>
      <c r="AG498" s="6"/>
      <c r="AH498" s="6"/>
      <c r="AI498" s="7"/>
      <c r="AJ498" s="7"/>
      <c r="AK498" s="7"/>
      <c r="AL498" s="7"/>
      <c r="AM498" s="7"/>
      <c r="AN498" s="7"/>
      <c r="AO498" s="7"/>
      <c r="AP498" s="7"/>
      <c r="AQ498" s="7"/>
      <c r="AR498" s="7"/>
      <c r="AS498" s="7"/>
      <c r="AT498" s="7"/>
      <c r="AU498" s="7"/>
      <c r="AV498" s="7"/>
      <c r="AW498" s="7"/>
      <c r="AX498" s="7"/>
      <c r="AY498" s="7"/>
      <c r="AZ498" s="7"/>
    </row>
    <row r="499" customFormat="false" ht="150" hidden="false" customHeight="true" outlineLevel="0" collapsed="false">
      <c r="A499" s="6" t="s">
        <v>2386</v>
      </c>
      <c r="B499" s="6" t="s">
        <v>1875</v>
      </c>
      <c r="C499" s="6" t="s">
        <v>1876</v>
      </c>
      <c r="D499" s="6" t="s">
        <v>145</v>
      </c>
      <c r="E499" s="6" t="s">
        <v>146</v>
      </c>
      <c r="F499" s="6"/>
      <c r="G499" s="6" t="s">
        <v>1362</v>
      </c>
      <c r="H499" s="6" t="s">
        <v>1330</v>
      </c>
      <c r="I499" s="6" t="s">
        <v>81</v>
      </c>
      <c r="J499" s="6" t="s">
        <v>621</v>
      </c>
      <c r="K499" s="6" t="s">
        <v>304</v>
      </c>
      <c r="L499" s="6" t="s">
        <v>305</v>
      </c>
      <c r="M499" s="6" t="s">
        <v>2367</v>
      </c>
      <c r="N499" s="6"/>
      <c r="O499" s="6"/>
      <c r="P499" s="6" t="s">
        <v>200</v>
      </c>
      <c r="Q499" s="6" t="s">
        <v>268</v>
      </c>
      <c r="R499" s="6" t="s">
        <v>306</v>
      </c>
      <c r="S499" s="6"/>
      <c r="T499" s="6"/>
      <c r="U499" s="6"/>
      <c r="V499" s="6"/>
      <c r="W499" s="6"/>
      <c r="X499" s="6"/>
      <c r="Y499" s="6"/>
      <c r="Z499" s="6"/>
      <c r="AA499" s="6" t="s">
        <v>89</v>
      </c>
      <c r="AB499" s="6" t="s">
        <v>2387</v>
      </c>
      <c r="AC499" s="6" t="s">
        <v>1906</v>
      </c>
      <c r="AD499" s="6" t="s">
        <v>2369</v>
      </c>
      <c r="AE499" s="6" t="s">
        <v>2370</v>
      </c>
      <c r="AF499" s="6" t="s">
        <v>2371</v>
      </c>
      <c r="AG499" s="6"/>
      <c r="AH499" s="6"/>
      <c r="AI499" s="7"/>
      <c r="AJ499" s="7"/>
      <c r="AK499" s="7"/>
      <c r="AL499" s="7"/>
      <c r="AM499" s="7"/>
      <c r="AN499" s="7"/>
      <c r="AO499" s="7"/>
      <c r="AP499" s="7"/>
      <c r="AQ499" s="7"/>
      <c r="AR499" s="7"/>
      <c r="AS499" s="7"/>
      <c r="AT499" s="7"/>
      <c r="AU499" s="7"/>
      <c r="AV499" s="7"/>
      <c r="AW499" s="7"/>
      <c r="AX499" s="7"/>
      <c r="AY499" s="7"/>
      <c r="AZ499" s="7"/>
    </row>
    <row r="500" customFormat="false" ht="150" hidden="false" customHeight="true" outlineLevel="0" collapsed="false">
      <c r="A500" s="6" t="s">
        <v>2388</v>
      </c>
      <c r="B500" s="6" t="s">
        <v>1875</v>
      </c>
      <c r="C500" s="6" t="s">
        <v>1876</v>
      </c>
      <c r="D500" s="6" t="s">
        <v>145</v>
      </c>
      <c r="E500" s="6" t="s">
        <v>146</v>
      </c>
      <c r="F500" s="6"/>
      <c r="G500" s="6" t="s">
        <v>1362</v>
      </c>
      <c r="H500" s="6" t="s">
        <v>1330</v>
      </c>
      <c r="I500" s="6" t="s">
        <v>81</v>
      </c>
      <c r="J500" s="6" t="s">
        <v>621</v>
      </c>
      <c r="K500" s="6" t="s">
        <v>304</v>
      </c>
      <c r="L500" s="6" t="s">
        <v>305</v>
      </c>
      <c r="M500" s="6" t="s">
        <v>2367</v>
      </c>
      <c r="N500" s="6"/>
      <c r="O500" s="6"/>
      <c r="P500" s="6" t="s">
        <v>200</v>
      </c>
      <c r="Q500" s="6" t="s">
        <v>268</v>
      </c>
      <c r="R500" s="6" t="s">
        <v>306</v>
      </c>
      <c r="S500" s="6"/>
      <c r="T500" s="6"/>
      <c r="U500" s="6"/>
      <c r="V500" s="6"/>
      <c r="W500" s="6"/>
      <c r="X500" s="6"/>
      <c r="Y500" s="6"/>
      <c r="Z500" s="6"/>
      <c r="AA500" s="6" t="s">
        <v>89</v>
      </c>
      <c r="AB500" s="6" t="s">
        <v>2389</v>
      </c>
      <c r="AC500" s="6" t="s">
        <v>1909</v>
      </c>
      <c r="AD500" s="6" t="s">
        <v>2369</v>
      </c>
      <c r="AE500" s="6" t="s">
        <v>2370</v>
      </c>
      <c r="AF500" s="6" t="s">
        <v>2371</v>
      </c>
      <c r="AG500" s="6"/>
      <c r="AH500" s="6"/>
      <c r="AI500" s="7"/>
      <c r="AJ500" s="7"/>
      <c r="AK500" s="7"/>
      <c r="AL500" s="7"/>
      <c r="AM500" s="7"/>
      <c r="AN500" s="7"/>
      <c r="AO500" s="7"/>
      <c r="AP500" s="7"/>
      <c r="AQ500" s="7"/>
      <c r="AR500" s="7"/>
      <c r="AS500" s="7"/>
      <c r="AT500" s="7"/>
      <c r="AU500" s="7"/>
      <c r="AV500" s="7"/>
      <c r="AW500" s="7"/>
      <c r="AX500" s="7"/>
      <c r="AY500" s="7"/>
      <c r="AZ500" s="7"/>
    </row>
    <row r="501" customFormat="false" ht="150" hidden="false" customHeight="true" outlineLevel="0" collapsed="false">
      <c r="A501" s="6" t="s">
        <v>2390</v>
      </c>
      <c r="B501" s="6" t="s">
        <v>1875</v>
      </c>
      <c r="C501" s="6" t="s">
        <v>1876</v>
      </c>
      <c r="D501" s="6" t="s">
        <v>145</v>
      </c>
      <c r="E501" s="6" t="s">
        <v>146</v>
      </c>
      <c r="F501" s="6"/>
      <c r="G501" s="6" t="s">
        <v>1362</v>
      </c>
      <c r="H501" s="6" t="s">
        <v>1330</v>
      </c>
      <c r="I501" s="6" t="s">
        <v>81</v>
      </c>
      <c r="J501" s="6" t="s">
        <v>621</v>
      </c>
      <c r="K501" s="6" t="s">
        <v>1807</v>
      </c>
      <c r="L501" s="6" t="s">
        <v>1808</v>
      </c>
      <c r="M501" s="6" t="s">
        <v>2391</v>
      </c>
      <c r="N501" s="6"/>
      <c r="O501" s="6"/>
      <c r="P501" s="6" t="s">
        <v>1810</v>
      </c>
      <c r="Q501" s="6" t="s">
        <v>1811</v>
      </c>
      <c r="R501" s="6" t="s">
        <v>1812</v>
      </c>
      <c r="S501" s="6"/>
      <c r="T501" s="6"/>
      <c r="U501" s="6"/>
      <c r="V501" s="6"/>
      <c r="W501" s="6"/>
      <c r="X501" s="6"/>
      <c r="Y501" s="6"/>
      <c r="Z501" s="6"/>
      <c r="AA501" s="6" t="s">
        <v>89</v>
      </c>
      <c r="AB501" s="6" t="s">
        <v>2392</v>
      </c>
      <c r="AC501" s="6" t="s">
        <v>1879</v>
      </c>
      <c r="AD501" s="6" t="s">
        <v>2393</v>
      </c>
      <c r="AE501" s="6" t="s">
        <v>2394</v>
      </c>
      <c r="AF501" s="6" t="s">
        <v>2395</v>
      </c>
      <c r="AG501" s="6"/>
      <c r="AH501" s="6"/>
      <c r="AI501" s="7"/>
      <c r="AJ501" s="7"/>
      <c r="AK501" s="7"/>
      <c r="AL501" s="7"/>
      <c r="AM501" s="7"/>
      <c r="AN501" s="7"/>
      <c r="AO501" s="7"/>
      <c r="AP501" s="7"/>
      <c r="AQ501" s="7"/>
      <c r="AR501" s="7"/>
      <c r="AS501" s="7"/>
      <c r="AT501" s="7"/>
      <c r="AU501" s="7"/>
      <c r="AV501" s="7"/>
      <c r="AW501" s="7"/>
      <c r="AX501" s="7"/>
      <c r="AY501" s="7"/>
      <c r="AZ501" s="7"/>
    </row>
    <row r="502" customFormat="false" ht="150" hidden="false" customHeight="true" outlineLevel="0" collapsed="false">
      <c r="A502" s="6" t="s">
        <v>2396</v>
      </c>
      <c r="B502" s="6" t="s">
        <v>1875</v>
      </c>
      <c r="C502" s="6" t="s">
        <v>1876</v>
      </c>
      <c r="D502" s="6" t="s">
        <v>145</v>
      </c>
      <c r="E502" s="6" t="s">
        <v>146</v>
      </c>
      <c r="F502" s="6"/>
      <c r="G502" s="6" t="s">
        <v>1362</v>
      </c>
      <c r="H502" s="6" t="s">
        <v>1330</v>
      </c>
      <c r="I502" s="6" t="s">
        <v>81</v>
      </c>
      <c r="J502" s="6" t="s">
        <v>621</v>
      </c>
      <c r="K502" s="6" t="s">
        <v>1807</v>
      </c>
      <c r="L502" s="6" t="s">
        <v>1808</v>
      </c>
      <c r="M502" s="6" t="s">
        <v>2391</v>
      </c>
      <c r="N502" s="6"/>
      <c r="O502" s="6"/>
      <c r="P502" s="6" t="s">
        <v>1810</v>
      </c>
      <c r="Q502" s="6" t="s">
        <v>1811</v>
      </c>
      <c r="R502" s="6" t="s">
        <v>1812</v>
      </c>
      <c r="S502" s="6"/>
      <c r="T502" s="6"/>
      <c r="U502" s="6"/>
      <c r="V502" s="6"/>
      <c r="W502" s="6"/>
      <c r="X502" s="6"/>
      <c r="Y502" s="6"/>
      <c r="Z502" s="6"/>
      <c r="AA502" s="6" t="s">
        <v>89</v>
      </c>
      <c r="AB502" s="6" t="s">
        <v>2397</v>
      </c>
      <c r="AC502" s="6" t="s">
        <v>1885</v>
      </c>
      <c r="AD502" s="6" t="s">
        <v>2393</v>
      </c>
      <c r="AE502" s="6" t="s">
        <v>2394</v>
      </c>
      <c r="AF502" s="6" t="s">
        <v>2395</v>
      </c>
      <c r="AG502" s="6"/>
      <c r="AH502" s="6"/>
      <c r="AI502" s="7"/>
      <c r="AJ502" s="7"/>
      <c r="AK502" s="7"/>
      <c r="AL502" s="7"/>
      <c r="AM502" s="7"/>
      <c r="AN502" s="7"/>
      <c r="AO502" s="7"/>
      <c r="AP502" s="7"/>
      <c r="AQ502" s="7"/>
      <c r="AR502" s="7"/>
      <c r="AS502" s="7"/>
      <c r="AT502" s="7"/>
      <c r="AU502" s="7"/>
      <c r="AV502" s="7"/>
      <c r="AW502" s="7"/>
      <c r="AX502" s="7"/>
      <c r="AY502" s="7"/>
      <c r="AZ502" s="7"/>
    </row>
    <row r="503" customFormat="false" ht="150" hidden="false" customHeight="true" outlineLevel="0" collapsed="false">
      <c r="A503" s="6" t="s">
        <v>2398</v>
      </c>
      <c r="B503" s="6" t="s">
        <v>1875</v>
      </c>
      <c r="C503" s="6" t="s">
        <v>1876</v>
      </c>
      <c r="D503" s="6" t="s">
        <v>145</v>
      </c>
      <c r="E503" s="6" t="s">
        <v>146</v>
      </c>
      <c r="F503" s="6"/>
      <c r="G503" s="6" t="s">
        <v>1362</v>
      </c>
      <c r="H503" s="6" t="s">
        <v>1330</v>
      </c>
      <c r="I503" s="6" t="s">
        <v>81</v>
      </c>
      <c r="J503" s="6" t="s">
        <v>621</v>
      </c>
      <c r="K503" s="6" t="s">
        <v>1807</v>
      </c>
      <c r="L503" s="6" t="s">
        <v>1808</v>
      </c>
      <c r="M503" s="6" t="s">
        <v>2391</v>
      </c>
      <c r="N503" s="6"/>
      <c r="O503" s="6"/>
      <c r="P503" s="6" t="s">
        <v>1810</v>
      </c>
      <c r="Q503" s="6" t="s">
        <v>1811</v>
      </c>
      <c r="R503" s="6" t="s">
        <v>1812</v>
      </c>
      <c r="S503" s="6"/>
      <c r="T503" s="6"/>
      <c r="U503" s="6"/>
      <c r="V503" s="6"/>
      <c r="W503" s="6"/>
      <c r="X503" s="6"/>
      <c r="Y503" s="6"/>
      <c r="Z503" s="6"/>
      <c r="AA503" s="6" t="s">
        <v>89</v>
      </c>
      <c r="AB503" s="6" t="s">
        <v>2399</v>
      </c>
      <c r="AC503" s="6" t="s">
        <v>1888</v>
      </c>
      <c r="AD503" s="6" t="s">
        <v>2393</v>
      </c>
      <c r="AE503" s="6" t="s">
        <v>2394</v>
      </c>
      <c r="AF503" s="6" t="s">
        <v>2395</v>
      </c>
      <c r="AG503" s="6"/>
      <c r="AH503" s="6"/>
      <c r="AI503" s="7"/>
      <c r="AJ503" s="7"/>
      <c r="AK503" s="7"/>
      <c r="AL503" s="7"/>
      <c r="AM503" s="7"/>
      <c r="AN503" s="7"/>
      <c r="AO503" s="7"/>
      <c r="AP503" s="7"/>
      <c r="AQ503" s="7"/>
      <c r="AR503" s="7"/>
      <c r="AS503" s="7"/>
      <c r="AT503" s="7"/>
      <c r="AU503" s="7"/>
      <c r="AV503" s="7"/>
      <c r="AW503" s="7"/>
      <c r="AX503" s="7"/>
      <c r="AY503" s="7"/>
      <c r="AZ503" s="7"/>
    </row>
    <row r="504" customFormat="false" ht="150" hidden="false" customHeight="true" outlineLevel="0" collapsed="false">
      <c r="A504" s="6" t="s">
        <v>2400</v>
      </c>
      <c r="B504" s="6" t="s">
        <v>1875</v>
      </c>
      <c r="C504" s="6" t="s">
        <v>1876</v>
      </c>
      <c r="D504" s="6" t="s">
        <v>145</v>
      </c>
      <c r="E504" s="6" t="s">
        <v>146</v>
      </c>
      <c r="F504" s="6"/>
      <c r="G504" s="6" t="s">
        <v>1362</v>
      </c>
      <c r="H504" s="6" t="s">
        <v>1330</v>
      </c>
      <c r="I504" s="6" t="s">
        <v>81</v>
      </c>
      <c r="J504" s="6" t="s">
        <v>621</v>
      </c>
      <c r="K504" s="6" t="s">
        <v>1807</v>
      </c>
      <c r="L504" s="6" t="s">
        <v>1808</v>
      </c>
      <c r="M504" s="6" t="s">
        <v>2391</v>
      </c>
      <c r="N504" s="6"/>
      <c r="O504" s="6"/>
      <c r="P504" s="6" t="s">
        <v>1810</v>
      </c>
      <c r="Q504" s="6" t="s">
        <v>1811</v>
      </c>
      <c r="R504" s="6" t="s">
        <v>1812</v>
      </c>
      <c r="S504" s="6"/>
      <c r="T504" s="6"/>
      <c r="U504" s="6"/>
      <c r="V504" s="6"/>
      <c r="W504" s="6"/>
      <c r="X504" s="6"/>
      <c r="Y504" s="6"/>
      <c r="Z504" s="6"/>
      <c r="AA504" s="6" t="s">
        <v>89</v>
      </c>
      <c r="AB504" s="6" t="s">
        <v>2401</v>
      </c>
      <c r="AC504" s="6" t="s">
        <v>1891</v>
      </c>
      <c r="AD504" s="6" t="s">
        <v>2393</v>
      </c>
      <c r="AE504" s="6" t="s">
        <v>2394</v>
      </c>
      <c r="AF504" s="6" t="s">
        <v>2395</v>
      </c>
      <c r="AG504" s="6"/>
      <c r="AH504" s="6"/>
      <c r="AI504" s="7"/>
      <c r="AJ504" s="7"/>
      <c r="AK504" s="7"/>
      <c r="AL504" s="7"/>
      <c r="AM504" s="7"/>
      <c r="AN504" s="7"/>
      <c r="AO504" s="7"/>
      <c r="AP504" s="7"/>
      <c r="AQ504" s="7"/>
      <c r="AR504" s="7"/>
      <c r="AS504" s="7"/>
      <c r="AT504" s="7"/>
      <c r="AU504" s="7"/>
      <c r="AV504" s="7"/>
      <c r="AW504" s="7"/>
      <c r="AX504" s="7"/>
      <c r="AY504" s="7"/>
      <c r="AZ504" s="7"/>
    </row>
    <row r="505" customFormat="false" ht="150" hidden="false" customHeight="true" outlineLevel="0" collapsed="false">
      <c r="A505" s="6" t="s">
        <v>2402</v>
      </c>
      <c r="B505" s="6" t="s">
        <v>1875</v>
      </c>
      <c r="C505" s="6" t="s">
        <v>1876</v>
      </c>
      <c r="D505" s="6" t="s">
        <v>145</v>
      </c>
      <c r="E505" s="6" t="s">
        <v>146</v>
      </c>
      <c r="F505" s="6"/>
      <c r="G505" s="6" t="s">
        <v>1362</v>
      </c>
      <c r="H505" s="6" t="s">
        <v>1330</v>
      </c>
      <c r="I505" s="6" t="s">
        <v>81</v>
      </c>
      <c r="J505" s="6" t="s">
        <v>621</v>
      </c>
      <c r="K505" s="6" t="s">
        <v>1807</v>
      </c>
      <c r="L505" s="6" t="s">
        <v>1808</v>
      </c>
      <c r="M505" s="6" t="s">
        <v>2391</v>
      </c>
      <c r="N505" s="6"/>
      <c r="O505" s="6"/>
      <c r="P505" s="6" t="s">
        <v>1810</v>
      </c>
      <c r="Q505" s="6" t="s">
        <v>1811</v>
      </c>
      <c r="R505" s="6" t="s">
        <v>1812</v>
      </c>
      <c r="S505" s="6"/>
      <c r="T505" s="6"/>
      <c r="U505" s="6"/>
      <c r="V505" s="6"/>
      <c r="W505" s="6"/>
      <c r="X505" s="6"/>
      <c r="Y505" s="6"/>
      <c r="Z505" s="6"/>
      <c r="AA505" s="6" t="s">
        <v>89</v>
      </c>
      <c r="AB505" s="6" t="s">
        <v>2403</v>
      </c>
      <c r="AC505" s="6" t="s">
        <v>1894</v>
      </c>
      <c r="AD505" s="6" t="s">
        <v>2393</v>
      </c>
      <c r="AE505" s="6" t="s">
        <v>2394</v>
      </c>
      <c r="AF505" s="6" t="s">
        <v>2395</v>
      </c>
      <c r="AG505" s="6"/>
      <c r="AH505" s="6"/>
      <c r="AI505" s="7"/>
      <c r="AJ505" s="7"/>
      <c r="AK505" s="7"/>
      <c r="AL505" s="7"/>
      <c r="AM505" s="7"/>
      <c r="AN505" s="7"/>
      <c r="AO505" s="7"/>
      <c r="AP505" s="7"/>
      <c r="AQ505" s="7"/>
      <c r="AR505" s="7"/>
      <c r="AS505" s="7"/>
      <c r="AT505" s="7"/>
      <c r="AU505" s="7"/>
      <c r="AV505" s="7"/>
      <c r="AW505" s="7"/>
      <c r="AX505" s="7"/>
      <c r="AY505" s="7"/>
      <c r="AZ505" s="7"/>
    </row>
    <row r="506" customFormat="false" ht="150" hidden="false" customHeight="true" outlineLevel="0" collapsed="false">
      <c r="A506" s="6" t="s">
        <v>2404</v>
      </c>
      <c r="B506" s="6" t="s">
        <v>1875</v>
      </c>
      <c r="C506" s="6" t="s">
        <v>1876</v>
      </c>
      <c r="D506" s="6" t="s">
        <v>145</v>
      </c>
      <c r="E506" s="6" t="s">
        <v>146</v>
      </c>
      <c r="F506" s="6"/>
      <c r="G506" s="6" t="s">
        <v>1362</v>
      </c>
      <c r="H506" s="6" t="s">
        <v>1330</v>
      </c>
      <c r="I506" s="6" t="s">
        <v>81</v>
      </c>
      <c r="J506" s="6" t="s">
        <v>621</v>
      </c>
      <c r="K506" s="6" t="s">
        <v>1807</v>
      </c>
      <c r="L506" s="6" t="s">
        <v>1808</v>
      </c>
      <c r="M506" s="6" t="s">
        <v>2391</v>
      </c>
      <c r="N506" s="6"/>
      <c r="O506" s="6"/>
      <c r="P506" s="6" t="s">
        <v>1810</v>
      </c>
      <c r="Q506" s="6" t="s">
        <v>1811</v>
      </c>
      <c r="R506" s="6" t="s">
        <v>1812</v>
      </c>
      <c r="S506" s="6"/>
      <c r="T506" s="6"/>
      <c r="U506" s="6"/>
      <c r="V506" s="6"/>
      <c r="W506" s="6"/>
      <c r="X506" s="6"/>
      <c r="Y506" s="6"/>
      <c r="Z506" s="6"/>
      <c r="AA506" s="6" t="s">
        <v>89</v>
      </c>
      <c r="AB506" s="6" t="s">
        <v>2405</v>
      </c>
      <c r="AC506" s="6" t="s">
        <v>1897</v>
      </c>
      <c r="AD506" s="6" t="s">
        <v>2393</v>
      </c>
      <c r="AE506" s="6" t="s">
        <v>2394</v>
      </c>
      <c r="AF506" s="6" t="s">
        <v>2395</v>
      </c>
      <c r="AG506" s="6"/>
      <c r="AH506" s="6"/>
      <c r="AI506" s="7"/>
      <c r="AJ506" s="7"/>
      <c r="AK506" s="7"/>
      <c r="AL506" s="7"/>
      <c r="AM506" s="7"/>
      <c r="AN506" s="7"/>
      <c r="AO506" s="7"/>
      <c r="AP506" s="7"/>
      <c r="AQ506" s="7"/>
      <c r="AR506" s="7"/>
      <c r="AS506" s="7"/>
      <c r="AT506" s="7"/>
      <c r="AU506" s="7"/>
      <c r="AV506" s="7"/>
      <c r="AW506" s="7"/>
      <c r="AX506" s="7"/>
      <c r="AY506" s="7"/>
      <c r="AZ506" s="7"/>
    </row>
    <row r="507" customFormat="false" ht="150" hidden="false" customHeight="true" outlineLevel="0" collapsed="false">
      <c r="A507" s="6" t="s">
        <v>2406</v>
      </c>
      <c r="B507" s="6" t="s">
        <v>1875</v>
      </c>
      <c r="C507" s="6" t="s">
        <v>1876</v>
      </c>
      <c r="D507" s="6" t="s">
        <v>145</v>
      </c>
      <c r="E507" s="6" t="s">
        <v>146</v>
      </c>
      <c r="F507" s="6"/>
      <c r="G507" s="6" t="s">
        <v>1362</v>
      </c>
      <c r="H507" s="6" t="s">
        <v>1330</v>
      </c>
      <c r="I507" s="6" t="s">
        <v>81</v>
      </c>
      <c r="J507" s="6" t="s">
        <v>621</v>
      </c>
      <c r="K507" s="6" t="s">
        <v>1807</v>
      </c>
      <c r="L507" s="6" t="s">
        <v>1808</v>
      </c>
      <c r="M507" s="6" t="s">
        <v>2391</v>
      </c>
      <c r="N507" s="6"/>
      <c r="O507" s="6"/>
      <c r="P507" s="6" t="s">
        <v>1810</v>
      </c>
      <c r="Q507" s="6" t="s">
        <v>1811</v>
      </c>
      <c r="R507" s="6" t="s">
        <v>1812</v>
      </c>
      <c r="S507" s="6"/>
      <c r="T507" s="6"/>
      <c r="U507" s="6"/>
      <c r="V507" s="6"/>
      <c r="W507" s="6"/>
      <c r="X507" s="6"/>
      <c r="Y507" s="6"/>
      <c r="Z507" s="6"/>
      <c r="AA507" s="6" t="s">
        <v>89</v>
      </c>
      <c r="AB507" s="6" t="s">
        <v>2407</v>
      </c>
      <c r="AC507" s="6" t="s">
        <v>1900</v>
      </c>
      <c r="AD507" s="6" t="s">
        <v>2393</v>
      </c>
      <c r="AE507" s="6" t="s">
        <v>2394</v>
      </c>
      <c r="AF507" s="6" t="s">
        <v>2395</v>
      </c>
      <c r="AG507" s="6"/>
      <c r="AH507" s="6"/>
      <c r="AI507" s="7"/>
      <c r="AJ507" s="7"/>
      <c r="AK507" s="7"/>
      <c r="AL507" s="7"/>
      <c r="AM507" s="7"/>
      <c r="AN507" s="7"/>
      <c r="AO507" s="7"/>
      <c r="AP507" s="7"/>
      <c r="AQ507" s="7"/>
      <c r="AR507" s="7"/>
      <c r="AS507" s="7"/>
      <c r="AT507" s="7"/>
      <c r="AU507" s="7"/>
      <c r="AV507" s="7"/>
      <c r="AW507" s="7"/>
      <c r="AX507" s="7"/>
      <c r="AY507" s="7"/>
      <c r="AZ507" s="7"/>
    </row>
    <row r="508" customFormat="false" ht="150" hidden="false" customHeight="true" outlineLevel="0" collapsed="false">
      <c r="A508" s="6" t="s">
        <v>2408</v>
      </c>
      <c r="B508" s="6" t="s">
        <v>1875</v>
      </c>
      <c r="C508" s="6" t="s">
        <v>1876</v>
      </c>
      <c r="D508" s="6" t="s">
        <v>145</v>
      </c>
      <c r="E508" s="6" t="s">
        <v>146</v>
      </c>
      <c r="F508" s="6"/>
      <c r="G508" s="6" t="s">
        <v>1362</v>
      </c>
      <c r="H508" s="6" t="s">
        <v>1330</v>
      </c>
      <c r="I508" s="6" t="s">
        <v>81</v>
      </c>
      <c r="J508" s="6" t="s">
        <v>621</v>
      </c>
      <c r="K508" s="6" t="s">
        <v>1807</v>
      </c>
      <c r="L508" s="6" t="s">
        <v>1808</v>
      </c>
      <c r="M508" s="6" t="s">
        <v>2391</v>
      </c>
      <c r="N508" s="6"/>
      <c r="O508" s="6"/>
      <c r="P508" s="6" t="s">
        <v>1810</v>
      </c>
      <c r="Q508" s="6" t="s">
        <v>1811</v>
      </c>
      <c r="R508" s="6" t="s">
        <v>1812</v>
      </c>
      <c r="S508" s="6"/>
      <c r="T508" s="6"/>
      <c r="U508" s="6"/>
      <c r="V508" s="6"/>
      <c r="W508" s="6"/>
      <c r="X508" s="6"/>
      <c r="Y508" s="6"/>
      <c r="Z508" s="6"/>
      <c r="AA508" s="6" t="s">
        <v>89</v>
      </c>
      <c r="AB508" s="6" t="s">
        <v>2409</v>
      </c>
      <c r="AC508" s="6" t="s">
        <v>1903</v>
      </c>
      <c r="AD508" s="6" t="s">
        <v>2393</v>
      </c>
      <c r="AE508" s="6" t="s">
        <v>2394</v>
      </c>
      <c r="AF508" s="6" t="s">
        <v>2395</v>
      </c>
      <c r="AG508" s="6"/>
      <c r="AH508" s="6"/>
      <c r="AI508" s="7"/>
      <c r="AJ508" s="7"/>
      <c r="AK508" s="7"/>
      <c r="AL508" s="7"/>
      <c r="AM508" s="7"/>
      <c r="AN508" s="7"/>
      <c r="AO508" s="7"/>
      <c r="AP508" s="7"/>
      <c r="AQ508" s="7"/>
      <c r="AR508" s="7"/>
      <c r="AS508" s="7"/>
      <c r="AT508" s="7"/>
      <c r="AU508" s="7"/>
      <c r="AV508" s="7"/>
      <c r="AW508" s="7"/>
      <c r="AX508" s="7"/>
      <c r="AY508" s="7"/>
      <c r="AZ508" s="7"/>
    </row>
    <row r="509" customFormat="false" ht="150" hidden="false" customHeight="true" outlineLevel="0" collapsed="false">
      <c r="A509" s="6" t="s">
        <v>2410</v>
      </c>
      <c r="B509" s="6" t="s">
        <v>1875</v>
      </c>
      <c r="C509" s="6" t="s">
        <v>1876</v>
      </c>
      <c r="D509" s="6" t="s">
        <v>145</v>
      </c>
      <c r="E509" s="6" t="s">
        <v>146</v>
      </c>
      <c r="F509" s="6"/>
      <c r="G509" s="6" t="s">
        <v>1362</v>
      </c>
      <c r="H509" s="6" t="s">
        <v>1330</v>
      </c>
      <c r="I509" s="6" t="s">
        <v>81</v>
      </c>
      <c r="J509" s="6" t="s">
        <v>621</v>
      </c>
      <c r="K509" s="6" t="s">
        <v>1807</v>
      </c>
      <c r="L509" s="6" t="s">
        <v>1808</v>
      </c>
      <c r="M509" s="6" t="s">
        <v>2391</v>
      </c>
      <c r="N509" s="6"/>
      <c r="O509" s="6"/>
      <c r="P509" s="6" t="s">
        <v>1810</v>
      </c>
      <c r="Q509" s="6" t="s">
        <v>1811</v>
      </c>
      <c r="R509" s="6" t="s">
        <v>1812</v>
      </c>
      <c r="S509" s="6"/>
      <c r="T509" s="6"/>
      <c r="U509" s="6"/>
      <c r="V509" s="6"/>
      <c r="W509" s="6"/>
      <c r="X509" s="6"/>
      <c r="Y509" s="6"/>
      <c r="Z509" s="6"/>
      <c r="AA509" s="6" t="s">
        <v>89</v>
      </c>
      <c r="AB509" s="6" t="s">
        <v>2411</v>
      </c>
      <c r="AC509" s="6" t="s">
        <v>1906</v>
      </c>
      <c r="AD509" s="6" t="s">
        <v>2393</v>
      </c>
      <c r="AE509" s="6" t="s">
        <v>2394</v>
      </c>
      <c r="AF509" s="6" t="s">
        <v>2395</v>
      </c>
      <c r="AG509" s="6"/>
      <c r="AH509" s="6"/>
      <c r="AI509" s="7"/>
      <c r="AJ509" s="7"/>
      <c r="AK509" s="7"/>
      <c r="AL509" s="7"/>
      <c r="AM509" s="7"/>
      <c r="AN509" s="7"/>
      <c r="AO509" s="7"/>
      <c r="AP509" s="7"/>
      <c r="AQ509" s="7"/>
      <c r="AR509" s="7"/>
      <c r="AS509" s="7"/>
      <c r="AT509" s="7"/>
      <c r="AU509" s="7"/>
      <c r="AV509" s="7"/>
      <c r="AW509" s="7"/>
      <c r="AX509" s="7"/>
      <c r="AY509" s="7"/>
      <c r="AZ509" s="7"/>
    </row>
    <row r="510" customFormat="false" ht="150" hidden="false" customHeight="true" outlineLevel="0" collapsed="false">
      <c r="A510" s="6" t="s">
        <v>2412</v>
      </c>
      <c r="B510" s="6" t="s">
        <v>1875</v>
      </c>
      <c r="C510" s="6" t="s">
        <v>1876</v>
      </c>
      <c r="D510" s="6" t="s">
        <v>145</v>
      </c>
      <c r="E510" s="6" t="s">
        <v>146</v>
      </c>
      <c r="F510" s="6"/>
      <c r="G510" s="6" t="s">
        <v>1362</v>
      </c>
      <c r="H510" s="6" t="s">
        <v>1330</v>
      </c>
      <c r="I510" s="6" t="s">
        <v>81</v>
      </c>
      <c r="J510" s="6" t="s">
        <v>621</v>
      </c>
      <c r="K510" s="6" t="s">
        <v>1807</v>
      </c>
      <c r="L510" s="6" t="s">
        <v>1808</v>
      </c>
      <c r="M510" s="6" t="s">
        <v>2391</v>
      </c>
      <c r="N510" s="6"/>
      <c r="O510" s="6"/>
      <c r="P510" s="6" t="s">
        <v>1810</v>
      </c>
      <c r="Q510" s="6" t="s">
        <v>1811</v>
      </c>
      <c r="R510" s="6" t="s">
        <v>1812</v>
      </c>
      <c r="S510" s="6"/>
      <c r="T510" s="6"/>
      <c r="U510" s="6"/>
      <c r="V510" s="6"/>
      <c r="W510" s="6"/>
      <c r="X510" s="6"/>
      <c r="Y510" s="6"/>
      <c r="Z510" s="6"/>
      <c r="AA510" s="6" t="s">
        <v>89</v>
      </c>
      <c r="AB510" s="6" t="s">
        <v>2413</v>
      </c>
      <c r="AC510" s="6" t="s">
        <v>1909</v>
      </c>
      <c r="AD510" s="6" t="s">
        <v>2393</v>
      </c>
      <c r="AE510" s="6" t="s">
        <v>2394</v>
      </c>
      <c r="AF510" s="6" t="s">
        <v>2395</v>
      </c>
      <c r="AG510" s="6"/>
      <c r="AH510" s="6"/>
      <c r="AI510" s="7"/>
      <c r="AJ510" s="7"/>
      <c r="AK510" s="7"/>
      <c r="AL510" s="7"/>
      <c r="AM510" s="7"/>
      <c r="AN510" s="7"/>
      <c r="AO510" s="7"/>
      <c r="AP510" s="7"/>
      <c r="AQ510" s="7"/>
      <c r="AR510" s="7"/>
      <c r="AS510" s="7"/>
      <c r="AT510" s="7"/>
      <c r="AU510" s="7"/>
      <c r="AV510" s="7"/>
      <c r="AW510" s="7"/>
      <c r="AX510" s="7"/>
      <c r="AY510" s="7"/>
      <c r="AZ510" s="7"/>
    </row>
    <row r="511" customFormat="false" ht="150" hidden="false" customHeight="true" outlineLevel="0" collapsed="false">
      <c r="A511" s="6" t="s">
        <v>2414</v>
      </c>
      <c r="B511" s="6" t="s">
        <v>1875</v>
      </c>
      <c r="C511" s="6" t="s">
        <v>1876</v>
      </c>
      <c r="D511" s="6" t="s">
        <v>145</v>
      </c>
      <c r="E511" s="6" t="s">
        <v>146</v>
      </c>
      <c r="F511" s="6"/>
      <c r="G511" s="6" t="s">
        <v>1362</v>
      </c>
      <c r="H511" s="6" t="s">
        <v>1330</v>
      </c>
      <c r="I511" s="6" t="s">
        <v>81</v>
      </c>
      <c r="J511" s="6" t="s">
        <v>621</v>
      </c>
      <c r="K511" s="6" t="s">
        <v>1831</v>
      </c>
      <c r="L511" s="6" t="s">
        <v>1832</v>
      </c>
      <c r="M511" s="6" t="s">
        <v>2415</v>
      </c>
      <c r="N511" s="6"/>
      <c r="O511" s="6"/>
      <c r="P511" s="6" t="s">
        <v>1834</v>
      </c>
      <c r="Q511" s="6" t="s">
        <v>1835</v>
      </c>
      <c r="R511" s="6" t="s">
        <v>1703</v>
      </c>
      <c r="S511" s="6"/>
      <c r="T511" s="6"/>
      <c r="U511" s="6"/>
      <c r="V511" s="6"/>
      <c r="W511" s="6"/>
      <c r="X511" s="6"/>
      <c r="Y511" s="6"/>
      <c r="Z511" s="6"/>
      <c r="AA511" s="6" t="s">
        <v>89</v>
      </c>
      <c r="AB511" s="6" t="s">
        <v>2416</v>
      </c>
      <c r="AC511" s="6" t="s">
        <v>1879</v>
      </c>
      <c r="AD511" s="6" t="s">
        <v>2417</v>
      </c>
      <c r="AE511" s="6" t="s">
        <v>2418</v>
      </c>
      <c r="AF511" s="6" t="s">
        <v>2419</v>
      </c>
      <c r="AG511" s="6"/>
      <c r="AH511" s="6"/>
      <c r="AI511" s="7"/>
      <c r="AJ511" s="7"/>
      <c r="AK511" s="7"/>
      <c r="AL511" s="7"/>
      <c r="AM511" s="7"/>
      <c r="AN511" s="7"/>
      <c r="AO511" s="7"/>
      <c r="AP511" s="7"/>
      <c r="AQ511" s="7"/>
      <c r="AR511" s="7"/>
      <c r="AS511" s="7"/>
      <c r="AT511" s="7"/>
      <c r="AU511" s="7"/>
      <c r="AV511" s="7"/>
      <c r="AW511" s="7"/>
      <c r="AX511" s="7"/>
      <c r="AY511" s="7"/>
      <c r="AZ511" s="7"/>
    </row>
    <row r="512" customFormat="false" ht="150" hidden="false" customHeight="true" outlineLevel="0" collapsed="false">
      <c r="A512" s="6" t="s">
        <v>2420</v>
      </c>
      <c r="B512" s="6" t="s">
        <v>1875</v>
      </c>
      <c r="C512" s="6" t="s">
        <v>1876</v>
      </c>
      <c r="D512" s="6" t="s">
        <v>145</v>
      </c>
      <c r="E512" s="6" t="s">
        <v>146</v>
      </c>
      <c r="F512" s="6"/>
      <c r="G512" s="6" t="s">
        <v>1362</v>
      </c>
      <c r="H512" s="6" t="s">
        <v>1330</v>
      </c>
      <c r="I512" s="6" t="s">
        <v>81</v>
      </c>
      <c r="J512" s="6" t="s">
        <v>621</v>
      </c>
      <c r="K512" s="6" t="s">
        <v>1831</v>
      </c>
      <c r="L512" s="6" t="s">
        <v>1832</v>
      </c>
      <c r="M512" s="6" t="s">
        <v>2415</v>
      </c>
      <c r="N512" s="6"/>
      <c r="O512" s="6"/>
      <c r="P512" s="6" t="s">
        <v>1834</v>
      </c>
      <c r="Q512" s="6" t="s">
        <v>1835</v>
      </c>
      <c r="R512" s="6" t="s">
        <v>1703</v>
      </c>
      <c r="S512" s="6"/>
      <c r="T512" s="6"/>
      <c r="U512" s="6"/>
      <c r="V512" s="6"/>
      <c r="W512" s="6"/>
      <c r="X512" s="6"/>
      <c r="Y512" s="6"/>
      <c r="Z512" s="6"/>
      <c r="AA512" s="6" t="s">
        <v>89</v>
      </c>
      <c r="AB512" s="6" t="s">
        <v>2421</v>
      </c>
      <c r="AC512" s="6" t="s">
        <v>1885</v>
      </c>
      <c r="AD512" s="6" t="s">
        <v>2417</v>
      </c>
      <c r="AE512" s="6" t="s">
        <v>2418</v>
      </c>
      <c r="AF512" s="6" t="s">
        <v>2419</v>
      </c>
      <c r="AG512" s="6"/>
      <c r="AH512" s="6"/>
      <c r="AI512" s="7"/>
      <c r="AJ512" s="7"/>
      <c r="AK512" s="7"/>
      <c r="AL512" s="7"/>
      <c r="AM512" s="7"/>
      <c r="AN512" s="7"/>
      <c r="AO512" s="7"/>
      <c r="AP512" s="7"/>
      <c r="AQ512" s="7"/>
      <c r="AR512" s="7"/>
      <c r="AS512" s="7"/>
      <c r="AT512" s="7"/>
      <c r="AU512" s="7"/>
      <c r="AV512" s="7"/>
      <c r="AW512" s="7"/>
      <c r="AX512" s="7"/>
      <c r="AY512" s="7"/>
      <c r="AZ512" s="7"/>
    </row>
    <row r="513" customFormat="false" ht="150" hidden="false" customHeight="true" outlineLevel="0" collapsed="false">
      <c r="A513" s="6" t="s">
        <v>2422</v>
      </c>
      <c r="B513" s="6" t="s">
        <v>1875</v>
      </c>
      <c r="C513" s="6" t="s">
        <v>1876</v>
      </c>
      <c r="D513" s="6" t="s">
        <v>145</v>
      </c>
      <c r="E513" s="6" t="s">
        <v>146</v>
      </c>
      <c r="F513" s="6"/>
      <c r="G513" s="6" t="s">
        <v>1362</v>
      </c>
      <c r="H513" s="6" t="s">
        <v>1330</v>
      </c>
      <c r="I513" s="6" t="s">
        <v>81</v>
      </c>
      <c r="J513" s="6" t="s">
        <v>621</v>
      </c>
      <c r="K513" s="6" t="s">
        <v>1831</v>
      </c>
      <c r="L513" s="6" t="s">
        <v>1832</v>
      </c>
      <c r="M513" s="6" t="s">
        <v>2415</v>
      </c>
      <c r="N513" s="6"/>
      <c r="O513" s="6"/>
      <c r="P513" s="6" t="s">
        <v>1834</v>
      </c>
      <c r="Q513" s="6" t="s">
        <v>1835</v>
      </c>
      <c r="R513" s="6" t="s">
        <v>1703</v>
      </c>
      <c r="S513" s="6"/>
      <c r="T513" s="6"/>
      <c r="U513" s="6"/>
      <c r="V513" s="6"/>
      <c r="W513" s="6"/>
      <c r="X513" s="6"/>
      <c r="Y513" s="6"/>
      <c r="Z513" s="6"/>
      <c r="AA513" s="6" t="s">
        <v>89</v>
      </c>
      <c r="AB513" s="6" t="s">
        <v>2423</v>
      </c>
      <c r="AC513" s="6" t="s">
        <v>1888</v>
      </c>
      <c r="AD513" s="6" t="s">
        <v>2417</v>
      </c>
      <c r="AE513" s="6" t="s">
        <v>2418</v>
      </c>
      <c r="AF513" s="6" t="s">
        <v>2419</v>
      </c>
      <c r="AG513" s="6"/>
      <c r="AH513" s="6"/>
      <c r="AI513" s="7"/>
      <c r="AJ513" s="7"/>
      <c r="AK513" s="7"/>
      <c r="AL513" s="7"/>
      <c r="AM513" s="7"/>
      <c r="AN513" s="7"/>
      <c r="AO513" s="7"/>
      <c r="AP513" s="7"/>
      <c r="AQ513" s="7"/>
      <c r="AR513" s="7"/>
      <c r="AS513" s="7"/>
      <c r="AT513" s="7"/>
      <c r="AU513" s="7"/>
      <c r="AV513" s="7"/>
      <c r="AW513" s="7"/>
      <c r="AX513" s="7"/>
      <c r="AY513" s="7"/>
      <c r="AZ513" s="7"/>
    </row>
    <row r="514" customFormat="false" ht="150" hidden="false" customHeight="true" outlineLevel="0" collapsed="false">
      <c r="A514" s="6" t="s">
        <v>2424</v>
      </c>
      <c r="B514" s="6" t="s">
        <v>1875</v>
      </c>
      <c r="C514" s="6" t="s">
        <v>1876</v>
      </c>
      <c r="D514" s="6" t="s">
        <v>145</v>
      </c>
      <c r="E514" s="6" t="s">
        <v>146</v>
      </c>
      <c r="F514" s="6"/>
      <c r="G514" s="6" t="s">
        <v>1362</v>
      </c>
      <c r="H514" s="6" t="s">
        <v>1330</v>
      </c>
      <c r="I514" s="6" t="s">
        <v>81</v>
      </c>
      <c r="J514" s="6" t="s">
        <v>621</v>
      </c>
      <c r="K514" s="6" t="s">
        <v>1831</v>
      </c>
      <c r="L514" s="6" t="s">
        <v>1832</v>
      </c>
      <c r="M514" s="6" t="s">
        <v>2415</v>
      </c>
      <c r="N514" s="6"/>
      <c r="O514" s="6"/>
      <c r="P514" s="6" t="s">
        <v>1834</v>
      </c>
      <c r="Q514" s="6" t="s">
        <v>1835</v>
      </c>
      <c r="R514" s="6" t="s">
        <v>1703</v>
      </c>
      <c r="S514" s="6"/>
      <c r="T514" s="6"/>
      <c r="U514" s="6"/>
      <c r="V514" s="6"/>
      <c r="W514" s="6"/>
      <c r="X514" s="6"/>
      <c r="Y514" s="6"/>
      <c r="Z514" s="6"/>
      <c r="AA514" s="6" t="s">
        <v>89</v>
      </c>
      <c r="AB514" s="6" t="s">
        <v>2425</v>
      </c>
      <c r="AC514" s="6" t="s">
        <v>1891</v>
      </c>
      <c r="AD514" s="6" t="s">
        <v>2417</v>
      </c>
      <c r="AE514" s="6" t="s">
        <v>2418</v>
      </c>
      <c r="AF514" s="6" t="s">
        <v>2419</v>
      </c>
      <c r="AG514" s="6"/>
      <c r="AH514" s="6"/>
      <c r="AI514" s="7"/>
      <c r="AJ514" s="7"/>
      <c r="AK514" s="7"/>
      <c r="AL514" s="7"/>
      <c r="AM514" s="7"/>
      <c r="AN514" s="7"/>
      <c r="AO514" s="7"/>
      <c r="AP514" s="7"/>
      <c r="AQ514" s="7"/>
      <c r="AR514" s="7"/>
      <c r="AS514" s="7"/>
      <c r="AT514" s="7"/>
      <c r="AU514" s="7"/>
      <c r="AV514" s="7"/>
      <c r="AW514" s="7"/>
      <c r="AX514" s="7"/>
      <c r="AY514" s="7"/>
      <c r="AZ514" s="7"/>
    </row>
    <row r="515" customFormat="false" ht="150" hidden="false" customHeight="true" outlineLevel="0" collapsed="false">
      <c r="A515" s="6" t="s">
        <v>2426</v>
      </c>
      <c r="B515" s="6" t="s">
        <v>1875</v>
      </c>
      <c r="C515" s="6" t="s">
        <v>1876</v>
      </c>
      <c r="D515" s="6" t="s">
        <v>145</v>
      </c>
      <c r="E515" s="6" t="s">
        <v>146</v>
      </c>
      <c r="F515" s="6"/>
      <c r="G515" s="6" t="s">
        <v>1362</v>
      </c>
      <c r="H515" s="6" t="s">
        <v>1330</v>
      </c>
      <c r="I515" s="6" t="s">
        <v>81</v>
      </c>
      <c r="J515" s="6" t="s">
        <v>621</v>
      </c>
      <c r="K515" s="6" t="s">
        <v>1831</v>
      </c>
      <c r="L515" s="6" t="s">
        <v>1832</v>
      </c>
      <c r="M515" s="6" t="s">
        <v>2415</v>
      </c>
      <c r="N515" s="6"/>
      <c r="O515" s="6"/>
      <c r="P515" s="6" t="s">
        <v>1834</v>
      </c>
      <c r="Q515" s="6" t="s">
        <v>1835</v>
      </c>
      <c r="R515" s="6" t="s">
        <v>1703</v>
      </c>
      <c r="S515" s="6"/>
      <c r="T515" s="6"/>
      <c r="U515" s="6"/>
      <c r="V515" s="6"/>
      <c r="W515" s="6"/>
      <c r="X515" s="6"/>
      <c r="Y515" s="6"/>
      <c r="Z515" s="6"/>
      <c r="AA515" s="6" t="s">
        <v>89</v>
      </c>
      <c r="AB515" s="6" t="s">
        <v>2427</v>
      </c>
      <c r="AC515" s="6" t="s">
        <v>1894</v>
      </c>
      <c r="AD515" s="6" t="s">
        <v>2417</v>
      </c>
      <c r="AE515" s="6" t="s">
        <v>2418</v>
      </c>
      <c r="AF515" s="6" t="s">
        <v>2419</v>
      </c>
      <c r="AG515" s="6"/>
      <c r="AH515" s="6"/>
      <c r="AI515" s="7"/>
      <c r="AJ515" s="7"/>
      <c r="AK515" s="7"/>
      <c r="AL515" s="7"/>
      <c r="AM515" s="7"/>
      <c r="AN515" s="7"/>
      <c r="AO515" s="7"/>
      <c r="AP515" s="7"/>
      <c r="AQ515" s="7"/>
      <c r="AR515" s="7"/>
      <c r="AS515" s="7"/>
      <c r="AT515" s="7"/>
      <c r="AU515" s="7"/>
      <c r="AV515" s="7"/>
      <c r="AW515" s="7"/>
      <c r="AX515" s="7"/>
      <c r="AY515" s="7"/>
      <c r="AZ515" s="7"/>
    </row>
    <row r="516" customFormat="false" ht="150" hidden="false" customHeight="true" outlineLevel="0" collapsed="false">
      <c r="A516" s="6" t="s">
        <v>2428</v>
      </c>
      <c r="B516" s="6" t="s">
        <v>1875</v>
      </c>
      <c r="C516" s="6" t="s">
        <v>1876</v>
      </c>
      <c r="D516" s="6" t="s">
        <v>145</v>
      </c>
      <c r="E516" s="6" t="s">
        <v>146</v>
      </c>
      <c r="F516" s="6"/>
      <c r="G516" s="6" t="s">
        <v>1362</v>
      </c>
      <c r="H516" s="6" t="s">
        <v>1330</v>
      </c>
      <c r="I516" s="6" t="s">
        <v>81</v>
      </c>
      <c r="J516" s="6" t="s">
        <v>621</v>
      </c>
      <c r="K516" s="6" t="s">
        <v>1831</v>
      </c>
      <c r="L516" s="6" t="s">
        <v>1832</v>
      </c>
      <c r="M516" s="6" t="s">
        <v>2415</v>
      </c>
      <c r="N516" s="6"/>
      <c r="O516" s="6"/>
      <c r="P516" s="6" t="s">
        <v>1834</v>
      </c>
      <c r="Q516" s="6" t="s">
        <v>1835</v>
      </c>
      <c r="R516" s="6" t="s">
        <v>1703</v>
      </c>
      <c r="S516" s="6"/>
      <c r="T516" s="6"/>
      <c r="U516" s="6"/>
      <c r="V516" s="6"/>
      <c r="W516" s="6"/>
      <c r="X516" s="6"/>
      <c r="Y516" s="6"/>
      <c r="Z516" s="6"/>
      <c r="AA516" s="6" t="s">
        <v>89</v>
      </c>
      <c r="AB516" s="6" t="s">
        <v>2429</v>
      </c>
      <c r="AC516" s="6" t="s">
        <v>1897</v>
      </c>
      <c r="AD516" s="6" t="s">
        <v>2417</v>
      </c>
      <c r="AE516" s="6" t="s">
        <v>2418</v>
      </c>
      <c r="AF516" s="6" t="s">
        <v>2419</v>
      </c>
      <c r="AG516" s="6"/>
      <c r="AH516" s="6"/>
      <c r="AI516" s="7"/>
      <c r="AJ516" s="7"/>
      <c r="AK516" s="7"/>
      <c r="AL516" s="7"/>
      <c r="AM516" s="7"/>
      <c r="AN516" s="7"/>
      <c r="AO516" s="7"/>
      <c r="AP516" s="7"/>
      <c r="AQ516" s="7"/>
      <c r="AR516" s="7"/>
      <c r="AS516" s="7"/>
      <c r="AT516" s="7"/>
      <c r="AU516" s="7"/>
      <c r="AV516" s="7"/>
      <c r="AW516" s="7"/>
      <c r="AX516" s="7"/>
      <c r="AY516" s="7"/>
      <c r="AZ516" s="7"/>
    </row>
    <row r="517" customFormat="false" ht="150" hidden="false" customHeight="true" outlineLevel="0" collapsed="false">
      <c r="A517" s="6" t="s">
        <v>2430</v>
      </c>
      <c r="B517" s="6" t="s">
        <v>1875</v>
      </c>
      <c r="C517" s="6" t="s">
        <v>1876</v>
      </c>
      <c r="D517" s="6" t="s">
        <v>145</v>
      </c>
      <c r="E517" s="6" t="s">
        <v>146</v>
      </c>
      <c r="F517" s="6"/>
      <c r="G517" s="6" t="s">
        <v>1362</v>
      </c>
      <c r="H517" s="6" t="s">
        <v>1330</v>
      </c>
      <c r="I517" s="6" t="s">
        <v>81</v>
      </c>
      <c r="J517" s="6" t="s">
        <v>621</v>
      </c>
      <c r="K517" s="6" t="s">
        <v>1831</v>
      </c>
      <c r="L517" s="6" t="s">
        <v>1832</v>
      </c>
      <c r="M517" s="6" t="s">
        <v>2415</v>
      </c>
      <c r="N517" s="6"/>
      <c r="O517" s="6"/>
      <c r="P517" s="6" t="s">
        <v>1834</v>
      </c>
      <c r="Q517" s="6" t="s">
        <v>1835</v>
      </c>
      <c r="R517" s="6" t="s">
        <v>1703</v>
      </c>
      <c r="S517" s="6"/>
      <c r="T517" s="6"/>
      <c r="U517" s="6"/>
      <c r="V517" s="6"/>
      <c r="W517" s="6"/>
      <c r="X517" s="6"/>
      <c r="Y517" s="6"/>
      <c r="Z517" s="6"/>
      <c r="AA517" s="6" t="s">
        <v>89</v>
      </c>
      <c r="AB517" s="6" t="s">
        <v>2431</v>
      </c>
      <c r="AC517" s="6" t="s">
        <v>1900</v>
      </c>
      <c r="AD517" s="6" t="s">
        <v>2417</v>
      </c>
      <c r="AE517" s="6" t="s">
        <v>2418</v>
      </c>
      <c r="AF517" s="6" t="s">
        <v>2419</v>
      </c>
      <c r="AG517" s="6"/>
      <c r="AH517" s="6"/>
      <c r="AI517" s="7"/>
      <c r="AJ517" s="7"/>
      <c r="AK517" s="7"/>
      <c r="AL517" s="7"/>
      <c r="AM517" s="7"/>
      <c r="AN517" s="7"/>
      <c r="AO517" s="7"/>
      <c r="AP517" s="7"/>
      <c r="AQ517" s="7"/>
      <c r="AR517" s="7"/>
      <c r="AS517" s="7"/>
      <c r="AT517" s="7"/>
      <c r="AU517" s="7"/>
      <c r="AV517" s="7"/>
      <c r="AW517" s="7"/>
      <c r="AX517" s="7"/>
      <c r="AY517" s="7"/>
      <c r="AZ517" s="7"/>
    </row>
    <row r="518" customFormat="false" ht="150" hidden="false" customHeight="true" outlineLevel="0" collapsed="false">
      <c r="A518" s="6" t="s">
        <v>2432</v>
      </c>
      <c r="B518" s="6" t="s">
        <v>1875</v>
      </c>
      <c r="C518" s="6" t="s">
        <v>1876</v>
      </c>
      <c r="D518" s="6" t="s">
        <v>145</v>
      </c>
      <c r="E518" s="6" t="s">
        <v>146</v>
      </c>
      <c r="F518" s="6"/>
      <c r="G518" s="6" t="s">
        <v>1362</v>
      </c>
      <c r="H518" s="6" t="s">
        <v>1330</v>
      </c>
      <c r="I518" s="6" t="s">
        <v>81</v>
      </c>
      <c r="J518" s="6" t="s">
        <v>621</v>
      </c>
      <c r="K518" s="6" t="s">
        <v>1831</v>
      </c>
      <c r="L518" s="6" t="s">
        <v>1832</v>
      </c>
      <c r="M518" s="6" t="s">
        <v>2415</v>
      </c>
      <c r="N518" s="6"/>
      <c r="O518" s="6"/>
      <c r="P518" s="6" t="s">
        <v>1834</v>
      </c>
      <c r="Q518" s="6" t="s">
        <v>1835</v>
      </c>
      <c r="R518" s="6" t="s">
        <v>1703</v>
      </c>
      <c r="S518" s="6"/>
      <c r="T518" s="6"/>
      <c r="U518" s="6"/>
      <c r="V518" s="6"/>
      <c r="W518" s="6"/>
      <c r="X518" s="6"/>
      <c r="Y518" s="6"/>
      <c r="Z518" s="6"/>
      <c r="AA518" s="6" t="s">
        <v>89</v>
      </c>
      <c r="AB518" s="6" t="s">
        <v>2433</v>
      </c>
      <c r="AC518" s="6" t="s">
        <v>1903</v>
      </c>
      <c r="AD518" s="6" t="s">
        <v>2417</v>
      </c>
      <c r="AE518" s="6" t="s">
        <v>2418</v>
      </c>
      <c r="AF518" s="6" t="s">
        <v>2419</v>
      </c>
      <c r="AG518" s="6"/>
      <c r="AH518" s="6"/>
      <c r="AI518" s="7"/>
      <c r="AJ518" s="7"/>
      <c r="AK518" s="7"/>
      <c r="AL518" s="7"/>
      <c r="AM518" s="7"/>
      <c r="AN518" s="7"/>
      <c r="AO518" s="7"/>
      <c r="AP518" s="7"/>
      <c r="AQ518" s="7"/>
      <c r="AR518" s="7"/>
      <c r="AS518" s="7"/>
      <c r="AT518" s="7"/>
      <c r="AU518" s="7"/>
      <c r="AV518" s="7"/>
      <c r="AW518" s="7"/>
      <c r="AX518" s="7"/>
      <c r="AY518" s="7"/>
      <c r="AZ518" s="7"/>
    </row>
    <row r="519" customFormat="false" ht="150" hidden="false" customHeight="true" outlineLevel="0" collapsed="false">
      <c r="A519" s="6" t="s">
        <v>2434</v>
      </c>
      <c r="B519" s="6" t="s">
        <v>1875</v>
      </c>
      <c r="C519" s="6" t="s">
        <v>1876</v>
      </c>
      <c r="D519" s="6" t="s">
        <v>145</v>
      </c>
      <c r="E519" s="6" t="s">
        <v>146</v>
      </c>
      <c r="F519" s="6"/>
      <c r="G519" s="6" t="s">
        <v>1362</v>
      </c>
      <c r="H519" s="6" t="s">
        <v>1330</v>
      </c>
      <c r="I519" s="6" t="s">
        <v>81</v>
      </c>
      <c r="J519" s="6" t="s">
        <v>621</v>
      </c>
      <c r="K519" s="6" t="s">
        <v>1831</v>
      </c>
      <c r="L519" s="6" t="s">
        <v>1832</v>
      </c>
      <c r="M519" s="6" t="s">
        <v>2415</v>
      </c>
      <c r="N519" s="6"/>
      <c r="O519" s="6"/>
      <c r="P519" s="6" t="s">
        <v>1834</v>
      </c>
      <c r="Q519" s="6" t="s">
        <v>1835</v>
      </c>
      <c r="R519" s="6" t="s">
        <v>1703</v>
      </c>
      <c r="S519" s="6"/>
      <c r="T519" s="6"/>
      <c r="U519" s="6"/>
      <c r="V519" s="6"/>
      <c r="W519" s="6"/>
      <c r="X519" s="6"/>
      <c r="Y519" s="6"/>
      <c r="Z519" s="6"/>
      <c r="AA519" s="6" t="s">
        <v>89</v>
      </c>
      <c r="AB519" s="6" t="s">
        <v>2435</v>
      </c>
      <c r="AC519" s="6" t="s">
        <v>1906</v>
      </c>
      <c r="AD519" s="6" t="s">
        <v>2417</v>
      </c>
      <c r="AE519" s="6" t="s">
        <v>2418</v>
      </c>
      <c r="AF519" s="6" t="s">
        <v>2419</v>
      </c>
      <c r="AG519" s="6"/>
      <c r="AH519" s="6"/>
      <c r="AI519" s="7"/>
      <c r="AJ519" s="7"/>
      <c r="AK519" s="7"/>
      <c r="AL519" s="7"/>
      <c r="AM519" s="7"/>
      <c r="AN519" s="7"/>
      <c r="AO519" s="7"/>
      <c r="AP519" s="7"/>
      <c r="AQ519" s="7"/>
      <c r="AR519" s="7"/>
      <c r="AS519" s="7"/>
      <c r="AT519" s="7"/>
      <c r="AU519" s="7"/>
      <c r="AV519" s="7"/>
      <c r="AW519" s="7"/>
      <c r="AX519" s="7"/>
      <c r="AY519" s="7"/>
      <c r="AZ519" s="7"/>
    </row>
    <row r="520" customFormat="false" ht="150" hidden="false" customHeight="true" outlineLevel="0" collapsed="false">
      <c r="A520" s="6" t="s">
        <v>2436</v>
      </c>
      <c r="B520" s="6" t="s">
        <v>1875</v>
      </c>
      <c r="C520" s="6" t="s">
        <v>1876</v>
      </c>
      <c r="D520" s="6" t="s">
        <v>145</v>
      </c>
      <c r="E520" s="6" t="s">
        <v>146</v>
      </c>
      <c r="F520" s="6"/>
      <c r="G520" s="6" t="s">
        <v>1362</v>
      </c>
      <c r="H520" s="6" t="s">
        <v>1330</v>
      </c>
      <c r="I520" s="6" t="s">
        <v>81</v>
      </c>
      <c r="J520" s="6" t="s">
        <v>621</v>
      </c>
      <c r="K520" s="6" t="s">
        <v>1831</v>
      </c>
      <c r="L520" s="6" t="s">
        <v>1832</v>
      </c>
      <c r="M520" s="6" t="s">
        <v>2415</v>
      </c>
      <c r="N520" s="6"/>
      <c r="O520" s="6"/>
      <c r="P520" s="6" t="s">
        <v>1834</v>
      </c>
      <c r="Q520" s="6" t="s">
        <v>1835</v>
      </c>
      <c r="R520" s="6" t="s">
        <v>1703</v>
      </c>
      <c r="S520" s="6"/>
      <c r="T520" s="6"/>
      <c r="U520" s="6"/>
      <c r="V520" s="6"/>
      <c r="W520" s="6"/>
      <c r="X520" s="6"/>
      <c r="Y520" s="6"/>
      <c r="Z520" s="6"/>
      <c r="AA520" s="6" t="s">
        <v>89</v>
      </c>
      <c r="AB520" s="6" t="s">
        <v>2437</v>
      </c>
      <c r="AC520" s="6" t="s">
        <v>1909</v>
      </c>
      <c r="AD520" s="6" t="s">
        <v>2417</v>
      </c>
      <c r="AE520" s="6" t="s">
        <v>2418</v>
      </c>
      <c r="AF520" s="6" t="s">
        <v>2419</v>
      </c>
      <c r="AG520" s="6"/>
      <c r="AH520" s="6"/>
      <c r="AI520" s="7"/>
      <c r="AJ520" s="7"/>
      <c r="AK520" s="7"/>
      <c r="AL520" s="7"/>
      <c r="AM520" s="7"/>
      <c r="AN520" s="7"/>
      <c r="AO520" s="7"/>
      <c r="AP520" s="7"/>
      <c r="AQ520" s="7"/>
      <c r="AR520" s="7"/>
      <c r="AS520" s="7"/>
      <c r="AT520" s="7"/>
      <c r="AU520" s="7"/>
      <c r="AV520" s="7"/>
      <c r="AW520" s="7"/>
      <c r="AX520" s="7"/>
      <c r="AY520" s="7"/>
      <c r="AZ520" s="7"/>
    </row>
    <row r="521" customFormat="false" ht="150" hidden="false" customHeight="true" outlineLevel="0" collapsed="false">
      <c r="A521" s="6" t="s">
        <v>2438</v>
      </c>
      <c r="B521" s="6" t="s">
        <v>1875</v>
      </c>
      <c r="C521" s="6" t="s">
        <v>1876</v>
      </c>
      <c r="D521" s="6" t="s">
        <v>145</v>
      </c>
      <c r="E521" s="6" t="s">
        <v>146</v>
      </c>
      <c r="F521" s="6"/>
      <c r="G521" s="6" t="s">
        <v>1362</v>
      </c>
      <c r="H521" s="6" t="s">
        <v>1330</v>
      </c>
      <c r="I521" s="6" t="s">
        <v>81</v>
      </c>
      <c r="J521" s="6" t="s">
        <v>621</v>
      </c>
      <c r="K521" s="6" t="s">
        <v>1854</v>
      </c>
      <c r="L521" s="6" t="s">
        <v>1855</v>
      </c>
      <c r="M521" s="6" t="s">
        <v>2439</v>
      </c>
      <c r="N521" s="6"/>
      <c r="O521" s="6"/>
      <c r="P521" s="6" t="s">
        <v>1377</v>
      </c>
      <c r="Q521" s="6" t="s">
        <v>1835</v>
      </c>
      <c r="R521" s="6" t="s">
        <v>339</v>
      </c>
      <c r="S521" s="6"/>
      <c r="T521" s="6"/>
      <c r="U521" s="6"/>
      <c r="V521" s="6"/>
      <c r="W521" s="6"/>
      <c r="X521" s="6"/>
      <c r="Y521" s="6"/>
      <c r="Z521" s="6"/>
      <c r="AA521" s="6" t="s">
        <v>89</v>
      </c>
      <c r="AB521" s="6" t="s">
        <v>2440</v>
      </c>
      <c r="AC521" s="6" t="s">
        <v>1879</v>
      </c>
      <c r="AD521" s="6" t="s">
        <v>2441</v>
      </c>
      <c r="AE521" s="6" t="s">
        <v>2442</v>
      </c>
      <c r="AF521" s="6" t="s">
        <v>2443</v>
      </c>
      <c r="AG521" s="6"/>
      <c r="AH521" s="6"/>
      <c r="AI521" s="7"/>
      <c r="AJ521" s="7"/>
      <c r="AK521" s="7"/>
      <c r="AL521" s="7"/>
      <c r="AM521" s="7"/>
      <c r="AN521" s="7"/>
      <c r="AO521" s="7"/>
      <c r="AP521" s="7"/>
      <c r="AQ521" s="7"/>
      <c r="AR521" s="7"/>
      <c r="AS521" s="7"/>
      <c r="AT521" s="7"/>
      <c r="AU521" s="7"/>
      <c r="AV521" s="7"/>
      <c r="AW521" s="7"/>
      <c r="AX521" s="7"/>
      <c r="AY521" s="7"/>
      <c r="AZ521" s="7"/>
    </row>
    <row r="522" customFormat="false" ht="150" hidden="false" customHeight="true" outlineLevel="0" collapsed="false">
      <c r="A522" s="6" t="s">
        <v>2444</v>
      </c>
      <c r="B522" s="6" t="s">
        <v>1875</v>
      </c>
      <c r="C522" s="6" t="s">
        <v>1876</v>
      </c>
      <c r="D522" s="6" t="s">
        <v>145</v>
      </c>
      <c r="E522" s="6" t="s">
        <v>146</v>
      </c>
      <c r="F522" s="6"/>
      <c r="G522" s="6" t="s">
        <v>1362</v>
      </c>
      <c r="H522" s="6" t="s">
        <v>1330</v>
      </c>
      <c r="I522" s="6" t="s">
        <v>81</v>
      </c>
      <c r="J522" s="6" t="s">
        <v>621</v>
      </c>
      <c r="K522" s="6" t="s">
        <v>1854</v>
      </c>
      <c r="L522" s="6" t="s">
        <v>1855</v>
      </c>
      <c r="M522" s="6" t="s">
        <v>2439</v>
      </c>
      <c r="N522" s="6"/>
      <c r="O522" s="6"/>
      <c r="P522" s="6" t="s">
        <v>1377</v>
      </c>
      <c r="Q522" s="6" t="s">
        <v>1835</v>
      </c>
      <c r="R522" s="6" t="s">
        <v>339</v>
      </c>
      <c r="S522" s="6"/>
      <c r="T522" s="6"/>
      <c r="U522" s="6"/>
      <c r="V522" s="6"/>
      <c r="W522" s="6"/>
      <c r="X522" s="6"/>
      <c r="Y522" s="6"/>
      <c r="Z522" s="6"/>
      <c r="AA522" s="6" t="s">
        <v>89</v>
      </c>
      <c r="AB522" s="6" t="s">
        <v>2445</v>
      </c>
      <c r="AC522" s="6" t="s">
        <v>1885</v>
      </c>
      <c r="AD522" s="6" t="s">
        <v>2441</v>
      </c>
      <c r="AE522" s="6" t="s">
        <v>2442</v>
      </c>
      <c r="AF522" s="6" t="s">
        <v>2443</v>
      </c>
      <c r="AG522" s="6"/>
      <c r="AH522" s="6"/>
      <c r="AI522" s="7"/>
      <c r="AJ522" s="7"/>
      <c r="AK522" s="7"/>
      <c r="AL522" s="7"/>
      <c r="AM522" s="7"/>
      <c r="AN522" s="7"/>
      <c r="AO522" s="7"/>
      <c r="AP522" s="7"/>
      <c r="AQ522" s="7"/>
      <c r="AR522" s="7"/>
      <c r="AS522" s="7"/>
      <c r="AT522" s="7"/>
      <c r="AU522" s="7"/>
      <c r="AV522" s="7"/>
      <c r="AW522" s="7"/>
      <c r="AX522" s="7"/>
      <c r="AY522" s="7"/>
      <c r="AZ522" s="7"/>
    </row>
    <row r="523" customFormat="false" ht="150" hidden="false" customHeight="true" outlineLevel="0" collapsed="false">
      <c r="A523" s="6" t="s">
        <v>2446</v>
      </c>
      <c r="B523" s="6" t="s">
        <v>1875</v>
      </c>
      <c r="C523" s="6" t="s">
        <v>1876</v>
      </c>
      <c r="D523" s="6" t="s">
        <v>145</v>
      </c>
      <c r="E523" s="6" t="s">
        <v>146</v>
      </c>
      <c r="F523" s="6"/>
      <c r="G523" s="6" t="s">
        <v>1362</v>
      </c>
      <c r="H523" s="6" t="s">
        <v>1330</v>
      </c>
      <c r="I523" s="6" t="s">
        <v>81</v>
      </c>
      <c r="J523" s="6" t="s">
        <v>621</v>
      </c>
      <c r="K523" s="6" t="s">
        <v>1854</v>
      </c>
      <c r="L523" s="6" t="s">
        <v>1855</v>
      </c>
      <c r="M523" s="6" t="s">
        <v>2439</v>
      </c>
      <c r="N523" s="6"/>
      <c r="O523" s="6"/>
      <c r="P523" s="6" t="s">
        <v>1377</v>
      </c>
      <c r="Q523" s="6" t="s">
        <v>1835</v>
      </c>
      <c r="R523" s="6" t="s">
        <v>339</v>
      </c>
      <c r="S523" s="6"/>
      <c r="T523" s="6"/>
      <c r="U523" s="6"/>
      <c r="V523" s="6"/>
      <c r="W523" s="6"/>
      <c r="X523" s="6"/>
      <c r="Y523" s="6"/>
      <c r="Z523" s="6"/>
      <c r="AA523" s="6" t="s">
        <v>89</v>
      </c>
      <c r="AB523" s="6" t="s">
        <v>2447</v>
      </c>
      <c r="AC523" s="6" t="s">
        <v>1888</v>
      </c>
      <c r="AD523" s="6" t="s">
        <v>2441</v>
      </c>
      <c r="AE523" s="6" t="s">
        <v>2442</v>
      </c>
      <c r="AF523" s="6" t="s">
        <v>2443</v>
      </c>
      <c r="AG523" s="6"/>
      <c r="AH523" s="6"/>
      <c r="AI523" s="7"/>
      <c r="AJ523" s="7"/>
      <c r="AK523" s="7"/>
      <c r="AL523" s="7"/>
      <c r="AM523" s="7"/>
      <c r="AN523" s="7"/>
      <c r="AO523" s="7"/>
      <c r="AP523" s="7"/>
      <c r="AQ523" s="7"/>
      <c r="AR523" s="7"/>
      <c r="AS523" s="7"/>
      <c r="AT523" s="7"/>
      <c r="AU523" s="7"/>
      <c r="AV523" s="7"/>
      <c r="AW523" s="7"/>
      <c r="AX523" s="7"/>
      <c r="AY523" s="7"/>
      <c r="AZ523" s="7"/>
    </row>
    <row r="524" customFormat="false" ht="150" hidden="false" customHeight="true" outlineLevel="0" collapsed="false">
      <c r="A524" s="6" t="s">
        <v>2448</v>
      </c>
      <c r="B524" s="6" t="s">
        <v>1875</v>
      </c>
      <c r="C524" s="6" t="s">
        <v>1876</v>
      </c>
      <c r="D524" s="6" t="s">
        <v>145</v>
      </c>
      <c r="E524" s="6" t="s">
        <v>146</v>
      </c>
      <c r="F524" s="6"/>
      <c r="G524" s="6" t="s">
        <v>1362</v>
      </c>
      <c r="H524" s="6" t="s">
        <v>1330</v>
      </c>
      <c r="I524" s="6" t="s">
        <v>81</v>
      </c>
      <c r="J524" s="6" t="s">
        <v>621</v>
      </c>
      <c r="K524" s="6" t="s">
        <v>1854</v>
      </c>
      <c r="L524" s="6" t="s">
        <v>1855</v>
      </c>
      <c r="M524" s="6" t="s">
        <v>2439</v>
      </c>
      <c r="N524" s="6"/>
      <c r="O524" s="6"/>
      <c r="P524" s="6" t="s">
        <v>1377</v>
      </c>
      <c r="Q524" s="6" t="s">
        <v>1835</v>
      </c>
      <c r="R524" s="6" t="s">
        <v>339</v>
      </c>
      <c r="S524" s="6"/>
      <c r="T524" s="6"/>
      <c r="U524" s="6"/>
      <c r="V524" s="6"/>
      <c r="W524" s="6"/>
      <c r="X524" s="6"/>
      <c r="Y524" s="6"/>
      <c r="Z524" s="6"/>
      <c r="AA524" s="6" t="s">
        <v>89</v>
      </c>
      <c r="AB524" s="6" t="s">
        <v>2449</v>
      </c>
      <c r="AC524" s="6" t="s">
        <v>1891</v>
      </c>
      <c r="AD524" s="6" t="s">
        <v>2441</v>
      </c>
      <c r="AE524" s="6" t="s">
        <v>2442</v>
      </c>
      <c r="AF524" s="6" t="s">
        <v>2443</v>
      </c>
      <c r="AG524" s="6"/>
      <c r="AH524" s="6"/>
      <c r="AI524" s="7"/>
      <c r="AJ524" s="7"/>
      <c r="AK524" s="7"/>
      <c r="AL524" s="7"/>
      <c r="AM524" s="7"/>
      <c r="AN524" s="7"/>
      <c r="AO524" s="7"/>
      <c r="AP524" s="7"/>
      <c r="AQ524" s="7"/>
      <c r="AR524" s="7"/>
      <c r="AS524" s="7"/>
      <c r="AT524" s="7"/>
      <c r="AU524" s="7"/>
      <c r="AV524" s="7"/>
      <c r="AW524" s="7"/>
      <c r="AX524" s="7"/>
      <c r="AY524" s="7"/>
      <c r="AZ524" s="7"/>
    </row>
    <row r="525" customFormat="false" ht="150" hidden="false" customHeight="true" outlineLevel="0" collapsed="false">
      <c r="A525" s="6" t="s">
        <v>2450</v>
      </c>
      <c r="B525" s="6" t="s">
        <v>1875</v>
      </c>
      <c r="C525" s="6" t="s">
        <v>1876</v>
      </c>
      <c r="D525" s="6" t="s">
        <v>145</v>
      </c>
      <c r="E525" s="6" t="s">
        <v>146</v>
      </c>
      <c r="F525" s="6"/>
      <c r="G525" s="6" t="s">
        <v>1362</v>
      </c>
      <c r="H525" s="6" t="s">
        <v>1330</v>
      </c>
      <c r="I525" s="6" t="s">
        <v>81</v>
      </c>
      <c r="J525" s="6" t="s">
        <v>621</v>
      </c>
      <c r="K525" s="6" t="s">
        <v>1854</v>
      </c>
      <c r="L525" s="6" t="s">
        <v>1855</v>
      </c>
      <c r="M525" s="6" t="s">
        <v>2439</v>
      </c>
      <c r="N525" s="6"/>
      <c r="O525" s="6"/>
      <c r="P525" s="6" t="s">
        <v>1377</v>
      </c>
      <c r="Q525" s="6" t="s">
        <v>1835</v>
      </c>
      <c r="R525" s="6" t="s">
        <v>339</v>
      </c>
      <c r="S525" s="6"/>
      <c r="T525" s="6"/>
      <c r="U525" s="6"/>
      <c r="V525" s="6"/>
      <c r="W525" s="6"/>
      <c r="X525" s="6"/>
      <c r="Y525" s="6"/>
      <c r="Z525" s="6"/>
      <c r="AA525" s="6" t="s">
        <v>89</v>
      </c>
      <c r="AB525" s="6" t="s">
        <v>2451</v>
      </c>
      <c r="AC525" s="6" t="s">
        <v>1894</v>
      </c>
      <c r="AD525" s="6" t="s">
        <v>2441</v>
      </c>
      <c r="AE525" s="6" t="s">
        <v>2442</v>
      </c>
      <c r="AF525" s="6" t="s">
        <v>2443</v>
      </c>
      <c r="AG525" s="6"/>
      <c r="AH525" s="6"/>
      <c r="AI525" s="7"/>
      <c r="AJ525" s="7"/>
      <c r="AK525" s="7"/>
      <c r="AL525" s="7"/>
      <c r="AM525" s="7"/>
      <c r="AN525" s="7"/>
      <c r="AO525" s="7"/>
      <c r="AP525" s="7"/>
      <c r="AQ525" s="7"/>
      <c r="AR525" s="7"/>
      <c r="AS525" s="7"/>
      <c r="AT525" s="7"/>
      <c r="AU525" s="7"/>
      <c r="AV525" s="7"/>
      <c r="AW525" s="7"/>
      <c r="AX525" s="7"/>
      <c r="AY525" s="7"/>
      <c r="AZ525" s="7"/>
    </row>
    <row r="526" customFormat="false" ht="150" hidden="false" customHeight="true" outlineLevel="0" collapsed="false">
      <c r="A526" s="6" t="s">
        <v>2452</v>
      </c>
      <c r="B526" s="6" t="s">
        <v>1875</v>
      </c>
      <c r="C526" s="6" t="s">
        <v>1876</v>
      </c>
      <c r="D526" s="6" t="s">
        <v>145</v>
      </c>
      <c r="E526" s="6" t="s">
        <v>146</v>
      </c>
      <c r="F526" s="6"/>
      <c r="G526" s="6" t="s">
        <v>1362</v>
      </c>
      <c r="H526" s="6" t="s">
        <v>1330</v>
      </c>
      <c r="I526" s="6" t="s">
        <v>81</v>
      </c>
      <c r="J526" s="6" t="s">
        <v>621</v>
      </c>
      <c r="K526" s="6" t="s">
        <v>1854</v>
      </c>
      <c r="L526" s="6" t="s">
        <v>1855</v>
      </c>
      <c r="M526" s="6" t="s">
        <v>2439</v>
      </c>
      <c r="N526" s="6"/>
      <c r="O526" s="6"/>
      <c r="P526" s="6" t="s">
        <v>1377</v>
      </c>
      <c r="Q526" s="6" t="s">
        <v>1835</v>
      </c>
      <c r="R526" s="6" t="s">
        <v>339</v>
      </c>
      <c r="S526" s="6"/>
      <c r="T526" s="6"/>
      <c r="U526" s="6"/>
      <c r="V526" s="6"/>
      <c r="W526" s="6"/>
      <c r="X526" s="6"/>
      <c r="Y526" s="6"/>
      <c r="Z526" s="6"/>
      <c r="AA526" s="6" t="s">
        <v>89</v>
      </c>
      <c r="AB526" s="6" t="s">
        <v>2453</v>
      </c>
      <c r="AC526" s="6" t="s">
        <v>1897</v>
      </c>
      <c r="AD526" s="6" t="s">
        <v>2441</v>
      </c>
      <c r="AE526" s="6" t="s">
        <v>2442</v>
      </c>
      <c r="AF526" s="6" t="s">
        <v>2443</v>
      </c>
      <c r="AG526" s="6"/>
      <c r="AH526" s="6"/>
      <c r="AI526" s="7"/>
      <c r="AJ526" s="7"/>
      <c r="AK526" s="7"/>
      <c r="AL526" s="7"/>
      <c r="AM526" s="7"/>
      <c r="AN526" s="7"/>
      <c r="AO526" s="7"/>
      <c r="AP526" s="7"/>
      <c r="AQ526" s="7"/>
      <c r="AR526" s="7"/>
      <c r="AS526" s="7"/>
      <c r="AT526" s="7"/>
      <c r="AU526" s="7"/>
      <c r="AV526" s="7"/>
      <c r="AW526" s="7"/>
      <c r="AX526" s="7"/>
      <c r="AY526" s="7"/>
      <c r="AZ526" s="7"/>
    </row>
    <row r="527" customFormat="false" ht="150" hidden="false" customHeight="true" outlineLevel="0" collapsed="false">
      <c r="A527" s="6" t="s">
        <v>2454</v>
      </c>
      <c r="B527" s="6" t="s">
        <v>1875</v>
      </c>
      <c r="C527" s="6" t="s">
        <v>1876</v>
      </c>
      <c r="D527" s="6" t="s">
        <v>145</v>
      </c>
      <c r="E527" s="6" t="s">
        <v>146</v>
      </c>
      <c r="F527" s="6"/>
      <c r="G527" s="6" t="s">
        <v>1362</v>
      </c>
      <c r="H527" s="6" t="s">
        <v>1330</v>
      </c>
      <c r="I527" s="6" t="s">
        <v>81</v>
      </c>
      <c r="J527" s="6" t="s">
        <v>621</v>
      </c>
      <c r="K527" s="6" t="s">
        <v>1854</v>
      </c>
      <c r="L527" s="6" t="s">
        <v>1855</v>
      </c>
      <c r="M527" s="6" t="s">
        <v>2439</v>
      </c>
      <c r="N527" s="6"/>
      <c r="O527" s="6"/>
      <c r="P527" s="6" t="s">
        <v>1377</v>
      </c>
      <c r="Q527" s="6" t="s">
        <v>1835</v>
      </c>
      <c r="R527" s="6" t="s">
        <v>339</v>
      </c>
      <c r="S527" s="6"/>
      <c r="T527" s="6"/>
      <c r="U527" s="6"/>
      <c r="V527" s="6"/>
      <c r="W527" s="6"/>
      <c r="X527" s="6"/>
      <c r="Y527" s="6"/>
      <c r="Z527" s="6"/>
      <c r="AA527" s="6" t="s">
        <v>89</v>
      </c>
      <c r="AB527" s="6" t="s">
        <v>2455</v>
      </c>
      <c r="AC527" s="6" t="s">
        <v>1900</v>
      </c>
      <c r="AD527" s="6" t="s">
        <v>2441</v>
      </c>
      <c r="AE527" s="6" t="s">
        <v>2442</v>
      </c>
      <c r="AF527" s="6" t="s">
        <v>2443</v>
      </c>
      <c r="AG527" s="6"/>
      <c r="AH527" s="6"/>
      <c r="AI527" s="7"/>
      <c r="AJ527" s="7"/>
      <c r="AK527" s="7"/>
      <c r="AL527" s="7"/>
      <c r="AM527" s="7"/>
      <c r="AN527" s="7"/>
      <c r="AO527" s="7"/>
      <c r="AP527" s="7"/>
      <c r="AQ527" s="7"/>
      <c r="AR527" s="7"/>
      <c r="AS527" s="7"/>
      <c r="AT527" s="7"/>
      <c r="AU527" s="7"/>
      <c r="AV527" s="7"/>
      <c r="AW527" s="7"/>
      <c r="AX527" s="7"/>
      <c r="AY527" s="7"/>
      <c r="AZ527" s="7"/>
    </row>
    <row r="528" customFormat="false" ht="150" hidden="false" customHeight="true" outlineLevel="0" collapsed="false">
      <c r="A528" s="6" t="s">
        <v>2456</v>
      </c>
      <c r="B528" s="6" t="s">
        <v>1875</v>
      </c>
      <c r="C528" s="6" t="s">
        <v>1876</v>
      </c>
      <c r="D528" s="6" t="s">
        <v>145</v>
      </c>
      <c r="E528" s="6" t="s">
        <v>146</v>
      </c>
      <c r="F528" s="6"/>
      <c r="G528" s="6" t="s">
        <v>1362</v>
      </c>
      <c r="H528" s="6" t="s">
        <v>1330</v>
      </c>
      <c r="I528" s="6" t="s">
        <v>81</v>
      </c>
      <c r="J528" s="6" t="s">
        <v>621</v>
      </c>
      <c r="K528" s="6" t="s">
        <v>1854</v>
      </c>
      <c r="L528" s="6" t="s">
        <v>1855</v>
      </c>
      <c r="M528" s="6" t="s">
        <v>2439</v>
      </c>
      <c r="N528" s="6"/>
      <c r="O528" s="6"/>
      <c r="P528" s="6" t="s">
        <v>1377</v>
      </c>
      <c r="Q528" s="6" t="s">
        <v>1835</v>
      </c>
      <c r="R528" s="6" t="s">
        <v>339</v>
      </c>
      <c r="S528" s="6"/>
      <c r="T528" s="6"/>
      <c r="U528" s="6"/>
      <c r="V528" s="6"/>
      <c r="W528" s="6"/>
      <c r="X528" s="6"/>
      <c r="Y528" s="6"/>
      <c r="Z528" s="6"/>
      <c r="AA528" s="6" t="s">
        <v>89</v>
      </c>
      <c r="AB528" s="6" t="s">
        <v>2457</v>
      </c>
      <c r="AC528" s="6" t="s">
        <v>1903</v>
      </c>
      <c r="AD528" s="6" t="s">
        <v>2441</v>
      </c>
      <c r="AE528" s="6" t="s">
        <v>2442</v>
      </c>
      <c r="AF528" s="6" t="s">
        <v>2443</v>
      </c>
      <c r="AG528" s="6"/>
      <c r="AH528" s="6"/>
      <c r="AI528" s="7"/>
      <c r="AJ528" s="7"/>
      <c r="AK528" s="7"/>
      <c r="AL528" s="7"/>
      <c r="AM528" s="7"/>
      <c r="AN528" s="7"/>
      <c r="AO528" s="7"/>
      <c r="AP528" s="7"/>
      <c r="AQ528" s="7"/>
      <c r="AR528" s="7"/>
      <c r="AS528" s="7"/>
      <c r="AT528" s="7"/>
      <c r="AU528" s="7"/>
      <c r="AV528" s="7"/>
      <c r="AW528" s="7"/>
      <c r="AX528" s="7"/>
      <c r="AY528" s="7"/>
      <c r="AZ528" s="7"/>
    </row>
    <row r="529" customFormat="false" ht="150" hidden="false" customHeight="true" outlineLevel="0" collapsed="false">
      <c r="A529" s="6" t="s">
        <v>2458</v>
      </c>
      <c r="B529" s="6" t="s">
        <v>1875</v>
      </c>
      <c r="C529" s="6" t="s">
        <v>1876</v>
      </c>
      <c r="D529" s="6" t="s">
        <v>145</v>
      </c>
      <c r="E529" s="6" t="s">
        <v>146</v>
      </c>
      <c r="F529" s="6"/>
      <c r="G529" s="6" t="s">
        <v>1362</v>
      </c>
      <c r="H529" s="6" t="s">
        <v>1330</v>
      </c>
      <c r="I529" s="6" t="s">
        <v>81</v>
      </c>
      <c r="J529" s="6" t="s">
        <v>621</v>
      </c>
      <c r="K529" s="6" t="s">
        <v>1854</v>
      </c>
      <c r="L529" s="6" t="s">
        <v>1855</v>
      </c>
      <c r="M529" s="6" t="s">
        <v>2439</v>
      </c>
      <c r="N529" s="6"/>
      <c r="O529" s="6"/>
      <c r="P529" s="6" t="s">
        <v>1377</v>
      </c>
      <c r="Q529" s="6" t="s">
        <v>1835</v>
      </c>
      <c r="R529" s="6" t="s">
        <v>339</v>
      </c>
      <c r="S529" s="6"/>
      <c r="T529" s="6"/>
      <c r="U529" s="6"/>
      <c r="V529" s="6"/>
      <c r="W529" s="6"/>
      <c r="X529" s="6"/>
      <c r="Y529" s="6"/>
      <c r="Z529" s="6"/>
      <c r="AA529" s="6" t="s">
        <v>89</v>
      </c>
      <c r="AB529" s="6" t="s">
        <v>2459</v>
      </c>
      <c r="AC529" s="6" t="s">
        <v>1906</v>
      </c>
      <c r="AD529" s="6" t="s">
        <v>2441</v>
      </c>
      <c r="AE529" s="6" t="s">
        <v>2442</v>
      </c>
      <c r="AF529" s="6" t="s">
        <v>2443</v>
      </c>
      <c r="AG529" s="6"/>
      <c r="AH529" s="6"/>
      <c r="AI529" s="7"/>
      <c r="AJ529" s="7"/>
      <c r="AK529" s="7"/>
      <c r="AL529" s="7"/>
      <c r="AM529" s="7"/>
      <c r="AN529" s="7"/>
      <c r="AO529" s="7"/>
      <c r="AP529" s="7"/>
      <c r="AQ529" s="7"/>
      <c r="AR529" s="7"/>
      <c r="AS529" s="7"/>
      <c r="AT529" s="7"/>
      <c r="AU529" s="7"/>
      <c r="AV529" s="7"/>
      <c r="AW529" s="7"/>
      <c r="AX529" s="7"/>
      <c r="AY529" s="7"/>
      <c r="AZ529" s="7"/>
    </row>
    <row r="530" customFormat="false" ht="150" hidden="false" customHeight="true" outlineLevel="0" collapsed="false">
      <c r="A530" s="6" t="s">
        <v>2460</v>
      </c>
      <c r="B530" s="6" t="s">
        <v>1875</v>
      </c>
      <c r="C530" s="6" t="s">
        <v>1876</v>
      </c>
      <c r="D530" s="6" t="s">
        <v>145</v>
      </c>
      <c r="E530" s="6" t="s">
        <v>146</v>
      </c>
      <c r="F530" s="6"/>
      <c r="G530" s="6" t="s">
        <v>1362</v>
      </c>
      <c r="H530" s="6" t="s">
        <v>1330</v>
      </c>
      <c r="I530" s="6" t="s">
        <v>81</v>
      </c>
      <c r="J530" s="6" t="s">
        <v>621</v>
      </c>
      <c r="K530" s="6" t="s">
        <v>1854</v>
      </c>
      <c r="L530" s="6" t="s">
        <v>1855</v>
      </c>
      <c r="M530" s="6" t="s">
        <v>2439</v>
      </c>
      <c r="N530" s="6"/>
      <c r="O530" s="6"/>
      <c r="P530" s="6" t="s">
        <v>1377</v>
      </c>
      <c r="Q530" s="6" t="s">
        <v>1835</v>
      </c>
      <c r="R530" s="6" t="s">
        <v>339</v>
      </c>
      <c r="S530" s="6"/>
      <c r="T530" s="6"/>
      <c r="U530" s="6"/>
      <c r="V530" s="6"/>
      <c r="W530" s="6"/>
      <c r="X530" s="6"/>
      <c r="Y530" s="6"/>
      <c r="Z530" s="6"/>
      <c r="AA530" s="6" t="s">
        <v>89</v>
      </c>
      <c r="AB530" s="6" t="s">
        <v>2461</v>
      </c>
      <c r="AC530" s="6" t="s">
        <v>1909</v>
      </c>
      <c r="AD530" s="6" t="s">
        <v>2441</v>
      </c>
      <c r="AE530" s="6" t="s">
        <v>2442</v>
      </c>
      <c r="AF530" s="6" t="s">
        <v>2443</v>
      </c>
      <c r="AG530" s="6"/>
      <c r="AH530" s="6"/>
      <c r="AI530" s="7"/>
      <c r="AJ530" s="7"/>
      <c r="AK530" s="7"/>
      <c r="AL530" s="7"/>
      <c r="AM530" s="7"/>
      <c r="AN530" s="7"/>
      <c r="AO530" s="7"/>
      <c r="AP530" s="7"/>
      <c r="AQ530" s="7"/>
      <c r="AR530" s="7"/>
      <c r="AS530" s="7"/>
      <c r="AT530" s="7"/>
      <c r="AU530" s="7"/>
      <c r="AV530" s="7"/>
      <c r="AW530" s="7"/>
      <c r="AX530" s="7"/>
      <c r="AY530" s="7"/>
      <c r="AZ530" s="7"/>
    </row>
    <row r="531" customFormat="false" ht="150" hidden="false" customHeight="true" outlineLevel="0" collapsed="false">
      <c r="A531" s="6" t="s">
        <v>2462</v>
      </c>
      <c r="B531" s="6" t="s">
        <v>2463</v>
      </c>
      <c r="C531" s="6" t="s">
        <v>76</v>
      </c>
      <c r="D531" s="6" t="s">
        <v>123</v>
      </c>
      <c r="E531" s="6" t="s">
        <v>124</v>
      </c>
      <c r="F531" s="6"/>
      <c r="G531" s="6" t="s">
        <v>79</v>
      </c>
      <c r="H531" s="6" t="s">
        <v>1062</v>
      </c>
      <c r="I531" s="6" t="s">
        <v>1063</v>
      </c>
      <c r="J531" s="6" t="s">
        <v>595</v>
      </c>
      <c r="K531" s="6" t="s">
        <v>596</v>
      </c>
      <c r="L531" s="6" t="s">
        <v>597</v>
      </c>
      <c r="M531" s="6" t="s">
        <v>2464</v>
      </c>
      <c r="N531" s="6"/>
      <c r="O531" s="6"/>
      <c r="P531" s="6" t="s">
        <v>599</v>
      </c>
      <c r="Q531" s="6"/>
      <c r="R531" s="6" t="s">
        <v>600</v>
      </c>
      <c r="S531" s="6" t="s">
        <v>601</v>
      </c>
      <c r="T531" s="6" t="s">
        <v>83</v>
      </c>
      <c r="U531" s="6" t="s">
        <v>83</v>
      </c>
      <c r="V531" s="6" t="s">
        <v>2465</v>
      </c>
      <c r="W531" s="6" t="s">
        <v>2466</v>
      </c>
      <c r="X531" s="6" t="s">
        <v>2467</v>
      </c>
      <c r="Y531" s="6"/>
      <c r="Z531" s="6"/>
      <c r="AA531" s="6" t="s">
        <v>89</v>
      </c>
      <c r="AB531" s="6" t="s">
        <v>2468</v>
      </c>
      <c r="AC531" s="6" t="s">
        <v>2469</v>
      </c>
      <c r="AD531" s="6" t="s">
        <v>2470</v>
      </c>
      <c r="AE531" s="6" t="s">
        <v>2471</v>
      </c>
      <c r="AF531" s="6"/>
      <c r="AG531" s="6"/>
      <c r="AH531" s="6"/>
      <c r="AI531" s="7"/>
      <c r="AJ531" s="7"/>
      <c r="AK531" s="7"/>
      <c r="AL531" s="7"/>
      <c r="AM531" s="7"/>
      <c r="AN531" s="7"/>
      <c r="AO531" s="7"/>
      <c r="AP531" s="7"/>
      <c r="AQ531" s="7"/>
      <c r="AR531" s="7"/>
      <c r="AS531" s="7"/>
      <c r="AT531" s="7"/>
      <c r="AU531" s="7"/>
      <c r="AV531" s="7"/>
      <c r="AW531" s="7"/>
      <c r="AX531" s="7"/>
      <c r="AY531" s="7"/>
      <c r="AZ531" s="7"/>
    </row>
    <row r="532" customFormat="false" ht="150" hidden="false" customHeight="true" outlineLevel="0" collapsed="false">
      <c r="A532" s="6" t="s">
        <v>2472</v>
      </c>
      <c r="B532" s="6" t="s">
        <v>2463</v>
      </c>
      <c r="C532" s="6" t="s">
        <v>76</v>
      </c>
      <c r="D532" s="6" t="s">
        <v>123</v>
      </c>
      <c r="E532" s="6" t="s">
        <v>124</v>
      </c>
      <c r="F532" s="6" t="s">
        <v>110</v>
      </c>
      <c r="G532" s="6" t="s">
        <v>98</v>
      </c>
      <c r="H532" s="6" t="s">
        <v>372</v>
      </c>
      <c r="I532" s="6" t="s">
        <v>81</v>
      </c>
      <c r="J532" s="6" t="s">
        <v>621</v>
      </c>
      <c r="K532" s="6" t="s">
        <v>647</v>
      </c>
      <c r="L532" s="6" t="s">
        <v>648</v>
      </c>
      <c r="M532" s="6" t="s">
        <v>2473</v>
      </c>
      <c r="N532" s="6"/>
      <c r="O532" s="6"/>
      <c r="P532" s="6" t="s">
        <v>156</v>
      </c>
      <c r="Q532" s="6" t="s">
        <v>283</v>
      </c>
      <c r="R532" s="6" t="s">
        <v>191</v>
      </c>
      <c r="S532" s="6" t="s">
        <v>637</v>
      </c>
      <c r="T532" s="6" t="s">
        <v>83</v>
      </c>
      <c r="U532" s="6"/>
      <c r="V532" s="6" t="s">
        <v>2474</v>
      </c>
      <c r="W532" s="6" t="s">
        <v>2475</v>
      </c>
      <c r="X532" s="6" t="s">
        <v>2476</v>
      </c>
      <c r="Y532" s="6"/>
      <c r="Z532" s="6"/>
      <c r="AA532" s="6" t="s">
        <v>89</v>
      </c>
      <c r="AB532" s="6" t="s">
        <v>2477</v>
      </c>
      <c r="AC532" s="6" t="s">
        <v>2478</v>
      </c>
      <c r="AD532" s="6" t="s">
        <v>2479</v>
      </c>
      <c r="AE532" s="6" t="s">
        <v>2480</v>
      </c>
      <c r="AF532" s="6" t="s">
        <v>2481</v>
      </c>
      <c r="AG532" s="6"/>
      <c r="AH532" s="6"/>
      <c r="AI532" s="7"/>
      <c r="AJ532" s="7"/>
      <c r="AK532" s="7"/>
      <c r="AL532" s="7"/>
      <c r="AM532" s="7"/>
      <c r="AN532" s="7"/>
      <c r="AO532" s="7"/>
      <c r="AP532" s="7"/>
      <c r="AQ532" s="7"/>
      <c r="AR532" s="7"/>
      <c r="AS532" s="7"/>
      <c r="AT532" s="7"/>
      <c r="AU532" s="7"/>
      <c r="AV532" s="7"/>
      <c r="AW532" s="7"/>
      <c r="AX532" s="7"/>
      <c r="AY532" s="7"/>
      <c r="AZ532" s="7"/>
    </row>
    <row r="533" customFormat="false" ht="150" hidden="false" customHeight="true" outlineLevel="0" collapsed="false">
      <c r="A533" s="6" t="s">
        <v>2482</v>
      </c>
      <c r="B533" s="6" t="s">
        <v>2463</v>
      </c>
      <c r="C533" s="6" t="s">
        <v>76</v>
      </c>
      <c r="D533" s="6" t="s">
        <v>77</v>
      </c>
      <c r="E533" s="6" t="s">
        <v>78</v>
      </c>
      <c r="F533" s="6"/>
      <c r="G533" s="6" t="s">
        <v>98</v>
      </c>
      <c r="H533" s="6" t="s">
        <v>408</v>
      </c>
      <c r="I533" s="6" t="s">
        <v>409</v>
      </c>
      <c r="J533" s="6" t="s">
        <v>660</v>
      </c>
      <c r="K533" s="6" t="s">
        <v>670</v>
      </c>
      <c r="L533" s="6" t="s">
        <v>671</v>
      </c>
      <c r="M533" s="6" t="s">
        <v>2483</v>
      </c>
      <c r="N533" s="6"/>
      <c r="O533" s="6"/>
      <c r="P533" s="6" t="s">
        <v>156</v>
      </c>
      <c r="Q533" s="6"/>
      <c r="R533" s="6" t="s">
        <v>157</v>
      </c>
      <c r="S533" s="6" t="s">
        <v>512</v>
      </c>
      <c r="T533" s="6" t="s">
        <v>83</v>
      </c>
      <c r="U533" s="6"/>
      <c r="V533" s="6" t="s">
        <v>2484</v>
      </c>
      <c r="W533" s="6" t="s">
        <v>2485</v>
      </c>
      <c r="X533" s="6" t="s">
        <v>2486</v>
      </c>
      <c r="Y533" s="6"/>
      <c r="Z533" s="6"/>
      <c r="AA533" s="6" t="s">
        <v>89</v>
      </c>
      <c r="AB533" s="6" t="s">
        <v>2487</v>
      </c>
      <c r="AC533" s="6" t="s">
        <v>2488</v>
      </c>
      <c r="AD533" s="6"/>
      <c r="AE533" s="6"/>
      <c r="AF533" s="6"/>
      <c r="AG533" s="6" t="s">
        <v>2489</v>
      </c>
      <c r="AH533" s="6" t="s">
        <v>2490</v>
      </c>
      <c r="AI533" s="7"/>
      <c r="AJ533" s="7"/>
      <c r="AK533" s="7"/>
      <c r="AL533" s="7"/>
      <c r="AM533" s="7"/>
      <c r="AN533" s="7"/>
      <c r="AO533" s="7"/>
      <c r="AP533" s="7"/>
      <c r="AQ533" s="7"/>
      <c r="AR533" s="7"/>
      <c r="AS533" s="7"/>
      <c r="AT533" s="7"/>
      <c r="AU533" s="7"/>
      <c r="AV533" s="7"/>
      <c r="AW533" s="7"/>
      <c r="AX533" s="7"/>
      <c r="AY533" s="7"/>
      <c r="AZ533" s="7"/>
    </row>
    <row r="534" customFormat="false" ht="150" hidden="false" customHeight="true" outlineLevel="0" collapsed="false">
      <c r="A534" s="6" t="s">
        <v>2491</v>
      </c>
      <c r="B534" s="6" t="s">
        <v>2463</v>
      </c>
      <c r="C534" s="6" t="s">
        <v>76</v>
      </c>
      <c r="D534" s="6" t="s">
        <v>77</v>
      </c>
      <c r="E534" s="6" t="s">
        <v>78</v>
      </c>
      <c r="F534" s="6" t="s">
        <v>2492</v>
      </c>
      <c r="G534" s="6" t="s">
        <v>165</v>
      </c>
      <c r="H534" s="6" t="s">
        <v>431</v>
      </c>
      <c r="I534" s="6" t="s">
        <v>432</v>
      </c>
      <c r="J534" s="6" t="s">
        <v>660</v>
      </c>
      <c r="K534" s="6" t="s">
        <v>2493</v>
      </c>
      <c r="L534" s="6" t="s">
        <v>2494</v>
      </c>
      <c r="M534" s="6" t="s">
        <v>2495</v>
      </c>
      <c r="N534" s="6" t="s">
        <v>493</v>
      </c>
      <c r="O534" s="6"/>
      <c r="P534" s="6" t="s">
        <v>156</v>
      </c>
      <c r="Q534" s="6" t="s">
        <v>1148</v>
      </c>
      <c r="R534" s="6" t="s">
        <v>191</v>
      </c>
      <c r="S534" s="6" t="s">
        <v>421</v>
      </c>
      <c r="T534" s="6" t="s">
        <v>83</v>
      </c>
      <c r="U534" s="6" t="s">
        <v>83</v>
      </c>
      <c r="V534" s="6" t="s">
        <v>2496</v>
      </c>
      <c r="W534" s="6" t="s">
        <v>2497</v>
      </c>
      <c r="X534" s="6" t="s">
        <v>2498</v>
      </c>
      <c r="Y534" s="6"/>
      <c r="Z534" s="6"/>
      <c r="AA534" s="6" t="s">
        <v>89</v>
      </c>
      <c r="AB534" s="6" t="s">
        <v>2499</v>
      </c>
      <c r="AC534" s="6" t="s">
        <v>2500</v>
      </c>
      <c r="AD534" s="6" t="s">
        <v>2501</v>
      </c>
      <c r="AE534" s="6" t="s">
        <v>2502</v>
      </c>
      <c r="AF534" s="6"/>
      <c r="AG534" s="6"/>
      <c r="AH534" s="6"/>
      <c r="AI534" s="7"/>
      <c r="AJ534" s="7"/>
      <c r="AK534" s="7"/>
      <c r="AL534" s="7"/>
      <c r="AM534" s="7"/>
      <c r="AN534" s="7"/>
      <c r="AO534" s="7"/>
      <c r="AP534" s="7"/>
      <c r="AQ534" s="7"/>
      <c r="AR534" s="7"/>
      <c r="AS534" s="7"/>
      <c r="AT534" s="7"/>
      <c r="AU534" s="7"/>
      <c r="AV534" s="7"/>
      <c r="AW534" s="7"/>
      <c r="AX534" s="7"/>
      <c r="AY534" s="7"/>
      <c r="AZ534" s="7"/>
    </row>
    <row r="535" customFormat="false" ht="150" hidden="false" customHeight="true" outlineLevel="0" collapsed="false">
      <c r="A535" s="6" t="s">
        <v>2503</v>
      </c>
      <c r="B535" s="6" t="s">
        <v>2463</v>
      </c>
      <c r="C535" s="6" t="s">
        <v>76</v>
      </c>
      <c r="D535" s="6" t="s">
        <v>96</v>
      </c>
      <c r="E535" s="6" t="s">
        <v>97</v>
      </c>
      <c r="F535" s="6"/>
      <c r="G535" s="6" t="s">
        <v>165</v>
      </c>
      <c r="H535" s="6" t="s">
        <v>372</v>
      </c>
      <c r="I535" s="6" t="s">
        <v>373</v>
      </c>
      <c r="J535" s="6" t="s">
        <v>621</v>
      </c>
      <c r="K535" s="6" t="s">
        <v>736</v>
      </c>
      <c r="L535" s="6" t="s">
        <v>737</v>
      </c>
      <c r="M535" s="6" t="s">
        <v>2504</v>
      </c>
      <c r="N535" s="6" t="s">
        <v>1042</v>
      </c>
      <c r="O535" s="6"/>
      <c r="P535" s="6" t="s">
        <v>156</v>
      </c>
      <c r="Q535" s="6"/>
      <c r="R535" s="6" t="s">
        <v>191</v>
      </c>
      <c r="S535" s="6" t="s">
        <v>612</v>
      </c>
      <c r="T535" s="6" t="s">
        <v>83</v>
      </c>
      <c r="U535" s="6"/>
      <c r="V535" s="6" t="s">
        <v>2505</v>
      </c>
      <c r="W535" s="6" t="s">
        <v>2506</v>
      </c>
      <c r="X535" s="6" t="s">
        <v>2507</v>
      </c>
      <c r="Y535" s="6"/>
      <c r="Z535" s="6"/>
      <c r="AA535" s="6" t="s">
        <v>89</v>
      </c>
      <c r="AB535" s="6" t="s">
        <v>2508</v>
      </c>
      <c r="AC535" s="6" t="s">
        <v>2509</v>
      </c>
      <c r="AD535" s="6" t="s">
        <v>2510</v>
      </c>
      <c r="AE535" s="6" t="s">
        <v>2511</v>
      </c>
      <c r="AF535" s="6" t="s">
        <v>2512</v>
      </c>
      <c r="AG535" s="6"/>
      <c r="AH535" s="6"/>
      <c r="AI535" s="7"/>
      <c r="AJ535" s="7"/>
      <c r="AK535" s="7"/>
      <c r="AL535" s="7"/>
      <c r="AM535" s="7"/>
      <c r="AN535" s="7"/>
      <c r="AO535" s="7"/>
      <c r="AP535" s="7"/>
      <c r="AQ535" s="7"/>
      <c r="AR535" s="7"/>
      <c r="AS535" s="7"/>
      <c r="AT535" s="7"/>
      <c r="AU535" s="7"/>
      <c r="AV535" s="7"/>
      <c r="AW535" s="7"/>
      <c r="AX535" s="7"/>
      <c r="AY535" s="7"/>
      <c r="AZ535" s="7"/>
    </row>
    <row r="536" customFormat="false" ht="150" hidden="false" customHeight="true" outlineLevel="0" collapsed="false">
      <c r="A536" s="6" t="s">
        <v>2513</v>
      </c>
      <c r="B536" s="6" t="s">
        <v>2463</v>
      </c>
      <c r="C536" s="6" t="s">
        <v>76</v>
      </c>
      <c r="D536" s="6" t="s">
        <v>96</v>
      </c>
      <c r="E536" s="6" t="s">
        <v>97</v>
      </c>
      <c r="F536" s="6"/>
      <c r="G536" s="6" t="s">
        <v>98</v>
      </c>
      <c r="H536" s="6" t="s">
        <v>781</v>
      </c>
      <c r="I536" s="6" t="s">
        <v>373</v>
      </c>
      <c r="J536" s="6" t="s">
        <v>660</v>
      </c>
      <c r="K536" s="6" t="s">
        <v>767</v>
      </c>
      <c r="L536" s="6" t="s">
        <v>768</v>
      </c>
      <c r="M536" s="6" t="s">
        <v>2514</v>
      </c>
      <c r="N536" s="6"/>
      <c r="O536" s="6"/>
      <c r="P536" s="6" t="s">
        <v>770</v>
      </c>
      <c r="Q536" s="6" t="s">
        <v>771</v>
      </c>
      <c r="R536" s="6" t="s">
        <v>772</v>
      </c>
      <c r="S536" s="6" t="s">
        <v>2515</v>
      </c>
      <c r="T536" s="6" t="s">
        <v>83</v>
      </c>
      <c r="U536" s="6"/>
      <c r="V536" s="6" t="s">
        <v>2516</v>
      </c>
      <c r="W536" s="6" t="s">
        <v>2517</v>
      </c>
      <c r="X536" s="6" t="s">
        <v>2518</v>
      </c>
      <c r="Y536" s="6"/>
      <c r="Z536" s="6"/>
      <c r="AA536" s="6" t="s">
        <v>89</v>
      </c>
      <c r="AB536" s="6" t="s">
        <v>2519</v>
      </c>
      <c r="AC536" s="6" t="s">
        <v>2520</v>
      </c>
      <c r="AD536" s="6" t="s">
        <v>2521</v>
      </c>
      <c r="AE536" s="6" t="s">
        <v>2522</v>
      </c>
      <c r="AF536" s="6" t="s">
        <v>2523</v>
      </c>
      <c r="AG536" s="6"/>
      <c r="AH536" s="6"/>
      <c r="AI536" s="7"/>
      <c r="AJ536" s="7"/>
      <c r="AK536" s="7"/>
      <c r="AL536" s="7"/>
      <c r="AM536" s="7"/>
      <c r="AN536" s="7"/>
      <c r="AO536" s="7"/>
      <c r="AP536" s="7"/>
      <c r="AQ536" s="7"/>
      <c r="AR536" s="7"/>
      <c r="AS536" s="7"/>
      <c r="AT536" s="7"/>
      <c r="AU536" s="7"/>
      <c r="AV536" s="7"/>
      <c r="AW536" s="7"/>
      <c r="AX536" s="7"/>
      <c r="AY536" s="7"/>
      <c r="AZ536" s="7"/>
    </row>
    <row r="537" customFormat="false" ht="150" hidden="false" customHeight="true" outlineLevel="0" collapsed="false">
      <c r="A537" s="6" t="s">
        <v>2524</v>
      </c>
      <c r="B537" s="6" t="s">
        <v>2463</v>
      </c>
      <c r="C537" s="6" t="s">
        <v>76</v>
      </c>
      <c r="D537" s="6" t="s">
        <v>110</v>
      </c>
      <c r="E537" s="6" t="s">
        <v>111</v>
      </c>
      <c r="F537" s="6" t="s">
        <v>123</v>
      </c>
      <c r="G537" s="6" t="s">
        <v>165</v>
      </c>
      <c r="H537" s="6" t="s">
        <v>491</v>
      </c>
      <c r="I537" s="6" t="s">
        <v>492</v>
      </c>
      <c r="J537" s="6" t="s">
        <v>621</v>
      </c>
      <c r="K537" s="6" t="s">
        <v>2525</v>
      </c>
      <c r="L537" s="6" t="s">
        <v>2526</v>
      </c>
      <c r="M537" s="6" t="s">
        <v>2527</v>
      </c>
      <c r="N537" s="6" t="s">
        <v>493</v>
      </c>
      <c r="O537" s="6"/>
      <c r="P537" s="6" t="s">
        <v>156</v>
      </c>
      <c r="Q537" s="6" t="s">
        <v>283</v>
      </c>
      <c r="R537" s="6" t="s">
        <v>191</v>
      </c>
      <c r="S537" s="6" t="s">
        <v>650</v>
      </c>
      <c r="T537" s="6" t="s">
        <v>83</v>
      </c>
      <c r="U537" s="6"/>
      <c r="V537" s="6" t="s">
        <v>2528</v>
      </c>
      <c r="W537" s="6" t="s">
        <v>2529</v>
      </c>
      <c r="X537" s="6" t="s">
        <v>2530</v>
      </c>
      <c r="Y537" s="6"/>
      <c r="Z537" s="6"/>
      <c r="AA537" s="6" t="s">
        <v>89</v>
      </c>
      <c r="AB537" s="6" t="s">
        <v>2531</v>
      </c>
      <c r="AC537" s="6" t="s">
        <v>2532</v>
      </c>
      <c r="AD537" s="6" t="s">
        <v>2533</v>
      </c>
      <c r="AE537" s="6" t="s">
        <v>2534</v>
      </c>
      <c r="AF537" s="6"/>
      <c r="AG537" s="6"/>
      <c r="AH537" s="6"/>
      <c r="AI537" s="7"/>
      <c r="AJ537" s="7"/>
      <c r="AK537" s="7"/>
      <c r="AL537" s="7"/>
      <c r="AM537" s="7"/>
      <c r="AN537" s="7"/>
      <c r="AO537" s="7"/>
      <c r="AP537" s="7"/>
      <c r="AQ537" s="7"/>
      <c r="AR537" s="7"/>
      <c r="AS537" s="7"/>
      <c r="AT537" s="7"/>
      <c r="AU537" s="7"/>
      <c r="AV537" s="7"/>
      <c r="AW537" s="7"/>
      <c r="AX537" s="7"/>
      <c r="AY537" s="7"/>
      <c r="AZ537" s="7"/>
    </row>
    <row r="538" customFormat="false" ht="150" hidden="false" customHeight="true" outlineLevel="0" collapsed="false">
      <c r="A538" s="6" t="s">
        <v>2535</v>
      </c>
      <c r="B538" s="6" t="s">
        <v>2463</v>
      </c>
      <c r="C538" s="6" t="s">
        <v>76</v>
      </c>
      <c r="D538" s="6" t="s">
        <v>110</v>
      </c>
      <c r="E538" s="6" t="s">
        <v>111</v>
      </c>
      <c r="F538" s="6" t="s">
        <v>145</v>
      </c>
      <c r="G538" s="6" t="s">
        <v>98</v>
      </c>
      <c r="H538" s="6" t="s">
        <v>372</v>
      </c>
      <c r="I538" s="6" t="s">
        <v>373</v>
      </c>
      <c r="J538" s="6" t="s">
        <v>660</v>
      </c>
      <c r="K538" s="6" t="s">
        <v>1051</v>
      </c>
      <c r="L538" s="6" t="s">
        <v>1052</v>
      </c>
      <c r="M538" s="6" t="s">
        <v>2536</v>
      </c>
      <c r="N538" s="6"/>
      <c r="O538" s="6"/>
      <c r="P538" s="6" t="s">
        <v>156</v>
      </c>
      <c r="Q538" s="6" t="s">
        <v>283</v>
      </c>
      <c r="R538" s="6" t="s">
        <v>191</v>
      </c>
      <c r="S538" s="6" t="s">
        <v>727</v>
      </c>
      <c r="T538" s="6" t="s">
        <v>83</v>
      </c>
      <c r="U538" s="6"/>
      <c r="V538" s="6" t="s">
        <v>2537</v>
      </c>
      <c r="W538" s="6" t="s">
        <v>2538</v>
      </c>
      <c r="X538" s="6" t="s">
        <v>2539</v>
      </c>
      <c r="Y538" s="6"/>
      <c r="Z538" s="6"/>
      <c r="AA538" s="6" t="s">
        <v>89</v>
      </c>
      <c r="AB538" s="6" t="s">
        <v>2540</v>
      </c>
      <c r="AC538" s="6" t="s">
        <v>2541</v>
      </c>
      <c r="AD538" s="6" t="s">
        <v>2542</v>
      </c>
      <c r="AE538" s="6" t="s">
        <v>2543</v>
      </c>
      <c r="AF538" s="6" t="s">
        <v>2544</v>
      </c>
      <c r="AG538" s="6"/>
      <c r="AH538" s="6"/>
      <c r="AI538" s="7"/>
      <c r="AJ538" s="7"/>
      <c r="AK538" s="7"/>
      <c r="AL538" s="7"/>
      <c r="AM538" s="7"/>
      <c r="AN538" s="7"/>
      <c r="AO538" s="7"/>
      <c r="AP538" s="7"/>
      <c r="AQ538" s="7"/>
      <c r="AR538" s="7"/>
      <c r="AS538" s="7"/>
      <c r="AT538" s="7"/>
      <c r="AU538" s="7"/>
      <c r="AV538" s="7"/>
      <c r="AW538" s="7"/>
      <c r="AX538" s="7"/>
      <c r="AY538" s="7"/>
      <c r="AZ538" s="7"/>
    </row>
    <row r="539" customFormat="false" ht="150" hidden="false" customHeight="true" outlineLevel="0" collapsed="false">
      <c r="A539" s="6" t="s">
        <v>2545</v>
      </c>
      <c r="B539" s="6" t="s">
        <v>2463</v>
      </c>
      <c r="C539" s="6" t="s">
        <v>76</v>
      </c>
      <c r="D539" s="6" t="s">
        <v>132</v>
      </c>
      <c r="E539" s="6" t="s">
        <v>133</v>
      </c>
      <c r="F539" s="6"/>
      <c r="G539" s="6" t="s">
        <v>98</v>
      </c>
      <c r="H539" s="6" t="s">
        <v>372</v>
      </c>
      <c r="I539" s="6" t="s">
        <v>81</v>
      </c>
      <c r="J539" s="6" t="s">
        <v>660</v>
      </c>
      <c r="K539" s="6" t="s">
        <v>866</v>
      </c>
      <c r="L539" s="6" t="s">
        <v>867</v>
      </c>
      <c r="M539" s="6" t="s">
        <v>2546</v>
      </c>
      <c r="N539" s="6"/>
      <c r="O539" s="6"/>
      <c r="P539" s="6" t="s">
        <v>869</v>
      </c>
      <c r="Q539" s="6" t="s">
        <v>771</v>
      </c>
      <c r="R539" s="6" t="s">
        <v>191</v>
      </c>
      <c r="S539" s="6" t="s">
        <v>134</v>
      </c>
      <c r="T539" s="6" t="s">
        <v>83</v>
      </c>
      <c r="U539" s="6"/>
      <c r="V539" s="6" t="s">
        <v>2547</v>
      </c>
      <c r="W539" s="6" t="s">
        <v>2548</v>
      </c>
      <c r="X539" s="6" t="s">
        <v>2549</v>
      </c>
      <c r="Y539" s="6"/>
      <c r="Z539" s="6"/>
      <c r="AA539" s="6" t="s">
        <v>89</v>
      </c>
      <c r="AB539" s="6" t="s">
        <v>2550</v>
      </c>
      <c r="AC539" s="6" t="s">
        <v>2551</v>
      </c>
      <c r="AD539" s="6" t="s">
        <v>2552</v>
      </c>
      <c r="AE539" s="6" t="s">
        <v>2553</v>
      </c>
      <c r="AF539" s="6" t="s">
        <v>2554</v>
      </c>
      <c r="AG539" s="6"/>
      <c r="AH539" s="6"/>
      <c r="AI539" s="7"/>
      <c r="AJ539" s="7"/>
      <c r="AK539" s="7"/>
      <c r="AL539" s="7"/>
      <c r="AM539" s="7"/>
      <c r="AN539" s="7"/>
      <c r="AO539" s="7"/>
      <c r="AP539" s="7"/>
      <c r="AQ539" s="7"/>
      <c r="AR539" s="7"/>
      <c r="AS539" s="7"/>
      <c r="AT539" s="7"/>
      <c r="AU539" s="7"/>
      <c r="AV539" s="7"/>
      <c r="AW539" s="7"/>
      <c r="AX539" s="7"/>
      <c r="AY539" s="7"/>
      <c r="AZ539" s="7"/>
    </row>
    <row r="540" customFormat="false" ht="150" hidden="false" customHeight="true" outlineLevel="0" collapsed="false">
      <c r="A540" s="6" t="s">
        <v>2555</v>
      </c>
      <c r="B540" s="6" t="s">
        <v>2463</v>
      </c>
      <c r="C540" s="6" t="s">
        <v>76</v>
      </c>
      <c r="D540" s="6" t="s">
        <v>132</v>
      </c>
      <c r="E540" s="6" t="s">
        <v>133</v>
      </c>
      <c r="F540" s="6" t="s">
        <v>96</v>
      </c>
      <c r="G540" s="6" t="s">
        <v>165</v>
      </c>
      <c r="H540" s="6" t="s">
        <v>372</v>
      </c>
      <c r="I540" s="6" t="s">
        <v>409</v>
      </c>
      <c r="J540" s="6" t="s">
        <v>621</v>
      </c>
      <c r="K540" s="6" t="s">
        <v>2556</v>
      </c>
      <c r="L540" s="6" t="s">
        <v>2557</v>
      </c>
      <c r="M540" s="6" t="s">
        <v>2558</v>
      </c>
      <c r="N540" s="6"/>
      <c r="O540" s="6"/>
      <c r="P540" s="6" t="s">
        <v>156</v>
      </c>
      <c r="Q540" s="6" t="s">
        <v>338</v>
      </c>
      <c r="R540" s="6" t="s">
        <v>191</v>
      </c>
      <c r="S540" s="6" t="s">
        <v>900</v>
      </c>
      <c r="T540" s="6" t="s">
        <v>83</v>
      </c>
      <c r="U540" s="6"/>
      <c r="V540" s="6" t="s">
        <v>2559</v>
      </c>
      <c r="W540" s="6" t="s">
        <v>2560</v>
      </c>
      <c r="X540" s="6" t="s">
        <v>2561</v>
      </c>
      <c r="Y540" s="6"/>
      <c r="Z540" s="6"/>
      <c r="AA540" s="6" t="s">
        <v>89</v>
      </c>
      <c r="AB540" s="6" t="s">
        <v>2562</v>
      </c>
      <c r="AC540" s="6" t="s">
        <v>2563</v>
      </c>
      <c r="AD540" s="6"/>
      <c r="AE540" s="6"/>
      <c r="AF540" s="6"/>
      <c r="AG540" s="6" t="s">
        <v>2564</v>
      </c>
      <c r="AH540" s="6" t="s">
        <v>2565</v>
      </c>
      <c r="AI540" s="7"/>
      <c r="AJ540" s="7"/>
      <c r="AK540" s="7"/>
      <c r="AL540" s="7"/>
      <c r="AM540" s="7"/>
      <c r="AN540" s="7"/>
      <c r="AO540" s="7"/>
      <c r="AP540" s="7"/>
      <c r="AQ540" s="7"/>
      <c r="AR540" s="7"/>
      <c r="AS540" s="7"/>
      <c r="AT540" s="7"/>
      <c r="AU540" s="7"/>
      <c r="AV540" s="7"/>
      <c r="AW540" s="7"/>
      <c r="AX540" s="7"/>
      <c r="AY540" s="7"/>
      <c r="AZ540" s="7"/>
    </row>
    <row r="541" customFormat="false" ht="150" hidden="false" customHeight="true" outlineLevel="0" collapsed="false">
      <c r="A541" s="6" t="s">
        <v>2566</v>
      </c>
      <c r="B541" s="6" t="s">
        <v>2463</v>
      </c>
      <c r="C541" s="6" t="s">
        <v>76</v>
      </c>
      <c r="D541" s="6" t="s">
        <v>145</v>
      </c>
      <c r="E541" s="6" t="s">
        <v>146</v>
      </c>
      <c r="F541" s="6"/>
      <c r="G541" s="6" t="s">
        <v>98</v>
      </c>
      <c r="H541" s="6" t="s">
        <v>491</v>
      </c>
      <c r="I541" s="6" t="s">
        <v>492</v>
      </c>
      <c r="J541" s="6" t="s">
        <v>660</v>
      </c>
      <c r="K541" s="6" t="s">
        <v>930</v>
      </c>
      <c r="L541" s="6" t="s">
        <v>931</v>
      </c>
      <c r="M541" s="6" t="s">
        <v>2567</v>
      </c>
      <c r="N541" s="6"/>
      <c r="O541" s="6"/>
      <c r="P541" s="6" t="s">
        <v>156</v>
      </c>
      <c r="Q541" s="6" t="s">
        <v>169</v>
      </c>
      <c r="R541" s="6" t="s">
        <v>191</v>
      </c>
      <c r="S541" s="6" t="s">
        <v>933</v>
      </c>
      <c r="T541" s="6" t="s">
        <v>83</v>
      </c>
      <c r="U541" s="6"/>
      <c r="V541" s="6" t="s">
        <v>2568</v>
      </c>
      <c r="W541" s="6" t="s">
        <v>935</v>
      </c>
      <c r="X541" s="6" t="s">
        <v>2569</v>
      </c>
      <c r="Y541" s="6"/>
      <c r="Z541" s="6"/>
      <c r="AA541" s="6" t="s">
        <v>89</v>
      </c>
      <c r="AB541" s="6" t="s">
        <v>2570</v>
      </c>
      <c r="AC541" s="6" t="s">
        <v>2571</v>
      </c>
      <c r="AD541" s="6" t="s">
        <v>2572</v>
      </c>
      <c r="AE541" s="6" t="s">
        <v>2573</v>
      </c>
      <c r="AF541" s="6"/>
      <c r="AG541" s="6"/>
      <c r="AH541" s="6"/>
      <c r="AI541" s="7"/>
      <c r="AJ541" s="7"/>
      <c r="AK541" s="7"/>
      <c r="AL541" s="7"/>
      <c r="AM541" s="7"/>
      <c r="AN541" s="7"/>
      <c r="AO541" s="7"/>
      <c r="AP541" s="7"/>
      <c r="AQ541" s="7"/>
      <c r="AR541" s="7"/>
      <c r="AS541" s="7"/>
      <c r="AT541" s="7"/>
      <c r="AU541" s="7"/>
      <c r="AV541" s="7"/>
      <c r="AW541" s="7"/>
      <c r="AX541" s="7"/>
      <c r="AY541" s="7"/>
      <c r="AZ541" s="7"/>
    </row>
    <row r="542" customFormat="false" ht="150" hidden="false" customHeight="true" outlineLevel="0" collapsed="false">
      <c r="A542" s="6" t="s">
        <v>2574</v>
      </c>
      <c r="B542" s="6" t="s">
        <v>2463</v>
      </c>
      <c r="C542" s="6" t="s">
        <v>76</v>
      </c>
      <c r="D542" s="6" t="s">
        <v>145</v>
      </c>
      <c r="E542" s="6" t="s">
        <v>146</v>
      </c>
      <c r="F542" s="6" t="s">
        <v>132</v>
      </c>
      <c r="G542" s="6" t="s">
        <v>165</v>
      </c>
      <c r="H542" s="6" t="s">
        <v>372</v>
      </c>
      <c r="I542" s="6" t="s">
        <v>373</v>
      </c>
      <c r="J542" s="6" t="s">
        <v>660</v>
      </c>
      <c r="K542" s="6" t="s">
        <v>1252</v>
      </c>
      <c r="L542" s="6" t="s">
        <v>1253</v>
      </c>
      <c r="M542" s="6" t="s">
        <v>2575</v>
      </c>
      <c r="N542" s="6"/>
      <c r="O542" s="6"/>
      <c r="P542" s="6" t="s">
        <v>156</v>
      </c>
      <c r="Q542" s="6" t="s">
        <v>1211</v>
      </c>
      <c r="R542" s="6" t="s">
        <v>191</v>
      </c>
      <c r="S542" s="6" t="s">
        <v>977</v>
      </c>
      <c r="T542" s="6" t="s">
        <v>83</v>
      </c>
      <c r="U542" s="6"/>
      <c r="V542" s="6" t="s">
        <v>2576</v>
      </c>
      <c r="W542" s="6" t="s">
        <v>2577</v>
      </c>
      <c r="X542" s="6" t="s">
        <v>2578</v>
      </c>
      <c r="Y542" s="6"/>
      <c r="Z542" s="6"/>
      <c r="AA542" s="6" t="s">
        <v>89</v>
      </c>
      <c r="AB542" s="6" t="s">
        <v>2579</v>
      </c>
      <c r="AC542" s="6" t="s">
        <v>2580</v>
      </c>
      <c r="AD542" s="6" t="s">
        <v>2581</v>
      </c>
      <c r="AE542" s="6" t="s">
        <v>2582</v>
      </c>
      <c r="AF542" s="6" t="s">
        <v>2583</v>
      </c>
      <c r="AG542" s="6"/>
      <c r="AH542" s="6"/>
      <c r="AI542" s="7"/>
      <c r="AJ542" s="7"/>
      <c r="AK542" s="7"/>
      <c r="AL542" s="7"/>
      <c r="AM542" s="7"/>
      <c r="AN542" s="7"/>
      <c r="AO542" s="7"/>
      <c r="AP542" s="7"/>
      <c r="AQ542" s="7"/>
      <c r="AR542" s="7"/>
      <c r="AS542" s="7"/>
      <c r="AT542" s="7"/>
      <c r="AU542" s="7"/>
      <c r="AV542" s="7"/>
      <c r="AW542" s="7"/>
      <c r="AX542" s="7"/>
      <c r="AY542" s="7"/>
      <c r="AZ542" s="7"/>
    </row>
    <row r="543" customFormat="false" ht="150" hidden="false" customHeight="true" outlineLevel="0" collapsed="false">
      <c r="A543" s="6" t="s">
        <v>2584</v>
      </c>
      <c r="B543" s="6" t="s">
        <v>2463</v>
      </c>
      <c r="C543" s="6" t="s">
        <v>76</v>
      </c>
      <c r="D543" s="6" t="s">
        <v>123</v>
      </c>
      <c r="E543" s="6" t="s">
        <v>124</v>
      </c>
      <c r="F543" s="6"/>
      <c r="G543" s="6" t="s">
        <v>98</v>
      </c>
      <c r="H543" s="6" t="s">
        <v>491</v>
      </c>
      <c r="I543" s="6" t="s">
        <v>492</v>
      </c>
      <c r="J543" s="6" t="s">
        <v>595</v>
      </c>
      <c r="K543" s="6" t="s">
        <v>596</v>
      </c>
      <c r="L543" s="6" t="s">
        <v>597</v>
      </c>
      <c r="M543" s="6" t="s">
        <v>2585</v>
      </c>
      <c r="N543" s="6"/>
      <c r="O543" s="6"/>
      <c r="P543" s="6" t="s">
        <v>599</v>
      </c>
      <c r="Q543" s="6"/>
      <c r="R543" s="6" t="s">
        <v>600</v>
      </c>
      <c r="S543" s="6" t="s">
        <v>601</v>
      </c>
      <c r="T543" s="6" t="s">
        <v>83</v>
      </c>
      <c r="U543" s="6"/>
      <c r="V543" s="6" t="s">
        <v>2586</v>
      </c>
      <c r="W543" s="6" t="s">
        <v>2587</v>
      </c>
      <c r="X543" s="6" t="s">
        <v>2588</v>
      </c>
      <c r="Y543" s="6"/>
      <c r="Z543" s="6"/>
      <c r="AA543" s="6" t="s">
        <v>89</v>
      </c>
      <c r="AB543" s="6" t="s">
        <v>2589</v>
      </c>
      <c r="AC543" s="6" t="s">
        <v>2590</v>
      </c>
      <c r="AD543" s="6" t="s">
        <v>2591</v>
      </c>
      <c r="AE543" s="6" t="s">
        <v>2592</v>
      </c>
      <c r="AF543" s="6"/>
      <c r="AG543" s="6"/>
      <c r="AH543" s="6"/>
      <c r="AI543" s="7"/>
      <c r="AJ543" s="7"/>
      <c r="AK543" s="7"/>
      <c r="AL543" s="7"/>
      <c r="AM543" s="7"/>
      <c r="AN543" s="7"/>
      <c r="AO543" s="7"/>
      <c r="AP543" s="7"/>
      <c r="AQ543" s="7"/>
      <c r="AR543" s="7"/>
      <c r="AS543" s="7"/>
      <c r="AT543" s="7"/>
      <c r="AU543" s="7"/>
      <c r="AV543" s="7"/>
      <c r="AW543" s="7"/>
      <c r="AX543" s="7"/>
      <c r="AY543" s="7"/>
      <c r="AZ543" s="7"/>
    </row>
    <row r="544" customFormat="false" ht="150" hidden="false" customHeight="true" outlineLevel="0" collapsed="false">
      <c r="A544" s="6" t="s">
        <v>2593</v>
      </c>
      <c r="B544" s="6" t="s">
        <v>2463</v>
      </c>
      <c r="C544" s="6" t="s">
        <v>76</v>
      </c>
      <c r="D544" s="6" t="s">
        <v>123</v>
      </c>
      <c r="E544" s="6" t="s">
        <v>124</v>
      </c>
      <c r="F544" s="6" t="s">
        <v>110</v>
      </c>
      <c r="G544" s="6" t="s">
        <v>165</v>
      </c>
      <c r="H544" s="6" t="s">
        <v>372</v>
      </c>
      <c r="I544" s="6" t="s">
        <v>373</v>
      </c>
      <c r="J544" s="6" t="s">
        <v>621</v>
      </c>
      <c r="K544" s="6" t="s">
        <v>647</v>
      </c>
      <c r="L544" s="6" t="s">
        <v>648</v>
      </c>
      <c r="M544" s="6" t="s">
        <v>2594</v>
      </c>
      <c r="N544" s="6"/>
      <c r="O544" s="6"/>
      <c r="P544" s="6" t="s">
        <v>156</v>
      </c>
      <c r="Q544" s="6" t="s">
        <v>283</v>
      </c>
      <c r="R544" s="6" t="s">
        <v>191</v>
      </c>
      <c r="S544" s="6" t="s">
        <v>637</v>
      </c>
      <c r="T544" s="6" t="s">
        <v>83</v>
      </c>
      <c r="U544" s="6"/>
      <c r="V544" s="6" t="s">
        <v>2595</v>
      </c>
      <c r="W544" s="6" t="s">
        <v>2596</v>
      </c>
      <c r="X544" s="6" t="s">
        <v>2597</v>
      </c>
      <c r="Y544" s="6"/>
      <c r="Z544" s="6"/>
      <c r="AA544" s="6" t="s">
        <v>89</v>
      </c>
      <c r="AB544" s="6" t="s">
        <v>2598</v>
      </c>
      <c r="AC544" s="6" t="s">
        <v>2599</v>
      </c>
      <c r="AD544" s="6" t="s">
        <v>2600</v>
      </c>
      <c r="AE544" s="6" t="s">
        <v>2601</v>
      </c>
      <c r="AF544" s="6" t="s">
        <v>2602</v>
      </c>
      <c r="AG544" s="6"/>
      <c r="AH544" s="6"/>
      <c r="AI544" s="7"/>
      <c r="AJ544" s="7"/>
      <c r="AK544" s="7"/>
      <c r="AL544" s="7"/>
      <c r="AM544" s="7"/>
      <c r="AN544" s="7"/>
      <c r="AO544" s="7"/>
      <c r="AP544" s="7"/>
      <c r="AQ544" s="7"/>
      <c r="AR544" s="7"/>
      <c r="AS544" s="7"/>
      <c r="AT544" s="7"/>
      <c r="AU544" s="7"/>
      <c r="AV544" s="7"/>
      <c r="AW544" s="7"/>
      <c r="AX544" s="7"/>
      <c r="AY544" s="7"/>
      <c r="AZ544" s="7"/>
    </row>
    <row r="545" customFormat="false" ht="150" hidden="false" customHeight="true" outlineLevel="0" collapsed="false">
      <c r="A545" s="6" t="s">
        <v>2603</v>
      </c>
      <c r="B545" s="6" t="s">
        <v>2463</v>
      </c>
      <c r="C545" s="6" t="s">
        <v>76</v>
      </c>
      <c r="D545" s="6" t="s">
        <v>77</v>
      </c>
      <c r="E545" s="6" t="s">
        <v>78</v>
      </c>
      <c r="F545" s="6"/>
      <c r="G545" s="6" t="s">
        <v>165</v>
      </c>
      <c r="H545" s="6" t="s">
        <v>408</v>
      </c>
      <c r="I545" s="6" t="s">
        <v>409</v>
      </c>
      <c r="J545" s="6" t="s">
        <v>660</v>
      </c>
      <c r="K545" s="6" t="s">
        <v>670</v>
      </c>
      <c r="L545" s="6" t="s">
        <v>671</v>
      </c>
      <c r="M545" s="6" t="s">
        <v>2604</v>
      </c>
      <c r="N545" s="6"/>
      <c r="O545" s="6"/>
      <c r="P545" s="6" t="s">
        <v>156</v>
      </c>
      <c r="Q545" s="6"/>
      <c r="R545" s="6" t="s">
        <v>157</v>
      </c>
      <c r="S545" s="6" t="s">
        <v>398</v>
      </c>
      <c r="T545" s="6" t="s">
        <v>83</v>
      </c>
      <c r="U545" s="6"/>
      <c r="V545" s="6" t="s">
        <v>2605</v>
      </c>
      <c r="W545" s="6" t="s">
        <v>2606</v>
      </c>
      <c r="X545" s="6" t="s">
        <v>2607</v>
      </c>
      <c r="Y545" s="6"/>
      <c r="Z545" s="6"/>
      <c r="AA545" s="6" t="s">
        <v>89</v>
      </c>
      <c r="AB545" s="6" t="s">
        <v>2608</v>
      </c>
      <c r="AC545" s="6" t="s">
        <v>2609</v>
      </c>
      <c r="AD545" s="6"/>
      <c r="AE545" s="6"/>
      <c r="AF545" s="6"/>
      <c r="AG545" s="6" t="s">
        <v>2610</v>
      </c>
      <c r="AH545" s="6" t="s">
        <v>2611</v>
      </c>
      <c r="AI545" s="7"/>
      <c r="AJ545" s="7"/>
      <c r="AK545" s="7"/>
      <c r="AL545" s="7"/>
      <c r="AM545" s="7"/>
      <c r="AN545" s="7"/>
      <c r="AO545" s="7"/>
      <c r="AP545" s="7"/>
      <c r="AQ545" s="7"/>
      <c r="AR545" s="7"/>
      <c r="AS545" s="7"/>
      <c r="AT545" s="7"/>
      <c r="AU545" s="7"/>
      <c r="AV545" s="7"/>
      <c r="AW545" s="7"/>
      <c r="AX545" s="7"/>
      <c r="AY545" s="7"/>
      <c r="AZ545" s="7"/>
    </row>
    <row r="546" customFormat="false" ht="150" hidden="false" customHeight="true" outlineLevel="0" collapsed="false">
      <c r="A546" s="6" t="s">
        <v>2612</v>
      </c>
      <c r="B546" s="6" t="s">
        <v>2463</v>
      </c>
      <c r="C546" s="6" t="s">
        <v>76</v>
      </c>
      <c r="D546" s="6" t="s">
        <v>77</v>
      </c>
      <c r="E546" s="6" t="s">
        <v>78</v>
      </c>
      <c r="F546" s="6" t="s">
        <v>145</v>
      </c>
      <c r="G546" s="6" t="s">
        <v>98</v>
      </c>
      <c r="H546" s="6" t="s">
        <v>431</v>
      </c>
      <c r="I546" s="6" t="s">
        <v>432</v>
      </c>
      <c r="J546" s="6" t="s">
        <v>660</v>
      </c>
      <c r="K546" s="6" t="s">
        <v>1103</v>
      </c>
      <c r="L546" s="6" t="s">
        <v>1104</v>
      </c>
      <c r="M546" s="6" t="s">
        <v>2613</v>
      </c>
      <c r="N546" s="6" t="s">
        <v>511</v>
      </c>
      <c r="O546" s="6"/>
      <c r="P546" s="6" t="s">
        <v>156</v>
      </c>
      <c r="Q546" s="6" t="s">
        <v>169</v>
      </c>
      <c r="R546" s="6" t="s">
        <v>191</v>
      </c>
      <c r="S546" s="6" t="s">
        <v>512</v>
      </c>
      <c r="T546" s="6" t="s">
        <v>83</v>
      </c>
      <c r="U546" s="6"/>
      <c r="V546" s="6" t="s">
        <v>2614</v>
      </c>
      <c r="W546" s="6" t="s">
        <v>2615</v>
      </c>
      <c r="X546" s="6" t="s">
        <v>2616</v>
      </c>
      <c r="Y546" s="6"/>
      <c r="Z546" s="6"/>
      <c r="AA546" s="6" t="s">
        <v>89</v>
      </c>
      <c r="AB546" s="6" t="s">
        <v>2617</v>
      </c>
      <c r="AC546" s="6" t="s">
        <v>2618</v>
      </c>
      <c r="AD546" s="6" t="s">
        <v>2619</v>
      </c>
      <c r="AE546" s="6" t="s">
        <v>2620</v>
      </c>
      <c r="AF546" s="6"/>
      <c r="AG546" s="6"/>
      <c r="AH546" s="6"/>
      <c r="AI546" s="7"/>
      <c r="AJ546" s="7"/>
      <c r="AK546" s="7"/>
      <c r="AL546" s="7"/>
      <c r="AM546" s="7"/>
      <c r="AN546" s="7"/>
      <c r="AO546" s="7"/>
      <c r="AP546" s="7"/>
      <c r="AQ546" s="7"/>
      <c r="AR546" s="7"/>
      <c r="AS546" s="7"/>
      <c r="AT546" s="7"/>
      <c r="AU546" s="7"/>
      <c r="AV546" s="7"/>
      <c r="AW546" s="7"/>
      <c r="AX546" s="7"/>
      <c r="AY546" s="7"/>
      <c r="AZ546" s="7"/>
    </row>
    <row r="547" customFormat="false" ht="150" hidden="false" customHeight="true" outlineLevel="0" collapsed="false">
      <c r="A547" s="6" t="s">
        <v>2621</v>
      </c>
      <c r="B547" s="6" t="s">
        <v>2463</v>
      </c>
      <c r="C547" s="6" t="s">
        <v>76</v>
      </c>
      <c r="D547" s="6" t="s">
        <v>96</v>
      </c>
      <c r="E547" s="6" t="s">
        <v>97</v>
      </c>
      <c r="F547" s="6" t="s">
        <v>132</v>
      </c>
      <c r="G547" s="6" t="s">
        <v>98</v>
      </c>
      <c r="H547" s="6" t="s">
        <v>372</v>
      </c>
      <c r="I547" s="6" t="s">
        <v>81</v>
      </c>
      <c r="J547" s="6" t="s">
        <v>660</v>
      </c>
      <c r="K547" s="6" t="s">
        <v>736</v>
      </c>
      <c r="L547" s="6" t="s">
        <v>737</v>
      </c>
      <c r="M547" s="6" t="s">
        <v>2622</v>
      </c>
      <c r="N547" s="6"/>
      <c r="O547" s="6"/>
      <c r="P547" s="6" t="s">
        <v>156</v>
      </c>
      <c r="Q547" s="6"/>
      <c r="R547" s="6" t="s">
        <v>191</v>
      </c>
      <c r="S547" s="6" t="s">
        <v>977</v>
      </c>
      <c r="T547" s="6" t="s">
        <v>83</v>
      </c>
      <c r="U547" s="6"/>
      <c r="V547" s="6" t="s">
        <v>2623</v>
      </c>
      <c r="W547" s="6" t="s">
        <v>2624</v>
      </c>
      <c r="X547" s="6" t="s">
        <v>2625</v>
      </c>
      <c r="Y547" s="6"/>
      <c r="Z547" s="6"/>
      <c r="AA547" s="6" t="s">
        <v>89</v>
      </c>
      <c r="AB547" s="6" t="s">
        <v>2626</v>
      </c>
      <c r="AC547" s="6" t="s">
        <v>2627</v>
      </c>
      <c r="AD547" s="6" t="s">
        <v>2628</v>
      </c>
      <c r="AE547" s="6" t="s">
        <v>2629</v>
      </c>
      <c r="AF547" s="6" t="s">
        <v>2630</v>
      </c>
      <c r="AG547" s="6"/>
      <c r="AH547" s="6"/>
      <c r="AI547" s="7"/>
      <c r="AJ547" s="7"/>
      <c r="AK547" s="7"/>
      <c r="AL547" s="7"/>
      <c r="AM547" s="7"/>
      <c r="AN547" s="7"/>
      <c r="AO547" s="7"/>
      <c r="AP547" s="7"/>
      <c r="AQ547" s="7"/>
      <c r="AR547" s="7"/>
      <c r="AS547" s="7"/>
      <c r="AT547" s="7"/>
      <c r="AU547" s="7"/>
      <c r="AV547" s="7"/>
      <c r="AW547" s="7"/>
      <c r="AX547" s="7"/>
      <c r="AY547" s="7"/>
      <c r="AZ547" s="7"/>
    </row>
    <row r="548" customFormat="false" ht="150" hidden="false" customHeight="true" outlineLevel="0" collapsed="false">
      <c r="A548" s="6" t="s">
        <v>2631</v>
      </c>
      <c r="B548" s="6" t="s">
        <v>2463</v>
      </c>
      <c r="C548" s="6" t="s">
        <v>76</v>
      </c>
      <c r="D548" s="6" t="s">
        <v>96</v>
      </c>
      <c r="E548" s="6" t="s">
        <v>97</v>
      </c>
      <c r="F548" s="6"/>
      <c r="G548" s="6" t="s">
        <v>165</v>
      </c>
      <c r="H548" s="6" t="s">
        <v>781</v>
      </c>
      <c r="I548" s="6" t="s">
        <v>409</v>
      </c>
      <c r="J548" s="6" t="s">
        <v>660</v>
      </c>
      <c r="K548" s="6" t="s">
        <v>767</v>
      </c>
      <c r="L548" s="6" t="s">
        <v>768</v>
      </c>
      <c r="M548" s="6" t="s">
        <v>2632</v>
      </c>
      <c r="N548" s="6"/>
      <c r="O548" s="6"/>
      <c r="P548" s="6" t="s">
        <v>770</v>
      </c>
      <c r="Q548" s="6" t="s">
        <v>771</v>
      </c>
      <c r="R548" s="6" t="s">
        <v>772</v>
      </c>
      <c r="S548" s="6" t="s">
        <v>1286</v>
      </c>
      <c r="T548" s="6" t="s">
        <v>83</v>
      </c>
      <c r="U548" s="6"/>
      <c r="V548" s="6" t="s">
        <v>2633</v>
      </c>
      <c r="W548" s="6" t="s">
        <v>2634</v>
      </c>
      <c r="X548" s="6" t="s">
        <v>2635</v>
      </c>
      <c r="Y548" s="6"/>
      <c r="Z548" s="6"/>
      <c r="AA548" s="6" t="s">
        <v>89</v>
      </c>
      <c r="AB548" s="6" t="s">
        <v>2636</v>
      </c>
      <c r="AC548" s="6" t="s">
        <v>2637</v>
      </c>
      <c r="AD548" s="6"/>
      <c r="AE548" s="6"/>
      <c r="AF548" s="6"/>
      <c r="AG548" s="6" t="s">
        <v>2638</v>
      </c>
      <c r="AH548" s="6" t="s">
        <v>2639</v>
      </c>
      <c r="AI548" s="7"/>
      <c r="AJ548" s="7"/>
      <c r="AK548" s="7"/>
      <c r="AL548" s="7"/>
      <c r="AM548" s="7"/>
      <c r="AN548" s="7"/>
      <c r="AO548" s="7"/>
      <c r="AP548" s="7"/>
      <c r="AQ548" s="7"/>
      <c r="AR548" s="7"/>
      <c r="AS548" s="7"/>
      <c r="AT548" s="7"/>
      <c r="AU548" s="7"/>
      <c r="AV548" s="7"/>
      <c r="AW548" s="7"/>
      <c r="AX548" s="7"/>
      <c r="AY548" s="7"/>
      <c r="AZ548" s="7"/>
    </row>
    <row r="549" customFormat="false" ht="150" hidden="false" customHeight="true" outlineLevel="0" collapsed="false">
      <c r="A549" s="6" t="s">
        <v>2640</v>
      </c>
      <c r="B549" s="6" t="s">
        <v>2463</v>
      </c>
      <c r="C549" s="6" t="s">
        <v>76</v>
      </c>
      <c r="D549" s="6" t="s">
        <v>110</v>
      </c>
      <c r="E549" s="6" t="s">
        <v>111</v>
      </c>
      <c r="F549" s="6"/>
      <c r="G549" s="6" t="s">
        <v>98</v>
      </c>
      <c r="H549" s="6" t="s">
        <v>372</v>
      </c>
      <c r="I549" s="6" t="s">
        <v>373</v>
      </c>
      <c r="J549" s="6" t="s">
        <v>660</v>
      </c>
      <c r="K549" s="6" t="s">
        <v>803</v>
      </c>
      <c r="L549" s="6" t="s">
        <v>804</v>
      </c>
      <c r="M549" s="6" t="s">
        <v>2641</v>
      </c>
      <c r="N549" s="6" t="s">
        <v>2642</v>
      </c>
      <c r="O549" s="6"/>
      <c r="P549" s="6" t="s">
        <v>156</v>
      </c>
      <c r="Q549" s="6" t="s">
        <v>283</v>
      </c>
      <c r="R549" s="6" t="s">
        <v>191</v>
      </c>
      <c r="S549" s="6" t="s">
        <v>461</v>
      </c>
      <c r="T549" s="6" t="s">
        <v>83</v>
      </c>
      <c r="U549" s="6"/>
      <c r="V549" s="6" t="s">
        <v>2643</v>
      </c>
      <c r="W549" s="6" t="s">
        <v>2644</v>
      </c>
      <c r="X549" s="6" t="s">
        <v>2645</v>
      </c>
      <c r="Y549" s="6"/>
      <c r="Z549" s="6"/>
      <c r="AA549" s="6" t="s">
        <v>89</v>
      </c>
      <c r="AB549" s="6" t="s">
        <v>2646</v>
      </c>
      <c r="AC549" s="6" t="s">
        <v>2647</v>
      </c>
      <c r="AD549" s="6" t="s">
        <v>2648</v>
      </c>
      <c r="AE549" s="6" t="s">
        <v>2649</v>
      </c>
      <c r="AF549" s="6" t="s">
        <v>2650</v>
      </c>
      <c r="AG549" s="6"/>
      <c r="AH549" s="6"/>
      <c r="AI549" s="7"/>
      <c r="AJ549" s="7"/>
      <c r="AK549" s="7"/>
      <c r="AL549" s="7"/>
      <c r="AM549" s="7"/>
      <c r="AN549" s="7"/>
      <c r="AO549" s="7"/>
      <c r="AP549" s="7"/>
      <c r="AQ549" s="7"/>
      <c r="AR549" s="7"/>
      <c r="AS549" s="7"/>
      <c r="AT549" s="7"/>
      <c r="AU549" s="7"/>
      <c r="AV549" s="7"/>
      <c r="AW549" s="7"/>
      <c r="AX549" s="7"/>
      <c r="AY549" s="7"/>
      <c r="AZ549" s="7"/>
    </row>
    <row r="550" customFormat="false" ht="150" hidden="false" customHeight="true" outlineLevel="0" collapsed="false">
      <c r="A550" s="6" t="s">
        <v>2651</v>
      </c>
      <c r="B550" s="6" t="s">
        <v>2463</v>
      </c>
      <c r="C550" s="6" t="s">
        <v>76</v>
      </c>
      <c r="D550" s="6" t="s">
        <v>110</v>
      </c>
      <c r="E550" s="6" t="s">
        <v>111</v>
      </c>
      <c r="F550" s="6" t="s">
        <v>132</v>
      </c>
      <c r="G550" s="6" t="s">
        <v>165</v>
      </c>
      <c r="H550" s="6" t="s">
        <v>431</v>
      </c>
      <c r="I550" s="6" t="s">
        <v>432</v>
      </c>
      <c r="J550" s="6" t="s">
        <v>660</v>
      </c>
      <c r="K550" s="6" t="s">
        <v>2652</v>
      </c>
      <c r="L550" s="6" t="s">
        <v>2653</v>
      </c>
      <c r="M550" s="6" t="s">
        <v>2654</v>
      </c>
      <c r="N550" s="6"/>
      <c r="O550" s="6"/>
      <c r="P550" s="6" t="s">
        <v>156</v>
      </c>
      <c r="Q550" s="6" t="s">
        <v>1148</v>
      </c>
      <c r="R550" s="6" t="s">
        <v>191</v>
      </c>
      <c r="S550" s="6" t="s">
        <v>1179</v>
      </c>
      <c r="T550" s="6" t="s">
        <v>83</v>
      </c>
      <c r="U550" s="6"/>
      <c r="V550" s="6" t="s">
        <v>2655</v>
      </c>
      <c r="W550" s="6" t="s">
        <v>2656</v>
      </c>
      <c r="X550" s="6" t="s">
        <v>2657</v>
      </c>
      <c r="Y550" s="6"/>
      <c r="Z550" s="6"/>
      <c r="AA550" s="6" t="s">
        <v>89</v>
      </c>
      <c r="AB550" s="6" t="s">
        <v>2658</v>
      </c>
      <c r="AC550" s="6" t="s">
        <v>2659</v>
      </c>
      <c r="AD550" s="6" t="s">
        <v>2660</v>
      </c>
      <c r="AE550" s="6" t="s">
        <v>2661</v>
      </c>
      <c r="AF550" s="6"/>
      <c r="AG550" s="6"/>
      <c r="AH550" s="6"/>
      <c r="AI550" s="7"/>
      <c r="AJ550" s="7"/>
      <c r="AK550" s="7"/>
      <c r="AL550" s="7"/>
      <c r="AM550" s="7"/>
      <c r="AN550" s="7"/>
      <c r="AO550" s="7"/>
      <c r="AP550" s="7"/>
      <c r="AQ550" s="7"/>
      <c r="AR550" s="7"/>
      <c r="AS550" s="7"/>
      <c r="AT550" s="7"/>
      <c r="AU550" s="7"/>
      <c r="AV550" s="7"/>
      <c r="AW550" s="7"/>
      <c r="AX550" s="7"/>
      <c r="AY550" s="7"/>
      <c r="AZ550" s="7"/>
    </row>
    <row r="551" customFormat="false" ht="150" hidden="false" customHeight="true" outlineLevel="0" collapsed="false">
      <c r="A551" s="6" t="s">
        <v>2662</v>
      </c>
      <c r="B551" s="6" t="s">
        <v>2463</v>
      </c>
      <c r="C551" s="6" t="s">
        <v>76</v>
      </c>
      <c r="D551" s="6" t="s">
        <v>132</v>
      </c>
      <c r="E551" s="6" t="s">
        <v>133</v>
      </c>
      <c r="F551" s="6"/>
      <c r="G551" s="6" t="s">
        <v>165</v>
      </c>
      <c r="H551" s="6" t="s">
        <v>372</v>
      </c>
      <c r="I551" s="6" t="s">
        <v>373</v>
      </c>
      <c r="J551" s="6" t="s">
        <v>660</v>
      </c>
      <c r="K551" s="6" t="s">
        <v>866</v>
      </c>
      <c r="L551" s="6" t="s">
        <v>867</v>
      </c>
      <c r="M551" s="6" t="s">
        <v>2663</v>
      </c>
      <c r="N551" s="6"/>
      <c r="O551" s="6"/>
      <c r="P551" s="6" t="s">
        <v>869</v>
      </c>
      <c r="Q551" s="6" t="s">
        <v>771</v>
      </c>
      <c r="R551" s="6" t="s">
        <v>191</v>
      </c>
      <c r="S551" s="6" t="s">
        <v>540</v>
      </c>
      <c r="T551" s="6" t="s">
        <v>83</v>
      </c>
      <c r="U551" s="6"/>
      <c r="V551" s="6" t="s">
        <v>2664</v>
      </c>
      <c r="W551" s="6" t="s">
        <v>2665</v>
      </c>
      <c r="X551" s="6" t="s">
        <v>2666</v>
      </c>
      <c r="Y551" s="6"/>
      <c r="Z551" s="6"/>
      <c r="AA551" s="6" t="s">
        <v>89</v>
      </c>
      <c r="AB551" s="6" t="s">
        <v>2667</v>
      </c>
      <c r="AC551" s="6" t="s">
        <v>2668</v>
      </c>
      <c r="AD551" s="6" t="s">
        <v>2669</v>
      </c>
      <c r="AE551" s="6" t="s">
        <v>2670</v>
      </c>
      <c r="AF551" s="6" t="s">
        <v>2671</v>
      </c>
      <c r="AG551" s="6"/>
      <c r="AH551" s="6"/>
      <c r="AI551" s="7"/>
      <c r="AJ551" s="7"/>
      <c r="AK551" s="7"/>
      <c r="AL551" s="7"/>
      <c r="AM551" s="7"/>
      <c r="AN551" s="7"/>
      <c r="AO551" s="7"/>
      <c r="AP551" s="7"/>
      <c r="AQ551" s="7"/>
      <c r="AR551" s="7"/>
      <c r="AS551" s="7"/>
      <c r="AT551" s="7"/>
      <c r="AU551" s="7"/>
      <c r="AV551" s="7"/>
      <c r="AW551" s="7"/>
      <c r="AX551" s="7"/>
      <c r="AY551" s="7"/>
      <c r="AZ551" s="7"/>
    </row>
    <row r="552" customFormat="false" ht="150" hidden="false" customHeight="true" outlineLevel="0" collapsed="false">
      <c r="A552" s="6" t="s">
        <v>2672</v>
      </c>
      <c r="B552" s="6" t="s">
        <v>2463</v>
      </c>
      <c r="C552" s="6" t="s">
        <v>76</v>
      </c>
      <c r="D552" s="6" t="s">
        <v>132</v>
      </c>
      <c r="E552" s="6" t="s">
        <v>133</v>
      </c>
      <c r="F552" s="6"/>
      <c r="G552" s="6" t="s">
        <v>98</v>
      </c>
      <c r="H552" s="6" t="s">
        <v>491</v>
      </c>
      <c r="I552" s="6" t="s">
        <v>492</v>
      </c>
      <c r="J552" s="6" t="s">
        <v>621</v>
      </c>
      <c r="K552" s="6" t="s">
        <v>897</v>
      </c>
      <c r="L552" s="6" t="s">
        <v>898</v>
      </c>
      <c r="M552" s="6" t="s">
        <v>2673</v>
      </c>
      <c r="N552" s="6"/>
      <c r="O552" s="6"/>
      <c r="P552" s="6" t="s">
        <v>869</v>
      </c>
      <c r="Q552" s="6" t="s">
        <v>338</v>
      </c>
      <c r="R552" s="6" t="s">
        <v>191</v>
      </c>
      <c r="S552" s="6" t="s">
        <v>910</v>
      </c>
      <c r="T552" s="6" t="s">
        <v>83</v>
      </c>
      <c r="U552" s="6"/>
      <c r="V552" s="6" t="s">
        <v>2674</v>
      </c>
      <c r="W552" s="6" t="s">
        <v>2675</v>
      </c>
      <c r="X552" s="6" t="s">
        <v>2676</v>
      </c>
      <c r="Y552" s="6"/>
      <c r="Z552" s="6"/>
      <c r="AA552" s="6" t="s">
        <v>89</v>
      </c>
      <c r="AB552" s="6" t="s">
        <v>2677</v>
      </c>
      <c r="AC552" s="6" t="s">
        <v>2678</v>
      </c>
      <c r="AD552" s="6" t="s">
        <v>2679</v>
      </c>
      <c r="AE552" s="6" t="s">
        <v>2680</v>
      </c>
      <c r="AF552" s="6"/>
      <c r="AG552" s="6"/>
      <c r="AH552" s="6"/>
      <c r="AI552" s="7"/>
      <c r="AJ552" s="7"/>
      <c r="AK552" s="7"/>
      <c r="AL552" s="7"/>
      <c r="AM552" s="7"/>
      <c r="AN552" s="7"/>
      <c r="AO552" s="7"/>
      <c r="AP552" s="7"/>
      <c r="AQ552" s="7"/>
      <c r="AR552" s="7"/>
      <c r="AS552" s="7"/>
      <c r="AT552" s="7"/>
      <c r="AU552" s="7"/>
      <c r="AV552" s="7"/>
      <c r="AW552" s="7"/>
      <c r="AX552" s="7"/>
      <c r="AY552" s="7"/>
      <c r="AZ552" s="7"/>
    </row>
    <row r="553" customFormat="false" ht="150" hidden="false" customHeight="true" outlineLevel="0" collapsed="false">
      <c r="A553" s="6" t="s">
        <v>2681</v>
      </c>
      <c r="B553" s="6" t="s">
        <v>2463</v>
      </c>
      <c r="C553" s="6" t="s">
        <v>76</v>
      </c>
      <c r="D553" s="6" t="s">
        <v>145</v>
      </c>
      <c r="E553" s="6" t="s">
        <v>146</v>
      </c>
      <c r="F553" s="6"/>
      <c r="G553" s="6" t="s">
        <v>165</v>
      </c>
      <c r="H553" s="6" t="s">
        <v>408</v>
      </c>
      <c r="I553" s="6" t="s">
        <v>409</v>
      </c>
      <c r="J553" s="6" t="s">
        <v>660</v>
      </c>
      <c r="K553" s="6" t="s">
        <v>930</v>
      </c>
      <c r="L553" s="6" t="s">
        <v>931</v>
      </c>
      <c r="M553" s="6" t="s">
        <v>2682</v>
      </c>
      <c r="N553" s="6"/>
      <c r="O553" s="6"/>
      <c r="P553" s="6" t="s">
        <v>156</v>
      </c>
      <c r="Q553" s="6" t="s">
        <v>169</v>
      </c>
      <c r="R553" s="6" t="s">
        <v>191</v>
      </c>
      <c r="S553" s="6" t="s">
        <v>375</v>
      </c>
      <c r="T553" s="6" t="s">
        <v>83</v>
      </c>
      <c r="U553" s="6"/>
      <c r="V553" s="6" t="s">
        <v>2683</v>
      </c>
      <c r="W553" s="6" t="s">
        <v>2684</v>
      </c>
      <c r="X553" s="6" t="s">
        <v>2685</v>
      </c>
      <c r="Y553" s="6"/>
      <c r="Z553" s="6"/>
      <c r="AA553" s="6" t="s">
        <v>89</v>
      </c>
      <c r="AB553" s="6" t="s">
        <v>2686</v>
      </c>
      <c r="AC553" s="6" t="s">
        <v>2687</v>
      </c>
      <c r="AD553" s="6"/>
      <c r="AE553" s="6"/>
      <c r="AF553" s="6"/>
      <c r="AG553" s="6" t="s">
        <v>2688</v>
      </c>
      <c r="AH553" s="6" t="s">
        <v>2689</v>
      </c>
      <c r="AI553" s="7"/>
      <c r="AJ553" s="7"/>
      <c r="AK553" s="7"/>
      <c r="AL553" s="7"/>
      <c r="AM553" s="7"/>
      <c r="AN553" s="7"/>
      <c r="AO553" s="7"/>
      <c r="AP553" s="7"/>
      <c r="AQ553" s="7"/>
      <c r="AR553" s="7"/>
      <c r="AS553" s="7"/>
      <c r="AT553" s="7"/>
      <c r="AU553" s="7"/>
      <c r="AV553" s="7"/>
      <c r="AW553" s="7"/>
      <c r="AX553" s="7"/>
      <c r="AY553" s="7"/>
      <c r="AZ553" s="7"/>
    </row>
    <row r="554" customFormat="false" ht="150" hidden="false" customHeight="true" outlineLevel="0" collapsed="false">
      <c r="A554" s="6" t="s">
        <v>2690</v>
      </c>
      <c r="B554" s="6" t="s">
        <v>2463</v>
      </c>
      <c r="C554" s="6" t="s">
        <v>76</v>
      </c>
      <c r="D554" s="6" t="s">
        <v>145</v>
      </c>
      <c r="E554" s="6" t="s">
        <v>146</v>
      </c>
      <c r="F554" s="6" t="s">
        <v>132</v>
      </c>
      <c r="G554" s="6" t="s">
        <v>98</v>
      </c>
      <c r="H554" s="6" t="s">
        <v>372</v>
      </c>
      <c r="I554" s="6" t="s">
        <v>81</v>
      </c>
      <c r="J554" s="6" t="s">
        <v>660</v>
      </c>
      <c r="K554" s="6" t="s">
        <v>962</v>
      </c>
      <c r="L554" s="6" t="s">
        <v>963</v>
      </c>
      <c r="M554" s="6" t="s">
        <v>2691</v>
      </c>
      <c r="N554" s="6"/>
      <c r="O554" s="6"/>
      <c r="P554" s="6" t="s">
        <v>965</v>
      </c>
      <c r="Q554" s="6" t="s">
        <v>966</v>
      </c>
      <c r="R554" s="6" t="s">
        <v>238</v>
      </c>
      <c r="S554" s="6" t="s">
        <v>693</v>
      </c>
      <c r="T554" s="6" t="s">
        <v>83</v>
      </c>
      <c r="U554" s="6"/>
      <c r="V554" s="6" t="s">
        <v>2692</v>
      </c>
      <c r="W554" s="6" t="s">
        <v>2693</v>
      </c>
      <c r="X554" s="6" t="s">
        <v>2694</v>
      </c>
      <c r="Y554" s="6"/>
      <c r="Z554" s="6"/>
      <c r="AA554" s="6" t="s">
        <v>89</v>
      </c>
      <c r="AB554" s="6" t="s">
        <v>2695</v>
      </c>
      <c r="AC554" s="6" t="s">
        <v>2696</v>
      </c>
      <c r="AD554" s="6" t="s">
        <v>2697</v>
      </c>
      <c r="AE554" s="6" t="s">
        <v>2698</v>
      </c>
      <c r="AF554" s="6" t="s">
        <v>2699</v>
      </c>
      <c r="AG554" s="6"/>
      <c r="AH554" s="6"/>
      <c r="AI554" s="7"/>
      <c r="AJ554" s="7"/>
      <c r="AK554" s="7"/>
      <c r="AL554" s="7"/>
      <c r="AM554" s="7"/>
      <c r="AN554" s="7"/>
      <c r="AO554" s="7"/>
      <c r="AP554" s="7"/>
      <c r="AQ554" s="7"/>
      <c r="AR554" s="7"/>
      <c r="AS554" s="7"/>
      <c r="AT554" s="7"/>
      <c r="AU554" s="7"/>
      <c r="AV554" s="7"/>
      <c r="AW554" s="7"/>
      <c r="AX554" s="7"/>
      <c r="AY554" s="7"/>
      <c r="AZ554" s="7"/>
    </row>
    <row r="555" customFormat="false" ht="150" hidden="false" customHeight="true" outlineLevel="0" collapsed="false">
      <c r="A555" s="6" t="s">
        <v>2700</v>
      </c>
      <c r="B555" s="6" t="s">
        <v>2463</v>
      </c>
      <c r="C555" s="6" t="s">
        <v>76</v>
      </c>
      <c r="D555" s="6" t="s">
        <v>123</v>
      </c>
      <c r="E555" s="6" t="s">
        <v>124</v>
      </c>
      <c r="F555" s="6"/>
      <c r="G555" s="6" t="s">
        <v>79</v>
      </c>
      <c r="H555" s="6" t="s">
        <v>372</v>
      </c>
      <c r="I555" s="6" t="s">
        <v>81</v>
      </c>
      <c r="J555" s="6"/>
      <c r="K555" s="6"/>
      <c r="L555" s="6"/>
      <c r="M555" s="6"/>
      <c r="N555" s="6"/>
      <c r="O555" s="6"/>
      <c r="P555" s="6"/>
      <c r="Q555" s="6"/>
      <c r="R555" s="6"/>
      <c r="S555" s="6"/>
      <c r="T555" s="6"/>
      <c r="U555" s="6"/>
      <c r="V555" s="6"/>
      <c r="W555" s="6"/>
      <c r="X555" s="6"/>
      <c r="Y555" s="6" t="s">
        <v>2701</v>
      </c>
      <c r="Z555" s="6" t="s">
        <v>2702</v>
      </c>
      <c r="AA555" s="6" t="s">
        <v>89</v>
      </c>
      <c r="AB555" s="6" t="s">
        <v>2703</v>
      </c>
      <c r="AC555" s="6" t="s">
        <v>2704</v>
      </c>
      <c r="AD555" s="6" t="s">
        <v>2705</v>
      </c>
      <c r="AE555" s="6" t="s">
        <v>2706</v>
      </c>
      <c r="AF555" s="6" t="s">
        <v>2707</v>
      </c>
      <c r="AG555" s="6"/>
      <c r="AH555" s="6"/>
      <c r="AI555" s="7"/>
      <c r="AJ555" s="7"/>
      <c r="AK555" s="7"/>
      <c r="AL555" s="7"/>
      <c r="AM555" s="7"/>
      <c r="AN555" s="7"/>
      <c r="AO555" s="7"/>
      <c r="AP555" s="7"/>
      <c r="AQ555" s="7"/>
      <c r="AR555" s="7"/>
      <c r="AS555" s="7"/>
      <c r="AT555" s="7"/>
      <c r="AU555" s="7"/>
      <c r="AV555" s="7"/>
      <c r="AW555" s="7"/>
      <c r="AX555" s="7"/>
      <c r="AY555" s="7"/>
      <c r="AZ555" s="7"/>
    </row>
    <row r="556" customFormat="false" ht="150" hidden="false" customHeight="true" outlineLevel="0" collapsed="false">
      <c r="A556" s="6" t="s">
        <v>2708</v>
      </c>
      <c r="B556" s="6" t="s">
        <v>2463</v>
      </c>
      <c r="C556" s="6" t="s">
        <v>76</v>
      </c>
      <c r="D556" s="6" t="s">
        <v>123</v>
      </c>
      <c r="E556" s="6" t="s">
        <v>124</v>
      </c>
      <c r="F556" s="6"/>
      <c r="G556" s="6" t="s">
        <v>98</v>
      </c>
      <c r="H556" s="6" t="s">
        <v>372</v>
      </c>
      <c r="I556" s="6" t="s">
        <v>81</v>
      </c>
      <c r="J556" s="6"/>
      <c r="K556" s="6"/>
      <c r="L556" s="6"/>
      <c r="M556" s="6"/>
      <c r="N556" s="6"/>
      <c r="O556" s="6"/>
      <c r="P556" s="6"/>
      <c r="Q556" s="6"/>
      <c r="R556" s="6"/>
      <c r="S556" s="6"/>
      <c r="T556" s="6"/>
      <c r="U556" s="6"/>
      <c r="V556" s="6"/>
      <c r="W556" s="6"/>
      <c r="X556" s="6"/>
      <c r="Y556" s="6" t="s">
        <v>2709</v>
      </c>
      <c r="Z556" s="6" t="s">
        <v>2710</v>
      </c>
      <c r="AA556" s="6" t="s">
        <v>89</v>
      </c>
      <c r="AB556" s="6" t="s">
        <v>2711</v>
      </c>
      <c r="AC556" s="6" t="s">
        <v>2712</v>
      </c>
      <c r="AD556" s="6" t="s">
        <v>2713</v>
      </c>
      <c r="AE556" s="6" t="s">
        <v>2714</v>
      </c>
      <c r="AF556" s="6" t="s">
        <v>2715</v>
      </c>
      <c r="AG556" s="6"/>
      <c r="AH556" s="6"/>
      <c r="AI556" s="7"/>
      <c r="AJ556" s="7"/>
      <c r="AK556" s="7"/>
      <c r="AL556" s="7"/>
      <c r="AM556" s="7"/>
      <c r="AN556" s="7"/>
      <c r="AO556" s="7"/>
      <c r="AP556" s="7"/>
      <c r="AQ556" s="7"/>
      <c r="AR556" s="7"/>
      <c r="AS556" s="7"/>
      <c r="AT556" s="7"/>
      <c r="AU556" s="7"/>
      <c r="AV556" s="7"/>
      <c r="AW556" s="7"/>
      <c r="AX556" s="7"/>
      <c r="AY556" s="7"/>
      <c r="AZ556" s="7"/>
    </row>
    <row r="557" customFormat="false" ht="150" hidden="false" customHeight="true" outlineLevel="0" collapsed="false">
      <c r="A557" s="6" t="s">
        <v>2716</v>
      </c>
      <c r="B557" s="6" t="s">
        <v>2463</v>
      </c>
      <c r="C557" s="6" t="s">
        <v>76</v>
      </c>
      <c r="D557" s="6" t="s">
        <v>123</v>
      </c>
      <c r="E557" s="6" t="s">
        <v>124</v>
      </c>
      <c r="F557" s="6"/>
      <c r="G557" s="6" t="s">
        <v>165</v>
      </c>
      <c r="H557" s="6" t="s">
        <v>372</v>
      </c>
      <c r="I557" s="6" t="s">
        <v>81</v>
      </c>
      <c r="J557" s="6"/>
      <c r="K557" s="6"/>
      <c r="L557" s="6"/>
      <c r="M557" s="6"/>
      <c r="N557" s="6"/>
      <c r="O557" s="6"/>
      <c r="P557" s="6"/>
      <c r="Q557" s="6"/>
      <c r="R557" s="6"/>
      <c r="S557" s="6"/>
      <c r="T557" s="6"/>
      <c r="U557" s="6"/>
      <c r="V557" s="6"/>
      <c r="W557" s="6"/>
      <c r="X557" s="6"/>
      <c r="Y557" s="6" t="s">
        <v>2717</v>
      </c>
      <c r="Z557" s="6" t="s">
        <v>2718</v>
      </c>
      <c r="AA557" s="6" t="s">
        <v>89</v>
      </c>
      <c r="AB557" s="6" t="s">
        <v>2719</v>
      </c>
      <c r="AC557" s="6" t="s">
        <v>2720</v>
      </c>
      <c r="AD557" s="6" t="s">
        <v>2721</v>
      </c>
      <c r="AE557" s="6" t="s">
        <v>2722</v>
      </c>
      <c r="AF557" s="6" t="s">
        <v>2723</v>
      </c>
      <c r="AG557" s="6"/>
      <c r="AH557" s="6"/>
      <c r="AI557" s="7"/>
      <c r="AJ557" s="7"/>
      <c r="AK557" s="7"/>
      <c r="AL557" s="7"/>
      <c r="AM557" s="7"/>
      <c r="AN557" s="7"/>
      <c r="AO557" s="7"/>
      <c r="AP557" s="7"/>
      <c r="AQ557" s="7"/>
      <c r="AR557" s="7"/>
      <c r="AS557" s="7"/>
      <c r="AT557" s="7"/>
      <c r="AU557" s="7"/>
      <c r="AV557" s="7"/>
      <c r="AW557" s="7"/>
      <c r="AX557" s="7"/>
      <c r="AY557" s="7"/>
      <c r="AZ557" s="7"/>
    </row>
    <row r="558" customFormat="false" ht="150" hidden="false" customHeight="true" outlineLevel="0" collapsed="false">
      <c r="A558" s="6" t="s">
        <v>2724</v>
      </c>
      <c r="B558" s="6" t="s">
        <v>2463</v>
      </c>
      <c r="C558" s="6" t="s">
        <v>76</v>
      </c>
      <c r="D558" s="6" t="s">
        <v>77</v>
      </c>
      <c r="E558" s="6" t="s">
        <v>78</v>
      </c>
      <c r="F558" s="6"/>
      <c r="G558" s="6" t="s">
        <v>79</v>
      </c>
      <c r="H558" s="6" t="s">
        <v>2725</v>
      </c>
      <c r="I558" s="6" t="s">
        <v>81</v>
      </c>
      <c r="J558" s="6"/>
      <c r="K558" s="6"/>
      <c r="L558" s="6"/>
      <c r="M558" s="6"/>
      <c r="N558" s="6"/>
      <c r="O558" s="6"/>
      <c r="P558" s="6"/>
      <c r="Q558" s="6"/>
      <c r="R558" s="6"/>
      <c r="S558" s="6"/>
      <c r="T558" s="6"/>
      <c r="U558" s="6"/>
      <c r="V558" s="6"/>
      <c r="W558" s="6"/>
      <c r="X558" s="6"/>
      <c r="Y558" s="6" t="s">
        <v>2726</v>
      </c>
      <c r="Z558" s="6" t="s">
        <v>2727</v>
      </c>
      <c r="AA558" s="6" t="s">
        <v>89</v>
      </c>
      <c r="AB558" s="6" t="s">
        <v>2728</v>
      </c>
      <c r="AC558" s="6" t="s">
        <v>2729</v>
      </c>
      <c r="AD558" s="6" t="s">
        <v>2730</v>
      </c>
      <c r="AE558" s="6" t="s">
        <v>2731</v>
      </c>
      <c r="AF558" s="6" t="s">
        <v>2732</v>
      </c>
      <c r="AG558" s="6"/>
      <c r="AH558" s="6"/>
      <c r="AI558" s="7"/>
      <c r="AJ558" s="7"/>
      <c r="AK558" s="7"/>
      <c r="AL558" s="7"/>
      <c r="AM558" s="7"/>
      <c r="AN558" s="7"/>
      <c r="AO558" s="7"/>
      <c r="AP558" s="7"/>
      <c r="AQ558" s="7"/>
      <c r="AR558" s="7"/>
      <c r="AS558" s="7"/>
      <c r="AT558" s="7"/>
      <c r="AU558" s="7"/>
      <c r="AV558" s="7"/>
      <c r="AW558" s="7"/>
      <c r="AX558" s="7"/>
      <c r="AY558" s="7"/>
      <c r="AZ558" s="7"/>
    </row>
    <row r="559" customFormat="false" ht="150" hidden="false" customHeight="true" outlineLevel="0" collapsed="false">
      <c r="A559" s="6" t="s">
        <v>2733</v>
      </c>
      <c r="B559" s="6" t="s">
        <v>2463</v>
      </c>
      <c r="C559" s="6" t="s">
        <v>76</v>
      </c>
      <c r="D559" s="6" t="s">
        <v>77</v>
      </c>
      <c r="E559" s="6" t="s">
        <v>78</v>
      </c>
      <c r="F559" s="6"/>
      <c r="G559" s="6" t="s">
        <v>98</v>
      </c>
      <c r="H559" s="6" t="s">
        <v>372</v>
      </c>
      <c r="I559" s="6" t="s">
        <v>81</v>
      </c>
      <c r="J559" s="6"/>
      <c r="K559" s="6"/>
      <c r="L559" s="6"/>
      <c r="M559" s="6"/>
      <c r="N559" s="6"/>
      <c r="O559" s="6"/>
      <c r="P559" s="6"/>
      <c r="Q559" s="6"/>
      <c r="R559" s="6"/>
      <c r="S559" s="6" t="s">
        <v>134</v>
      </c>
      <c r="T559" s="6" t="s">
        <v>83</v>
      </c>
      <c r="U559" s="6"/>
      <c r="V559" s="6" t="s">
        <v>2734</v>
      </c>
      <c r="W559" s="6" t="s">
        <v>2735</v>
      </c>
      <c r="X559" s="6" t="s">
        <v>2736</v>
      </c>
      <c r="Y559" s="6" t="s">
        <v>2737</v>
      </c>
      <c r="Z559" s="6" t="s">
        <v>2738</v>
      </c>
      <c r="AA559" s="6" t="s">
        <v>89</v>
      </c>
      <c r="AB559" s="6" t="s">
        <v>2739</v>
      </c>
      <c r="AC559" s="6" t="s">
        <v>2740</v>
      </c>
      <c r="AD559" s="6" t="s">
        <v>2741</v>
      </c>
      <c r="AE559" s="6" t="s">
        <v>2742</v>
      </c>
      <c r="AF559" s="6" t="s">
        <v>2743</v>
      </c>
      <c r="AG559" s="6"/>
      <c r="AH559" s="6"/>
      <c r="AI559" s="7"/>
      <c r="AJ559" s="7"/>
      <c r="AK559" s="7"/>
      <c r="AL559" s="7"/>
      <c r="AM559" s="7"/>
      <c r="AN559" s="7"/>
      <c r="AO559" s="7"/>
      <c r="AP559" s="7"/>
      <c r="AQ559" s="7"/>
      <c r="AR559" s="7"/>
      <c r="AS559" s="7"/>
      <c r="AT559" s="7"/>
      <c r="AU559" s="7"/>
      <c r="AV559" s="7"/>
      <c r="AW559" s="7"/>
      <c r="AX559" s="7"/>
      <c r="AY559" s="7"/>
      <c r="AZ559" s="7"/>
    </row>
    <row r="560" customFormat="false" ht="150" hidden="false" customHeight="true" outlineLevel="0" collapsed="false">
      <c r="A560" s="6" t="s">
        <v>2744</v>
      </c>
      <c r="B560" s="6" t="s">
        <v>2463</v>
      </c>
      <c r="C560" s="6" t="s">
        <v>76</v>
      </c>
      <c r="D560" s="6" t="s">
        <v>77</v>
      </c>
      <c r="E560" s="6" t="s">
        <v>78</v>
      </c>
      <c r="F560" s="6"/>
      <c r="G560" s="6" t="s">
        <v>165</v>
      </c>
      <c r="H560" s="6" t="s">
        <v>2725</v>
      </c>
      <c r="I560" s="6" t="s">
        <v>81</v>
      </c>
      <c r="J560" s="6"/>
      <c r="K560" s="6"/>
      <c r="L560" s="6"/>
      <c r="M560" s="6"/>
      <c r="N560" s="6"/>
      <c r="O560" s="6"/>
      <c r="P560" s="6"/>
      <c r="Q560" s="6"/>
      <c r="R560" s="6"/>
      <c r="S560" s="6"/>
      <c r="T560" s="6"/>
      <c r="U560" s="6"/>
      <c r="V560" s="6"/>
      <c r="W560" s="6"/>
      <c r="X560" s="6"/>
      <c r="Y560" s="6" t="s">
        <v>2745</v>
      </c>
      <c r="Z560" s="6" t="s">
        <v>2746</v>
      </c>
      <c r="AA560" s="6" t="s">
        <v>89</v>
      </c>
      <c r="AB560" s="6" t="s">
        <v>2747</v>
      </c>
      <c r="AC560" s="6" t="s">
        <v>2748</v>
      </c>
      <c r="AD560" s="6" t="s">
        <v>2749</v>
      </c>
      <c r="AE560" s="6" t="s">
        <v>2750</v>
      </c>
      <c r="AF560" s="6" t="s">
        <v>2751</v>
      </c>
      <c r="AG560" s="6"/>
      <c r="AH560" s="6"/>
      <c r="AI560" s="7"/>
      <c r="AJ560" s="7"/>
      <c r="AK560" s="7"/>
      <c r="AL560" s="7"/>
      <c r="AM560" s="7"/>
      <c r="AN560" s="7"/>
      <c r="AO560" s="7"/>
      <c r="AP560" s="7"/>
      <c r="AQ560" s="7"/>
      <c r="AR560" s="7"/>
      <c r="AS560" s="7"/>
      <c r="AT560" s="7"/>
      <c r="AU560" s="7"/>
      <c r="AV560" s="7"/>
      <c r="AW560" s="7"/>
      <c r="AX560" s="7"/>
      <c r="AY560" s="7"/>
      <c r="AZ560" s="7"/>
    </row>
    <row r="561" customFormat="false" ht="150" hidden="false" customHeight="true" outlineLevel="0" collapsed="false">
      <c r="A561" s="6" t="s">
        <v>2752</v>
      </c>
      <c r="B561" s="6" t="s">
        <v>2463</v>
      </c>
      <c r="C561" s="6" t="s">
        <v>76</v>
      </c>
      <c r="D561" s="6" t="s">
        <v>96</v>
      </c>
      <c r="E561" s="6" t="s">
        <v>97</v>
      </c>
      <c r="F561" s="6"/>
      <c r="G561" s="6" t="s">
        <v>79</v>
      </c>
      <c r="H561" s="6" t="s">
        <v>396</v>
      </c>
      <c r="I561" s="6" t="s">
        <v>81</v>
      </c>
      <c r="J561" s="6"/>
      <c r="K561" s="6"/>
      <c r="L561" s="6"/>
      <c r="M561" s="6"/>
      <c r="N561" s="6"/>
      <c r="O561" s="6"/>
      <c r="P561" s="6"/>
      <c r="Q561" s="6"/>
      <c r="R561" s="6"/>
      <c r="S561" s="6" t="s">
        <v>794</v>
      </c>
      <c r="T561" s="6" t="s">
        <v>83</v>
      </c>
      <c r="U561" s="6"/>
      <c r="V561" s="6" t="s">
        <v>2753</v>
      </c>
      <c r="W561" s="6" t="s">
        <v>2754</v>
      </c>
      <c r="X561" s="6" t="s">
        <v>2755</v>
      </c>
      <c r="Y561" s="6"/>
      <c r="Z561" s="6"/>
      <c r="AA561" s="6" t="s">
        <v>89</v>
      </c>
      <c r="AB561" s="6" t="s">
        <v>2756</v>
      </c>
      <c r="AC561" s="6" t="s">
        <v>2757</v>
      </c>
      <c r="AD561" s="6" t="s">
        <v>2758</v>
      </c>
      <c r="AE561" s="6" t="s">
        <v>2759</v>
      </c>
      <c r="AF561" s="6" t="s">
        <v>2760</v>
      </c>
      <c r="AG561" s="6"/>
      <c r="AH561" s="6"/>
      <c r="AI561" s="7"/>
      <c r="AJ561" s="7"/>
      <c r="AK561" s="7"/>
      <c r="AL561" s="7"/>
      <c r="AM561" s="7"/>
      <c r="AN561" s="7"/>
      <c r="AO561" s="7"/>
      <c r="AP561" s="7"/>
      <c r="AQ561" s="7"/>
      <c r="AR561" s="7"/>
      <c r="AS561" s="7"/>
      <c r="AT561" s="7"/>
      <c r="AU561" s="7"/>
      <c r="AV561" s="7"/>
      <c r="AW561" s="7"/>
      <c r="AX561" s="7"/>
      <c r="AY561" s="7"/>
      <c r="AZ561" s="7"/>
    </row>
    <row r="562" customFormat="false" ht="150" hidden="false" customHeight="true" outlineLevel="0" collapsed="false">
      <c r="A562" s="6" t="s">
        <v>2761</v>
      </c>
      <c r="B562" s="6" t="s">
        <v>2463</v>
      </c>
      <c r="C562" s="6" t="s">
        <v>76</v>
      </c>
      <c r="D562" s="6" t="s">
        <v>96</v>
      </c>
      <c r="E562" s="6" t="s">
        <v>97</v>
      </c>
      <c r="F562" s="6"/>
      <c r="G562" s="6" t="s">
        <v>98</v>
      </c>
      <c r="H562" s="6" t="s">
        <v>396</v>
      </c>
      <c r="I562" s="6" t="s">
        <v>81</v>
      </c>
      <c r="J562" s="6"/>
      <c r="K562" s="6"/>
      <c r="L562" s="6"/>
      <c r="M562" s="6"/>
      <c r="N562" s="6"/>
      <c r="O562" s="6"/>
      <c r="P562" s="6"/>
      <c r="Q562" s="6"/>
      <c r="R562" s="6"/>
      <c r="S562" s="6" t="s">
        <v>1136</v>
      </c>
      <c r="T562" s="6" t="s">
        <v>83</v>
      </c>
      <c r="U562" s="6"/>
      <c r="V562" s="6" t="s">
        <v>2762</v>
      </c>
      <c r="W562" s="6" t="s">
        <v>2763</v>
      </c>
      <c r="X562" s="6" t="s">
        <v>2764</v>
      </c>
      <c r="Y562" s="6"/>
      <c r="Z562" s="6"/>
      <c r="AA562" s="6" t="s">
        <v>89</v>
      </c>
      <c r="AB562" s="6" t="s">
        <v>2765</v>
      </c>
      <c r="AC562" s="6" t="s">
        <v>2766</v>
      </c>
      <c r="AD562" s="6" t="s">
        <v>2767</v>
      </c>
      <c r="AE562" s="6" t="s">
        <v>2768</v>
      </c>
      <c r="AF562" s="6" t="s">
        <v>2769</v>
      </c>
      <c r="AG562" s="6"/>
      <c r="AH562" s="6"/>
      <c r="AI562" s="7"/>
      <c r="AJ562" s="7"/>
      <c r="AK562" s="7"/>
      <c r="AL562" s="7"/>
      <c r="AM562" s="7"/>
      <c r="AN562" s="7"/>
      <c r="AO562" s="7"/>
      <c r="AP562" s="7"/>
      <c r="AQ562" s="7"/>
      <c r="AR562" s="7"/>
      <c r="AS562" s="7"/>
      <c r="AT562" s="7"/>
      <c r="AU562" s="7"/>
      <c r="AV562" s="7"/>
      <c r="AW562" s="7"/>
      <c r="AX562" s="7"/>
      <c r="AY562" s="7"/>
      <c r="AZ562" s="7"/>
    </row>
    <row r="563" customFormat="false" ht="150" hidden="false" customHeight="true" outlineLevel="0" collapsed="false">
      <c r="A563" s="6" t="s">
        <v>2770</v>
      </c>
      <c r="B563" s="6" t="s">
        <v>2463</v>
      </c>
      <c r="C563" s="6" t="s">
        <v>76</v>
      </c>
      <c r="D563" s="6" t="s">
        <v>96</v>
      </c>
      <c r="E563" s="6" t="s">
        <v>97</v>
      </c>
      <c r="F563" s="6"/>
      <c r="G563" s="6" t="s">
        <v>79</v>
      </c>
      <c r="H563" s="6" t="s">
        <v>396</v>
      </c>
      <c r="I563" s="6" t="s">
        <v>81</v>
      </c>
      <c r="J563" s="6"/>
      <c r="K563" s="6"/>
      <c r="L563" s="6"/>
      <c r="M563" s="6"/>
      <c r="N563" s="6"/>
      <c r="O563" s="6"/>
      <c r="P563" s="6"/>
      <c r="Q563" s="6"/>
      <c r="R563" s="6"/>
      <c r="S563" s="6" t="s">
        <v>2515</v>
      </c>
      <c r="T563" s="6" t="s">
        <v>83</v>
      </c>
      <c r="U563" s="6"/>
      <c r="V563" s="6" t="s">
        <v>2771</v>
      </c>
      <c r="W563" s="6" t="s">
        <v>2772</v>
      </c>
      <c r="X563" s="6" t="s">
        <v>2773</v>
      </c>
      <c r="Y563" s="6"/>
      <c r="Z563" s="6"/>
      <c r="AA563" s="6" t="s">
        <v>89</v>
      </c>
      <c r="AB563" s="6" t="s">
        <v>2774</v>
      </c>
      <c r="AC563" s="6" t="s">
        <v>2775</v>
      </c>
      <c r="AD563" s="6" t="s">
        <v>2776</v>
      </c>
      <c r="AE563" s="6" t="s">
        <v>2777</v>
      </c>
      <c r="AF563" s="6" t="s">
        <v>2778</v>
      </c>
      <c r="AG563" s="6"/>
      <c r="AH563" s="6"/>
      <c r="AI563" s="7"/>
      <c r="AJ563" s="7"/>
      <c r="AK563" s="7"/>
      <c r="AL563" s="7"/>
      <c r="AM563" s="7"/>
      <c r="AN563" s="7"/>
      <c r="AO563" s="7"/>
      <c r="AP563" s="7"/>
      <c r="AQ563" s="7"/>
      <c r="AR563" s="7"/>
      <c r="AS563" s="7"/>
      <c r="AT563" s="7"/>
      <c r="AU563" s="7"/>
      <c r="AV563" s="7"/>
      <c r="AW563" s="7"/>
      <c r="AX563" s="7"/>
      <c r="AY563" s="7"/>
      <c r="AZ563" s="7"/>
    </row>
    <row r="564" customFormat="false" ht="150" hidden="false" customHeight="true" outlineLevel="0" collapsed="false">
      <c r="A564" s="6" t="s">
        <v>2779</v>
      </c>
      <c r="B564" s="6" t="s">
        <v>2463</v>
      </c>
      <c r="C564" s="6" t="s">
        <v>76</v>
      </c>
      <c r="D564" s="6" t="s">
        <v>96</v>
      </c>
      <c r="E564" s="6" t="s">
        <v>97</v>
      </c>
      <c r="F564" s="6"/>
      <c r="G564" s="6" t="s">
        <v>165</v>
      </c>
      <c r="H564" s="6" t="s">
        <v>372</v>
      </c>
      <c r="I564" s="6" t="s">
        <v>81</v>
      </c>
      <c r="J564" s="6"/>
      <c r="K564" s="6"/>
      <c r="L564" s="6"/>
      <c r="M564" s="6"/>
      <c r="N564" s="6"/>
      <c r="O564" s="6"/>
      <c r="P564" s="6"/>
      <c r="Q564" s="6"/>
      <c r="R564" s="6"/>
      <c r="S564" s="6"/>
      <c r="T564" s="6"/>
      <c r="U564" s="6"/>
      <c r="V564" s="6"/>
      <c r="W564" s="6"/>
      <c r="X564" s="6"/>
      <c r="Y564" s="6" t="s">
        <v>2780</v>
      </c>
      <c r="Z564" s="6" t="s">
        <v>2781</v>
      </c>
      <c r="AA564" s="6" t="s">
        <v>89</v>
      </c>
      <c r="AB564" s="6" t="s">
        <v>2782</v>
      </c>
      <c r="AC564" s="6" t="s">
        <v>2783</v>
      </c>
      <c r="AD564" s="6" t="s">
        <v>2784</v>
      </c>
      <c r="AE564" s="6" t="s">
        <v>2785</v>
      </c>
      <c r="AF564" s="6" t="s">
        <v>2786</v>
      </c>
      <c r="AG564" s="6"/>
      <c r="AH564" s="6"/>
      <c r="AI564" s="7"/>
      <c r="AJ564" s="7"/>
      <c r="AK564" s="7"/>
      <c r="AL564" s="7"/>
      <c r="AM564" s="7"/>
      <c r="AN564" s="7"/>
      <c r="AO564" s="7"/>
      <c r="AP564" s="7"/>
      <c r="AQ564" s="7"/>
      <c r="AR564" s="7"/>
      <c r="AS564" s="7"/>
      <c r="AT564" s="7"/>
      <c r="AU564" s="7"/>
      <c r="AV564" s="7"/>
      <c r="AW564" s="7"/>
      <c r="AX564" s="7"/>
      <c r="AY564" s="7"/>
      <c r="AZ564" s="7"/>
    </row>
    <row r="565" customFormat="false" ht="150" hidden="false" customHeight="true" outlineLevel="0" collapsed="false">
      <c r="A565" s="6" t="s">
        <v>2787</v>
      </c>
      <c r="B565" s="6" t="s">
        <v>2463</v>
      </c>
      <c r="C565" s="6" t="s">
        <v>76</v>
      </c>
      <c r="D565" s="6" t="s">
        <v>110</v>
      </c>
      <c r="E565" s="6" t="s">
        <v>111</v>
      </c>
      <c r="F565" s="6"/>
      <c r="G565" s="6" t="s">
        <v>79</v>
      </c>
      <c r="H565" s="6" t="s">
        <v>372</v>
      </c>
      <c r="I565" s="6" t="s">
        <v>81</v>
      </c>
      <c r="J565" s="6"/>
      <c r="K565" s="6"/>
      <c r="L565" s="6"/>
      <c r="M565" s="6"/>
      <c r="N565" s="6"/>
      <c r="O565" s="6"/>
      <c r="P565" s="6"/>
      <c r="Q565" s="6"/>
      <c r="R565" s="6"/>
      <c r="S565" s="6"/>
      <c r="T565" s="6"/>
      <c r="U565" s="6"/>
      <c r="V565" s="6"/>
      <c r="W565" s="6"/>
      <c r="X565" s="6"/>
      <c r="Y565" s="6" t="s">
        <v>2788</v>
      </c>
      <c r="Z565" s="6" t="s">
        <v>2789</v>
      </c>
      <c r="AA565" s="6" t="s">
        <v>89</v>
      </c>
      <c r="AB565" s="6" t="s">
        <v>2790</v>
      </c>
      <c r="AC565" s="6" t="s">
        <v>2791</v>
      </c>
      <c r="AD565" s="6" t="s">
        <v>2792</v>
      </c>
      <c r="AE565" s="6" t="s">
        <v>2793</v>
      </c>
      <c r="AF565" s="6" t="s">
        <v>2794</v>
      </c>
      <c r="AG565" s="6"/>
      <c r="AH565" s="6"/>
      <c r="AI565" s="7"/>
      <c r="AJ565" s="7"/>
      <c r="AK565" s="7"/>
      <c r="AL565" s="7"/>
      <c r="AM565" s="7"/>
      <c r="AN565" s="7"/>
      <c r="AO565" s="7"/>
      <c r="AP565" s="7"/>
      <c r="AQ565" s="7"/>
      <c r="AR565" s="7"/>
      <c r="AS565" s="7"/>
      <c r="AT565" s="7"/>
      <c r="AU565" s="7"/>
      <c r="AV565" s="7"/>
      <c r="AW565" s="7"/>
      <c r="AX565" s="7"/>
      <c r="AY565" s="7"/>
      <c r="AZ565" s="7"/>
    </row>
    <row r="566" customFormat="false" ht="150" hidden="false" customHeight="true" outlineLevel="0" collapsed="false">
      <c r="A566" s="6" t="s">
        <v>2795</v>
      </c>
      <c r="B566" s="6" t="s">
        <v>2463</v>
      </c>
      <c r="C566" s="6" t="s">
        <v>76</v>
      </c>
      <c r="D566" s="6" t="s">
        <v>110</v>
      </c>
      <c r="E566" s="6" t="s">
        <v>111</v>
      </c>
      <c r="F566" s="6"/>
      <c r="G566" s="6" t="s">
        <v>98</v>
      </c>
      <c r="H566" s="6" t="s">
        <v>372</v>
      </c>
      <c r="I566" s="6" t="s">
        <v>81</v>
      </c>
      <c r="J566" s="6"/>
      <c r="K566" s="6"/>
      <c r="L566" s="6"/>
      <c r="M566" s="6"/>
      <c r="N566" s="6"/>
      <c r="O566" s="6"/>
      <c r="P566" s="6"/>
      <c r="Q566" s="6"/>
      <c r="R566" s="6"/>
      <c r="S566" s="6"/>
      <c r="T566" s="6"/>
      <c r="U566" s="6"/>
      <c r="V566" s="6"/>
      <c r="W566" s="6"/>
      <c r="X566" s="6"/>
      <c r="Y566" s="6" t="s">
        <v>2796</v>
      </c>
      <c r="Z566" s="6" t="s">
        <v>2797</v>
      </c>
      <c r="AA566" s="6" t="s">
        <v>89</v>
      </c>
      <c r="AB566" s="6" t="s">
        <v>2798</v>
      </c>
      <c r="AC566" s="6" t="s">
        <v>2799</v>
      </c>
      <c r="AD566" s="6" t="s">
        <v>2800</v>
      </c>
      <c r="AE566" s="6" t="s">
        <v>2801</v>
      </c>
      <c r="AF566" s="6" t="s">
        <v>2802</v>
      </c>
      <c r="AG566" s="6"/>
      <c r="AH566" s="6"/>
      <c r="AI566" s="7"/>
      <c r="AJ566" s="7"/>
      <c r="AK566" s="7"/>
      <c r="AL566" s="7"/>
      <c r="AM566" s="7"/>
      <c r="AN566" s="7"/>
      <c r="AO566" s="7"/>
      <c r="AP566" s="7"/>
      <c r="AQ566" s="7"/>
      <c r="AR566" s="7"/>
      <c r="AS566" s="7"/>
      <c r="AT566" s="7"/>
      <c r="AU566" s="7"/>
      <c r="AV566" s="7"/>
      <c r="AW566" s="7"/>
      <c r="AX566" s="7"/>
      <c r="AY566" s="7"/>
      <c r="AZ566" s="7"/>
    </row>
    <row r="567" customFormat="false" ht="150" hidden="false" customHeight="true" outlineLevel="0" collapsed="false">
      <c r="A567" s="6" t="s">
        <v>2803</v>
      </c>
      <c r="B567" s="6" t="s">
        <v>2463</v>
      </c>
      <c r="C567" s="6" t="s">
        <v>76</v>
      </c>
      <c r="D567" s="6" t="s">
        <v>110</v>
      </c>
      <c r="E567" s="6" t="s">
        <v>111</v>
      </c>
      <c r="F567" s="6"/>
      <c r="G567" s="6" t="s">
        <v>165</v>
      </c>
      <c r="H567" s="6" t="s">
        <v>372</v>
      </c>
      <c r="I567" s="6" t="s">
        <v>81</v>
      </c>
      <c r="J567" s="6"/>
      <c r="K567" s="6"/>
      <c r="L567" s="6"/>
      <c r="M567" s="6"/>
      <c r="N567" s="6"/>
      <c r="O567" s="6"/>
      <c r="P567" s="6"/>
      <c r="Q567" s="6"/>
      <c r="R567" s="6"/>
      <c r="S567" s="6"/>
      <c r="T567" s="6"/>
      <c r="U567" s="6"/>
      <c r="V567" s="6"/>
      <c r="W567" s="6"/>
      <c r="X567" s="6"/>
      <c r="Y567" s="6" t="s">
        <v>2804</v>
      </c>
      <c r="Z567" s="6" t="s">
        <v>2805</v>
      </c>
      <c r="AA567" s="6" t="s">
        <v>89</v>
      </c>
      <c r="AB567" s="6" t="s">
        <v>2806</v>
      </c>
      <c r="AC567" s="6" t="s">
        <v>2807</v>
      </c>
      <c r="AD567" s="6" t="s">
        <v>2808</v>
      </c>
      <c r="AE567" s="6" t="s">
        <v>2809</v>
      </c>
      <c r="AF567" s="6" t="s">
        <v>2810</v>
      </c>
      <c r="AG567" s="6"/>
      <c r="AH567" s="6"/>
      <c r="AI567" s="7"/>
      <c r="AJ567" s="7"/>
      <c r="AK567" s="7"/>
      <c r="AL567" s="7"/>
      <c r="AM567" s="7"/>
      <c r="AN567" s="7"/>
      <c r="AO567" s="7"/>
      <c r="AP567" s="7"/>
      <c r="AQ567" s="7"/>
      <c r="AR567" s="7"/>
      <c r="AS567" s="7"/>
      <c r="AT567" s="7"/>
      <c r="AU567" s="7"/>
      <c r="AV567" s="7"/>
      <c r="AW567" s="7"/>
      <c r="AX567" s="7"/>
      <c r="AY567" s="7"/>
      <c r="AZ567" s="7"/>
    </row>
    <row r="568" customFormat="false" ht="150" hidden="false" customHeight="true" outlineLevel="0" collapsed="false">
      <c r="A568" s="6" t="s">
        <v>2811</v>
      </c>
      <c r="B568" s="6" t="s">
        <v>2463</v>
      </c>
      <c r="C568" s="6" t="s">
        <v>76</v>
      </c>
      <c r="D568" s="6" t="s">
        <v>132</v>
      </c>
      <c r="E568" s="6" t="s">
        <v>133</v>
      </c>
      <c r="F568" s="6"/>
      <c r="G568" s="6" t="s">
        <v>79</v>
      </c>
      <c r="H568" s="6" t="s">
        <v>372</v>
      </c>
      <c r="I568" s="6" t="s">
        <v>81</v>
      </c>
      <c r="J568" s="6"/>
      <c r="K568" s="6"/>
      <c r="L568" s="6"/>
      <c r="M568" s="6"/>
      <c r="N568" s="6"/>
      <c r="O568" s="6"/>
      <c r="P568" s="6"/>
      <c r="Q568" s="6"/>
      <c r="R568" s="6"/>
      <c r="S568" s="6"/>
      <c r="T568" s="6"/>
      <c r="U568" s="6"/>
      <c r="V568" s="6"/>
      <c r="W568" s="6"/>
      <c r="X568" s="6"/>
      <c r="Y568" s="6" t="s">
        <v>2812</v>
      </c>
      <c r="Z568" s="6" t="s">
        <v>2813</v>
      </c>
      <c r="AA568" s="6" t="s">
        <v>89</v>
      </c>
      <c r="AB568" s="6" t="s">
        <v>2814</v>
      </c>
      <c r="AC568" s="6" t="s">
        <v>2815</v>
      </c>
      <c r="AD568" s="6" t="s">
        <v>2816</v>
      </c>
      <c r="AE568" s="6" t="s">
        <v>2817</v>
      </c>
      <c r="AF568" s="6" t="s">
        <v>2818</v>
      </c>
      <c r="AG568" s="6"/>
      <c r="AH568" s="6"/>
      <c r="AI568" s="7"/>
      <c r="AJ568" s="7"/>
      <c r="AK568" s="7"/>
      <c r="AL568" s="7"/>
      <c r="AM568" s="7"/>
      <c r="AN568" s="7"/>
      <c r="AO568" s="7"/>
      <c r="AP568" s="7"/>
      <c r="AQ568" s="7"/>
      <c r="AR568" s="7"/>
      <c r="AS568" s="7"/>
      <c r="AT568" s="7"/>
      <c r="AU568" s="7"/>
      <c r="AV568" s="7"/>
      <c r="AW568" s="7"/>
      <c r="AX568" s="7"/>
      <c r="AY568" s="7"/>
      <c r="AZ568" s="7"/>
    </row>
    <row r="569" customFormat="false" ht="150" hidden="false" customHeight="true" outlineLevel="0" collapsed="false">
      <c r="A569" s="6" t="s">
        <v>2819</v>
      </c>
      <c r="B569" s="6" t="s">
        <v>2463</v>
      </c>
      <c r="C569" s="6" t="s">
        <v>76</v>
      </c>
      <c r="D569" s="6" t="s">
        <v>132</v>
      </c>
      <c r="E569" s="6" t="s">
        <v>133</v>
      </c>
      <c r="F569" s="6"/>
      <c r="G569" s="6" t="s">
        <v>98</v>
      </c>
      <c r="H569" s="6" t="s">
        <v>1330</v>
      </c>
      <c r="I569" s="6" t="s">
        <v>81</v>
      </c>
      <c r="J569" s="6"/>
      <c r="K569" s="6"/>
      <c r="L569" s="6"/>
      <c r="M569" s="6"/>
      <c r="N569" s="6"/>
      <c r="O569" s="6"/>
      <c r="P569" s="6"/>
      <c r="Q569" s="6"/>
      <c r="R569" s="6"/>
      <c r="S569" s="6" t="s">
        <v>977</v>
      </c>
      <c r="T569" s="6" t="s">
        <v>83</v>
      </c>
      <c r="U569" s="6"/>
      <c r="V569" s="6" t="s">
        <v>2820</v>
      </c>
      <c r="W569" s="6" t="s">
        <v>2821</v>
      </c>
      <c r="X569" s="6" t="s">
        <v>2822</v>
      </c>
      <c r="Y569" s="6"/>
      <c r="Z569" s="6"/>
      <c r="AA569" s="6" t="s">
        <v>89</v>
      </c>
      <c r="AB569" s="6" t="s">
        <v>2823</v>
      </c>
      <c r="AC569" s="6" t="s">
        <v>2824</v>
      </c>
      <c r="AD569" s="6" t="s">
        <v>2825</v>
      </c>
      <c r="AE569" s="6" t="s">
        <v>2826</v>
      </c>
      <c r="AF569" s="6" t="s">
        <v>2827</v>
      </c>
      <c r="AG569" s="6"/>
      <c r="AH569" s="6"/>
      <c r="AI569" s="7"/>
      <c r="AJ569" s="7"/>
      <c r="AK569" s="7"/>
      <c r="AL569" s="7"/>
      <c r="AM569" s="7"/>
      <c r="AN569" s="7"/>
      <c r="AO569" s="7"/>
      <c r="AP569" s="7"/>
      <c r="AQ569" s="7"/>
      <c r="AR569" s="7"/>
      <c r="AS569" s="7"/>
      <c r="AT569" s="7"/>
      <c r="AU569" s="7"/>
      <c r="AV569" s="7"/>
      <c r="AW569" s="7"/>
      <c r="AX569" s="7"/>
      <c r="AY569" s="7"/>
      <c r="AZ569" s="7"/>
    </row>
    <row r="570" customFormat="false" ht="150" hidden="false" customHeight="true" outlineLevel="0" collapsed="false">
      <c r="A570" s="6" t="s">
        <v>2828</v>
      </c>
      <c r="B570" s="6" t="s">
        <v>2463</v>
      </c>
      <c r="C570" s="6" t="s">
        <v>76</v>
      </c>
      <c r="D570" s="6" t="s">
        <v>145</v>
      </c>
      <c r="E570" s="6" t="s">
        <v>146</v>
      </c>
      <c r="F570" s="6"/>
      <c r="G570" s="6" t="s">
        <v>79</v>
      </c>
      <c r="H570" s="6" t="s">
        <v>2725</v>
      </c>
      <c r="I570" s="6" t="s">
        <v>81</v>
      </c>
      <c r="J570" s="6"/>
      <c r="K570" s="6"/>
      <c r="L570" s="6"/>
      <c r="M570" s="6"/>
      <c r="N570" s="6"/>
      <c r="O570" s="6"/>
      <c r="P570" s="6"/>
      <c r="Q570" s="6"/>
      <c r="R570" s="6"/>
      <c r="S570" s="6"/>
      <c r="T570" s="6"/>
      <c r="U570" s="6"/>
      <c r="V570" s="6"/>
      <c r="W570" s="6"/>
      <c r="X570" s="6"/>
      <c r="Y570" s="6" t="s">
        <v>2829</v>
      </c>
      <c r="Z570" s="6" t="s">
        <v>2830</v>
      </c>
      <c r="AA570" s="6" t="s">
        <v>89</v>
      </c>
      <c r="AB570" s="6" t="s">
        <v>2831</v>
      </c>
      <c r="AC570" s="6" t="s">
        <v>2832</v>
      </c>
      <c r="AD570" s="6" t="s">
        <v>2833</v>
      </c>
      <c r="AE570" s="6" t="s">
        <v>2834</v>
      </c>
      <c r="AF570" s="6" t="s">
        <v>2835</v>
      </c>
      <c r="AG570" s="6"/>
      <c r="AH570" s="6"/>
      <c r="AI570" s="7"/>
      <c r="AJ570" s="7"/>
      <c r="AK570" s="7"/>
      <c r="AL570" s="7"/>
      <c r="AM570" s="7"/>
      <c r="AN570" s="7"/>
      <c r="AO570" s="7"/>
      <c r="AP570" s="7"/>
      <c r="AQ570" s="7"/>
      <c r="AR570" s="7"/>
      <c r="AS570" s="7"/>
      <c r="AT570" s="7"/>
      <c r="AU570" s="7"/>
      <c r="AV570" s="7"/>
      <c r="AW570" s="7"/>
      <c r="AX570" s="7"/>
      <c r="AY570" s="7"/>
      <c r="AZ570" s="7"/>
    </row>
    <row r="571" customFormat="false" ht="150" hidden="false" customHeight="true" outlineLevel="0" collapsed="false">
      <c r="A571" s="6" t="s">
        <v>2836</v>
      </c>
      <c r="B571" s="6" t="s">
        <v>2463</v>
      </c>
      <c r="C571" s="6" t="s">
        <v>76</v>
      </c>
      <c r="D571" s="6" t="s">
        <v>145</v>
      </c>
      <c r="E571" s="6" t="s">
        <v>146</v>
      </c>
      <c r="F571" s="6"/>
      <c r="G571" s="6" t="s">
        <v>165</v>
      </c>
      <c r="H571" s="6" t="s">
        <v>372</v>
      </c>
      <c r="I571" s="6" t="s">
        <v>81</v>
      </c>
      <c r="J571" s="6"/>
      <c r="K571" s="6"/>
      <c r="L571" s="6"/>
      <c r="M571" s="6"/>
      <c r="N571" s="6"/>
      <c r="O571" s="6"/>
      <c r="P571" s="6"/>
      <c r="Q571" s="6"/>
      <c r="R571" s="6"/>
      <c r="S571" s="6"/>
      <c r="T571" s="6"/>
      <c r="U571" s="6"/>
      <c r="V571" s="6"/>
      <c r="W571" s="6"/>
      <c r="X571" s="6"/>
      <c r="Y571" s="6" t="s">
        <v>2837</v>
      </c>
      <c r="Z571" s="6" t="s">
        <v>2838</v>
      </c>
      <c r="AA571" s="6" t="s">
        <v>89</v>
      </c>
      <c r="AB571" s="6" t="s">
        <v>2839</v>
      </c>
      <c r="AC571" s="6" t="s">
        <v>2840</v>
      </c>
      <c r="AD571" s="6" t="s">
        <v>2841</v>
      </c>
      <c r="AE571" s="6" t="s">
        <v>2842</v>
      </c>
      <c r="AF571" s="6" t="s">
        <v>2843</v>
      </c>
      <c r="AG571" s="6"/>
      <c r="AH571" s="6"/>
      <c r="AI571" s="7"/>
      <c r="AJ571" s="7"/>
      <c r="AK571" s="7"/>
      <c r="AL571" s="7"/>
      <c r="AM571" s="7"/>
      <c r="AN571" s="7"/>
      <c r="AO571" s="7"/>
      <c r="AP571" s="7"/>
      <c r="AQ571" s="7"/>
      <c r="AR571" s="7"/>
      <c r="AS571" s="7"/>
      <c r="AT571" s="7"/>
      <c r="AU571" s="7"/>
      <c r="AV571" s="7"/>
      <c r="AW571" s="7"/>
      <c r="AX571" s="7"/>
      <c r="AY571" s="7"/>
      <c r="AZ571" s="7"/>
    </row>
    <row r="572" customFormat="false" ht="150" hidden="false" customHeight="true" outlineLevel="0" collapsed="false">
      <c r="A572" s="6" t="s">
        <v>2844</v>
      </c>
      <c r="B572" s="6" t="s">
        <v>2463</v>
      </c>
      <c r="C572" s="6" t="s">
        <v>76</v>
      </c>
      <c r="D572" s="6" t="s">
        <v>123</v>
      </c>
      <c r="E572" s="6" t="s">
        <v>124</v>
      </c>
      <c r="F572" s="6"/>
      <c r="G572" s="6" t="s">
        <v>79</v>
      </c>
      <c r="H572" s="6" t="s">
        <v>491</v>
      </c>
      <c r="I572" s="6" t="s">
        <v>492</v>
      </c>
      <c r="J572" s="6"/>
      <c r="K572" s="6"/>
      <c r="L572" s="6"/>
      <c r="M572" s="6"/>
      <c r="N572" s="6"/>
      <c r="O572" s="6"/>
      <c r="P572" s="6"/>
      <c r="Q572" s="6"/>
      <c r="R572" s="6"/>
      <c r="S572" s="6"/>
      <c r="T572" s="6"/>
      <c r="U572" s="6"/>
      <c r="V572" s="6"/>
      <c r="W572" s="6"/>
      <c r="X572" s="6"/>
      <c r="Y572" s="6" t="s">
        <v>2845</v>
      </c>
      <c r="Z572" s="6" t="s">
        <v>2846</v>
      </c>
      <c r="AA572" s="6" t="s">
        <v>89</v>
      </c>
      <c r="AB572" s="6" t="s">
        <v>2847</v>
      </c>
      <c r="AC572" s="6" t="s">
        <v>2848</v>
      </c>
      <c r="AD572" s="6" t="s">
        <v>2849</v>
      </c>
      <c r="AE572" s="6" t="s">
        <v>2850</v>
      </c>
      <c r="AF572" s="6" t="s">
        <v>2851</v>
      </c>
      <c r="AG572" s="6"/>
      <c r="AH572" s="6"/>
      <c r="AI572" s="7"/>
      <c r="AJ572" s="7"/>
      <c r="AK572" s="7"/>
      <c r="AL572" s="7"/>
      <c r="AM572" s="7"/>
      <c r="AN572" s="7"/>
      <c r="AO572" s="7"/>
      <c r="AP572" s="7"/>
      <c r="AQ572" s="7"/>
      <c r="AR572" s="7"/>
      <c r="AS572" s="7"/>
      <c r="AT572" s="7"/>
      <c r="AU572" s="7"/>
      <c r="AV572" s="7"/>
      <c r="AW572" s="7"/>
      <c r="AX572" s="7"/>
      <c r="AY572" s="7"/>
      <c r="AZ572" s="7"/>
    </row>
    <row r="573" customFormat="false" ht="150" hidden="false" customHeight="true" outlineLevel="0" collapsed="false">
      <c r="A573" s="6" t="s">
        <v>2852</v>
      </c>
      <c r="B573" s="6" t="s">
        <v>2463</v>
      </c>
      <c r="C573" s="6" t="s">
        <v>76</v>
      </c>
      <c r="D573" s="6" t="s">
        <v>77</v>
      </c>
      <c r="E573" s="6" t="s">
        <v>78</v>
      </c>
      <c r="F573" s="6"/>
      <c r="G573" s="6" t="s">
        <v>98</v>
      </c>
      <c r="H573" s="6" t="s">
        <v>431</v>
      </c>
      <c r="I573" s="6" t="s">
        <v>432</v>
      </c>
      <c r="J573" s="6"/>
      <c r="K573" s="6"/>
      <c r="L573" s="6"/>
      <c r="M573" s="6"/>
      <c r="N573" s="6"/>
      <c r="O573" s="6"/>
      <c r="P573" s="6"/>
      <c r="Q573" s="6"/>
      <c r="R573" s="6"/>
      <c r="S573" s="6"/>
      <c r="T573" s="6"/>
      <c r="U573" s="6"/>
      <c r="V573" s="6"/>
      <c r="W573" s="6"/>
      <c r="X573" s="6"/>
      <c r="Y573" s="6" t="s">
        <v>2853</v>
      </c>
      <c r="Z573" s="6" t="s">
        <v>2854</v>
      </c>
      <c r="AA573" s="6" t="s">
        <v>89</v>
      </c>
      <c r="AB573" s="6" t="s">
        <v>2855</v>
      </c>
      <c r="AC573" s="6" t="s">
        <v>2856</v>
      </c>
      <c r="AD573" s="6" t="s">
        <v>2857</v>
      </c>
      <c r="AE573" s="6" t="s">
        <v>2858</v>
      </c>
      <c r="AF573" s="6" t="s">
        <v>2859</v>
      </c>
      <c r="AG573" s="6"/>
      <c r="AH573" s="6"/>
      <c r="AI573" s="7"/>
      <c r="AJ573" s="7"/>
      <c r="AK573" s="7"/>
      <c r="AL573" s="7"/>
      <c r="AM573" s="7"/>
      <c r="AN573" s="7"/>
      <c r="AO573" s="7"/>
      <c r="AP573" s="7"/>
      <c r="AQ573" s="7"/>
      <c r="AR573" s="7"/>
      <c r="AS573" s="7"/>
      <c r="AT573" s="7"/>
      <c r="AU573" s="7"/>
      <c r="AV573" s="7"/>
      <c r="AW573" s="7"/>
      <c r="AX573" s="7"/>
      <c r="AY573" s="7"/>
      <c r="AZ573" s="7"/>
    </row>
    <row r="574" customFormat="false" ht="150" hidden="false" customHeight="true" outlineLevel="0" collapsed="false">
      <c r="A574" s="6" t="s">
        <v>2860</v>
      </c>
      <c r="B574" s="6" t="s">
        <v>2463</v>
      </c>
      <c r="C574" s="6" t="s">
        <v>76</v>
      </c>
      <c r="D574" s="6" t="s">
        <v>77</v>
      </c>
      <c r="E574" s="6" t="s">
        <v>78</v>
      </c>
      <c r="F574" s="6"/>
      <c r="G574" s="6" t="s">
        <v>79</v>
      </c>
      <c r="H574" s="6" t="s">
        <v>452</v>
      </c>
      <c r="I574" s="6" t="s">
        <v>373</v>
      </c>
      <c r="J574" s="6"/>
      <c r="K574" s="6"/>
      <c r="L574" s="6"/>
      <c r="M574" s="6"/>
      <c r="N574" s="6"/>
      <c r="O574" s="6"/>
      <c r="P574" s="6"/>
      <c r="Q574" s="6"/>
      <c r="R574" s="6"/>
      <c r="S574" s="6"/>
      <c r="T574" s="6"/>
      <c r="U574" s="6"/>
      <c r="V574" s="6"/>
      <c r="W574" s="6"/>
      <c r="X574" s="6"/>
      <c r="Y574" s="6" t="s">
        <v>2861</v>
      </c>
      <c r="Z574" s="6" t="s">
        <v>2862</v>
      </c>
      <c r="AA574" s="6" t="s">
        <v>89</v>
      </c>
      <c r="AB574" s="6" t="s">
        <v>2863</v>
      </c>
      <c r="AC574" s="6" t="s">
        <v>2864</v>
      </c>
      <c r="AD574" s="6" t="s">
        <v>2865</v>
      </c>
      <c r="AE574" s="6" t="s">
        <v>382</v>
      </c>
      <c r="AF574" s="6" t="s">
        <v>2866</v>
      </c>
      <c r="AG574" s="6"/>
      <c r="AH574" s="6"/>
      <c r="AI574" s="7"/>
      <c r="AJ574" s="7"/>
      <c r="AK574" s="7"/>
      <c r="AL574" s="7"/>
      <c r="AM574" s="7"/>
      <c r="AN574" s="7"/>
      <c r="AO574" s="7"/>
      <c r="AP574" s="7"/>
      <c r="AQ574" s="7"/>
      <c r="AR574" s="7"/>
      <c r="AS574" s="7"/>
      <c r="AT574" s="7"/>
      <c r="AU574" s="7"/>
      <c r="AV574" s="7"/>
      <c r="AW574" s="7"/>
      <c r="AX574" s="7"/>
      <c r="AY574" s="7"/>
      <c r="AZ574" s="7"/>
    </row>
    <row r="575" customFormat="false" ht="150" hidden="false" customHeight="true" outlineLevel="0" collapsed="false">
      <c r="A575" s="6" t="s">
        <v>2867</v>
      </c>
      <c r="B575" s="6" t="s">
        <v>2463</v>
      </c>
      <c r="C575" s="6" t="s">
        <v>76</v>
      </c>
      <c r="D575" s="6" t="s">
        <v>96</v>
      </c>
      <c r="E575" s="6" t="s">
        <v>97</v>
      </c>
      <c r="F575" s="6"/>
      <c r="G575" s="6" t="s">
        <v>98</v>
      </c>
      <c r="H575" s="6" t="s">
        <v>372</v>
      </c>
      <c r="I575" s="6" t="s">
        <v>373</v>
      </c>
      <c r="J575" s="6"/>
      <c r="K575" s="6"/>
      <c r="L575" s="6"/>
      <c r="M575" s="6"/>
      <c r="N575" s="6"/>
      <c r="O575" s="6"/>
      <c r="P575" s="6"/>
      <c r="Q575" s="6"/>
      <c r="R575" s="6"/>
      <c r="S575" s="6" t="s">
        <v>739</v>
      </c>
      <c r="T575" s="6" t="s">
        <v>83</v>
      </c>
      <c r="U575" s="6"/>
      <c r="V575" s="6" t="s">
        <v>2868</v>
      </c>
      <c r="W575" s="6" t="s">
        <v>2869</v>
      </c>
      <c r="X575" s="6" t="s">
        <v>2870</v>
      </c>
      <c r="Y575" s="6" t="s">
        <v>2871</v>
      </c>
      <c r="Z575" s="6" t="s">
        <v>2872</v>
      </c>
      <c r="AA575" s="6" t="s">
        <v>89</v>
      </c>
      <c r="AB575" s="6" t="s">
        <v>2873</v>
      </c>
      <c r="AC575" s="6" t="s">
        <v>2874</v>
      </c>
      <c r="AD575" s="6" t="s">
        <v>2875</v>
      </c>
      <c r="AE575" s="6" t="s">
        <v>382</v>
      </c>
      <c r="AF575" s="6" t="s">
        <v>2876</v>
      </c>
      <c r="AG575" s="6"/>
      <c r="AH575" s="6"/>
      <c r="AI575" s="7"/>
      <c r="AJ575" s="7"/>
      <c r="AK575" s="7"/>
      <c r="AL575" s="7"/>
      <c r="AM575" s="7"/>
      <c r="AN575" s="7"/>
      <c r="AO575" s="7"/>
      <c r="AP575" s="7"/>
      <c r="AQ575" s="7"/>
      <c r="AR575" s="7"/>
      <c r="AS575" s="7"/>
      <c r="AT575" s="7"/>
      <c r="AU575" s="7"/>
      <c r="AV575" s="7"/>
      <c r="AW575" s="7"/>
      <c r="AX575" s="7"/>
      <c r="AY575" s="7"/>
      <c r="AZ575" s="7"/>
    </row>
    <row r="576" customFormat="false" ht="150" hidden="false" customHeight="true" outlineLevel="0" collapsed="false">
      <c r="A576" s="6" t="s">
        <v>2877</v>
      </c>
      <c r="B576" s="6" t="s">
        <v>2463</v>
      </c>
      <c r="C576" s="6" t="s">
        <v>76</v>
      </c>
      <c r="D576" s="6" t="s">
        <v>96</v>
      </c>
      <c r="E576" s="6" t="s">
        <v>97</v>
      </c>
      <c r="F576" s="6"/>
      <c r="G576" s="6" t="s">
        <v>79</v>
      </c>
      <c r="H576" s="6" t="s">
        <v>396</v>
      </c>
      <c r="I576" s="6" t="s">
        <v>81</v>
      </c>
      <c r="J576" s="6"/>
      <c r="K576" s="6"/>
      <c r="L576" s="6"/>
      <c r="M576" s="6"/>
      <c r="N576" s="6"/>
      <c r="O576" s="6"/>
      <c r="P576" s="6"/>
      <c r="Q576" s="6"/>
      <c r="R576" s="6"/>
      <c r="S576" s="6" t="s">
        <v>2515</v>
      </c>
      <c r="T576" s="6" t="s">
        <v>83</v>
      </c>
      <c r="U576" s="6"/>
      <c r="V576" s="6" t="s">
        <v>2878</v>
      </c>
      <c r="W576" s="6" t="s">
        <v>2879</v>
      </c>
      <c r="X576" s="6" t="s">
        <v>2880</v>
      </c>
      <c r="Y576" s="6"/>
      <c r="Z576" s="6"/>
      <c r="AA576" s="6" t="s">
        <v>89</v>
      </c>
      <c r="AB576" s="6" t="s">
        <v>2881</v>
      </c>
      <c r="AC576" s="6" t="s">
        <v>2882</v>
      </c>
      <c r="AD576" s="6" t="s">
        <v>2883</v>
      </c>
      <c r="AE576" s="6" t="s">
        <v>2884</v>
      </c>
      <c r="AF576" s="6" t="s">
        <v>2885</v>
      </c>
      <c r="AG576" s="6"/>
      <c r="AH576" s="6"/>
      <c r="AI576" s="7"/>
      <c r="AJ576" s="7"/>
      <c r="AK576" s="7"/>
      <c r="AL576" s="7"/>
      <c r="AM576" s="7"/>
      <c r="AN576" s="7"/>
      <c r="AO576" s="7"/>
      <c r="AP576" s="7"/>
      <c r="AQ576" s="7"/>
      <c r="AR576" s="7"/>
      <c r="AS576" s="7"/>
      <c r="AT576" s="7"/>
      <c r="AU576" s="7"/>
      <c r="AV576" s="7"/>
      <c r="AW576" s="7"/>
      <c r="AX576" s="7"/>
      <c r="AY576" s="7"/>
      <c r="AZ576" s="7"/>
    </row>
    <row r="577" customFormat="false" ht="150" hidden="false" customHeight="true" outlineLevel="0" collapsed="false">
      <c r="A577" s="6" t="s">
        <v>2886</v>
      </c>
      <c r="B577" s="6" t="s">
        <v>2463</v>
      </c>
      <c r="C577" s="6" t="s">
        <v>76</v>
      </c>
      <c r="D577" s="6" t="s">
        <v>110</v>
      </c>
      <c r="E577" s="6" t="s">
        <v>111</v>
      </c>
      <c r="F577" s="6"/>
      <c r="G577" s="6" t="s">
        <v>98</v>
      </c>
      <c r="H577" s="6" t="s">
        <v>452</v>
      </c>
      <c r="I577" s="6" t="s">
        <v>373</v>
      </c>
      <c r="J577" s="6"/>
      <c r="K577" s="6"/>
      <c r="L577" s="6"/>
      <c r="M577" s="6"/>
      <c r="N577" s="6"/>
      <c r="O577" s="6"/>
      <c r="P577" s="6"/>
      <c r="Q577" s="6"/>
      <c r="R577" s="6"/>
      <c r="S577" s="6" t="s">
        <v>637</v>
      </c>
      <c r="T577" s="6" t="s">
        <v>83</v>
      </c>
      <c r="U577" s="6"/>
      <c r="V577" s="6" t="s">
        <v>2887</v>
      </c>
      <c r="W577" s="6" t="s">
        <v>2888</v>
      </c>
      <c r="X577" s="6" t="s">
        <v>2889</v>
      </c>
      <c r="Y577" s="6" t="s">
        <v>2890</v>
      </c>
      <c r="Z577" s="6" t="s">
        <v>2891</v>
      </c>
      <c r="AA577" s="6" t="s">
        <v>89</v>
      </c>
      <c r="AB577" s="6" t="s">
        <v>2892</v>
      </c>
      <c r="AC577" s="6" t="s">
        <v>2893</v>
      </c>
      <c r="AD577" s="6" t="s">
        <v>2894</v>
      </c>
      <c r="AE577" s="6" t="s">
        <v>428</v>
      </c>
      <c r="AF577" s="6" t="s">
        <v>2895</v>
      </c>
      <c r="AG577" s="6"/>
      <c r="AH577" s="6"/>
      <c r="AI577" s="7"/>
      <c r="AJ577" s="7"/>
      <c r="AK577" s="7"/>
      <c r="AL577" s="7"/>
      <c r="AM577" s="7"/>
      <c r="AN577" s="7"/>
      <c r="AO577" s="7"/>
      <c r="AP577" s="7"/>
      <c r="AQ577" s="7"/>
      <c r="AR577" s="7"/>
      <c r="AS577" s="7"/>
      <c r="AT577" s="7"/>
      <c r="AU577" s="7"/>
      <c r="AV577" s="7"/>
      <c r="AW577" s="7"/>
      <c r="AX577" s="7"/>
      <c r="AY577" s="7"/>
      <c r="AZ577" s="7"/>
    </row>
    <row r="578" customFormat="false" ht="150" hidden="false" customHeight="true" outlineLevel="0" collapsed="false">
      <c r="A578" s="6" t="s">
        <v>2896</v>
      </c>
      <c r="B578" s="6" t="s">
        <v>2463</v>
      </c>
      <c r="C578" s="6" t="s">
        <v>76</v>
      </c>
      <c r="D578" s="6" t="s">
        <v>132</v>
      </c>
      <c r="E578" s="6" t="s">
        <v>133</v>
      </c>
      <c r="F578" s="6"/>
      <c r="G578" s="6" t="s">
        <v>98</v>
      </c>
      <c r="H578" s="6" t="s">
        <v>431</v>
      </c>
      <c r="I578" s="6" t="s">
        <v>432</v>
      </c>
      <c r="J578" s="6"/>
      <c r="K578" s="6"/>
      <c r="L578" s="6"/>
      <c r="M578" s="6"/>
      <c r="N578" s="6"/>
      <c r="O578" s="6"/>
      <c r="P578" s="6"/>
      <c r="Q578" s="6"/>
      <c r="R578" s="6"/>
      <c r="S578" s="6"/>
      <c r="T578" s="6"/>
      <c r="U578" s="6"/>
      <c r="V578" s="6"/>
      <c r="W578" s="6"/>
      <c r="X578" s="6"/>
      <c r="Y578" s="6" t="s">
        <v>2897</v>
      </c>
      <c r="Z578" s="6" t="s">
        <v>2898</v>
      </c>
      <c r="AA578" s="6" t="s">
        <v>89</v>
      </c>
      <c r="AB578" s="6" t="s">
        <v>2899</v>
      </c>
      <c r="AC578" s="6" t="s">
        <v>2900</v>
      </c>
      <c r="AD578" s="6" t="s">
        <v>2901</v>
      </c>
      <c r="AE578" s="6" t="s">
        <v>2902</v>
      </c>
      <c r="AF578" s="6" t="s">
        <v>2903</v>
      </c>
      <c r="AG578" s="6"/>
      <c r="AH578" s="6"/>
      <c r="AI578" s="7"/>
      <c r="AJ578" s="7"/>
      <c r="AK578" s="7"/>
      <c r="AL578" s="7"/>
      <c r="AM578" s="7"/>
      <c r="AN578" s="7"/>
      <c r="AO578" s="7"/>
      <c r="AP578" s="7"/>
      <c r="AQ578" s="7"/>
      <c r="AR578" s="7"/>
      <c r="AS578" s="7"/>
      <c r="AT578" s="7"/>
      <c r="AU578" s="7"/>
      <c r="AV578" s="7"/>
      <c r="AW578" s="7"/>
      <c r="AX578" s="7"/>
      <c r="AY578" s="7"/>
      <c r="AZ578" s="7"/>
    </row>
    <row r="579" customFormat="false" ht="150" hidden="false" customHeight="true" outlineLevel="0" collapsed="false">
      <c r="A579" s="6" t="s">
        <v>2904</v>
      </c>
      <c r="B579" s="6" t="s">
        <v>2463</v>
      </c>
      <c r="C579" s="6" t="s">
        <v>76</v>
      </c>
      <c r="D579" s="6" t="s">
        <v>145</v>
      </c>
      <c r="E579" s="6" t="s">
        <v>146</v>
      </c>
      <c r="F579" s="6"/>
      <c r="G579" s="6" t="s">
        <v>79</v>
      </c>
      <c r="H579" s="6" t="s">
        <v>2725</v>
      </c>
      <c r="I579" s="6" t="s">
        <v>81</v>
      </c>
      <c r="J579" s="6"/>
      <c r="K579" s="6"/>
      <c r="L579" s="6"/>
      <c r="M579" s="6"/>
      <c r="N579" s="6"/>
      <c r="O579" s="6"/>
      <c r="P579" s="6"/>
      <c r="Q579" s="6"/>
      <c r="R579" s="6"/>
      <c r="S579" s="6"/>
      <c r="T579" s="6"/>
      <c r="U579" s="6"/>
      <c r="V579" s="6"/>
      <c r="W579" s="6"/>
      <c r="X579" s="6"/>
      <c r="Y579" s="6" t="s">
        <v>2905</v>
      </c>
      <c r="Z579" s="6" t="s">
        <v>2906</v>
      </c>
      <c r="AA579" s="6" t="s">
        <v>89</v>
      </c>
      <c r="AB579" s="6" t="s">
        <v>2907</v>
      </c>
      <c r="AC579" s="6" t="s">
        <v>2908</v>
      </c>
      <c r="AD579" s="6" t="s">
        <v>2909</v>
      </c>
      <c r="AE579" s="6" t="s">
        <v>2910</v>
      </c>
      <c r="AF579" s="6" t="s">
        <v>2911</v>
      </c>
      <c r="AG579" s="6"/>
      <c r="AH579" s="6"/>
      <c r="AI579" s="7"/>
      <c r="AJ579" s="7"/>
      <c r="AK579" s="7"/>
      <c r="AL579" s="7"/>
      <c r="AM579" s="7"/>
      <c r="AN579" s="7"/>
      <c r="AO579" s="7"/>
      <c r="AP579" s="7"/>
      <c r="AQ579" s="7"/>
      <c r="AR579" s="7"/>
      <c r="AS579" s="7"/>
      <c r="AT579" s="7"/>
      <c r="AU579" s="7"/>
      <c r="AV579" s="7"/>
      <c r="AW579" s="7"/>
      <c r="AX579" s="7"/>
      <c r="AY579" s="7"/>
      <c r="AZ579" s="7"/>
    </row>
    <row r="580" customFormat="false" ht="150" hidden="false" customHeight="true" outlineLevel="0" collapsed="false">
      <c r="A580" s="6" t="s">
        <v>2912</v>
      </c>
      <c r="B580" s="6" t="s">
        <v>2463</v>
      </c>
      <c r="C580" s="6" t="s">
        <v>76</v>
      </c>
      <c r="D580" s="6" t="s">
        <v>123</v>
      </c>
      <c r="E580" s="6" t="s">
        <v>124</v>
      </c>
      <c r="F580" s="6"/>
      <c r="G580" s="6" t="s">
        <v>98</v>
      </c>
      <c r="H580" s="6" t="s">
        <v>408</v>
      </c>
      <c r="I580" s="6" t="s">
        <v>81</v>
      </c>
      <c r="J580" s="6"/>
      <c r="K580" s="6"/>
      <c r="L580" s="6"/>
      <c r="M580" s="6"/>
      <c r="N580" s="6"/>
      <c r="O580" s="6"/>
      <c r="P580" s="6"/>
      <c r="Q580" s="6"/>
      <c r="R580" s="6"/>
      <c r="S580" s="6"/>
      <c r="T580" s="6"/>
      <c r="U580" s="6"/>
      <c r="V580" s="6"/>
      <c r="W580" s="6"/>
      <c r="X580" s="6"/>
      <c r="Y580" s="6"/>
      <c r="Z580" s="6"/>
      <c r="AA580" s="6" t="s">
        <v>89</v>
      </c>
      <c r="AB580" s="6" t="s">
        <v>2913</v>
      </c>
      <c r="AC580" s="6" t="s">
        <v>2914</v>
      </c>
      <c r="AD580" s="6" t="s">
        <v>2915</v>
      </c>
      <c r="AE580" s="6" t="s">
        <v>2916</v>
      </c>
      <c r="AF580" s="6" t="s">
        <v>2917</v>
      </c>
      <c r="AG580" s="6"/>
      <c r="AH580" s="6"/>
      <c r="AI580" s="7"/>
      <c r="AJ580" s="7"/>
      <c r="AK580" s="7"/>
      <c r="AL580" s="7"/>
      <c r="AM580" s="7"/>
      <c r="AN580" s="7"/>
      <c r="AO580" s="7"/>
      <c r="AP580" s="7"/>
      <c r="AQ580" s="7"/>
      <c r="AR580" s="7"/>
      <c r="AS580" s="7"/>
      <c r="AT580" s="7"/>
      <c r="AU580" s="7"/>
      <c r="AV580" s="7"/>
      <c r="AW580" s="7"/>
      <c r="AX580" s="7"/>
      <c r="AY580" s="7"/>
      <c r="AZ580" s="7"/>
    </row>
    <row r="581" customFormat="false" ht="150" hidden="false" customHeight="true" outlineLevel="0" collapsed="false">
      <c r="A581" s="6" t="s">
        <v>2918</v>
      </c>
      <c r="B581" s="6" t="s">
        <v>2463</v>
      </c>
      <c r="C581" s="6" t="s">
        <v>76</v>
      </c>
      <c r="D581" s="6" t="s">
        <v>96</v>
      </c>
      <c r="E581" s="6" t="s">
        <v>97</v>
      </c>
      <c r="F581" s="6"/>
      <c r="G581" s="6" t="s">
        <v>165</v>
      </c>
      <c r="H581" s="6" t="s">
        <v>408</v>
      </c>
      <c r="I581" s="6" t="s">
        <v>81</v>
      </c>
      <c r="J581" s="6"/>
      <c r="K581" s="6"/>
      <c r="L581" s="6"/>
      <c r="M581" s="6"/>
      <c r="N581" s="6"/>
      <c r="O581" s="6"/>
      <c r="P581" s="6"/>
      <c r="Q581" s="6"/>
      <c r="R581" s="6"/>
      <c r="S581" s="6" t="s">
        <v>683</v>
      </c>
      <c r="T581" s="6" t="s">
        <v>83</v>
      </c>
      <c r="U581" s="6"/>
      <c r="V581" s="6" t="s">
        <v>2919</v>
      </c>
      <c r="W581" s="6" t="s">
        <v>2920</v>
      </c>
      <c r="X581" s="6" t="s">
        <v>2921</v>
      </c>
      <c r="Y581" s="6" t="s">
        <v>2922</v>
      </c>
      <c r="Z581" s="6" t="s">
        <v>2923</v>
      </c>
      <c r="AA581" s="6" t="s">
        <v>89</v>
      </c>
      <c r="AB581" s="6" t="s">
        <v>2924</v>
      </c>
      <c r="AC581" s="6" t="s">
        <v>2925</v>
      </c>
      <c r="AD581" s="6" t="s">
        <v>2926</v>
      </c>
      <c r="AE581" s="6" t="s">
        <v>2927</v>
      </c>
      <c r="AF581" s="6" t="s">
        <v>2928</v>
      </c>
      <c r="AG581" s="6"/>
      <c r="AH581" s="6"/>
      <c r="AI581" s="7"/>
      <c r="AJ581" s="7"/>
      <c r="AK581" s="7"/>
      <c r="AL581" s="7"/>
      <c r="AM581" s="7"/>
      <c r="AN581" s="7"/>
      <c r="AO581" s="7"/>
      <c r="AP581" s="7"/>
      <c r="AQ581" s="7"/>
      <c r="AR581" s="7"/>
      <c r="AS581" s="7"/>
      <c r="AT581" s="7"/>
      <c r="AU581" s="7"/>
      <c r="AV581" s="7"/>
      <c r="AW581" s="7"/>
      <c r="AX581" s="7"/>
      <c r="AY581" s="7"/>
      <c r="AZ581" s="7"/>
    </row>
    <row r="582" customFormat="false" ht="150" hidden="false" customHeight="true" outlineLevel="0" collapsed="false">
      <c r="A582" s="6" t="s">
        <v>2929</v>
      </c>
      <c r="B582" s="6" t="s">
        <v>2463</v>
      </c>
      <c r="C582" s="6" t="s">
        <v>76</v>
      </c>
      <c r="D582" s="6" t="s">
        <v>110</v>
      </c>
      <c r="E582" s="6" t="s">
        <v>111</v>
      </c>
      <c r="F582" s="6"/>
      <c r="G582" s="6" t="s">
        <v>98</v>
      </c>
      <c r="H582" s="6" t="s">
        <v>408</v>
      </c>
      <c r="I582" s="6" t="s">
        <v>81</v>
      </c>
      <c r="J582" s="6"/>
      <c r="K582" s="6"/>
      <c r="L582" s="6"/>
      <c r="M582" s="6"/>
      <c r="N582" s="6"/>
      <c r="O582" s="6"/>
      <c r="P582" s="6"/>
      <c r="Q582" s="6"/>
      <c r="R582" s="6"/>
      <c r="S582" s="6"/>
      <c r="T582" s="6"/>
      <c r="U582" s="6"/>
      <c r="V582" s="6"/>
      <c r="W582" s="6"/>
      <c r="X582" s="6"/>
      <c r="Y582" s="6"/>
      <c r="Z582" s="6"/>
      <c r="AA582" s="6" t="s">
        <v>89</v>
      </c>
      <c r="AB582" s="6" t="s">
        <v>2930</v>
      </c>
      <c r="AC582" s="6" t="s">
        <v>2931</v>
      </c>
      <c r="AD582" s="6" t="s">
        <v>2932</v>
      </c>
      <c r="AE582" s="6" t="s">
        <v>2933</v>
      </c>
      <c r="AF582" s="6" t="s">
        <v>2934</v>
      </c>
      <c r="AG582" s="6"/>
      <c r="AH582" s="6"/>
      <c r="AI582" s="7"/>
      <c r="AJ582" s="7"/>
      <c r="AK582" s="7"/>
      <c r="AL582" s="7"/>
      <c r="AM582" s="7"/>
      <c r="AN582" s="7"/>
      <c r="AO582" s="7"/>
      <c r="AP582" s="7"/>
      <c r="AQ582" s="7"/>
      <c r="AR582" s="7"/>
      <c r="AS582" s="7"/>
      <c r="AT582" s="7"/>
      <c r="AU582" s="7"/>
      <c r="AV582" s="7"/>
      <c r="AW582" s="7"/>
      <c r="AX582" s="7"/>
      <c r="AY582" s="7"/>
      <c r="AZ582" s="7"/>
    </row>
    <row r="583" customFormat="false" ht="150" hidden="false" customHeight="true" outlineLevel="0" collapsed="false">
      <c r="A583" s="6" t="s">
        <v>2935</v>
      </c>
      <c r="B583" s="6" t="s">
        <v>2463</v>
      </c>
      <c r="C583" s="6" t="s">
        <v>76</v>
      </c>
      <c r="D583" s="6" t="s">
        <v>145</v>
      </c>
      <c r="E583" s="6" t="s">
        <v>146</v>
      </c>
      <c r="F583" s="6"/>
      <c r="G583" s="6" t="s">
        <v>165</v>
      </c>
      <c r="H583" s="6" t="s">
        <v>408</v>
      </c>
      <c r="I583" s="6" t="s">
        <v>81</v>
      </c>
      <c r="J583" s="6"/>
      <c r="K583" s="6"/>
      <c r="L583" s="6"/>
      <c r="M583" s="6"/>
      <c r="N583" s="6"/>
      <c r="O583" s="6"/>
      <c r="P583" s="6"/>
      <c r="Q583" s="6"/>
      <c r="R583" s="6"/>
      <c r="S583" s="6"/>
      <c r="T583" s="6"/>
      <c r="U583" s="6"/>
      <c r="V583" s="6"/>
      <c r="W583" s="6"/>
      <c r="X583" s="6"/>
      <c r="Y583" s="6"/>
      <c r="Z583" s="6"/>
      <c r="AA583" s="6" t="s">
        <v>89</v>
      </c>
      <c r="AB583" s="6" t="s">
        <v>2936</v>
      </c>
      <c r="AC583" s="6" t="s">
        <v>2937</v>
      </c>
      <c r="AD583" s="6" t="s">
        <v>2938</v>
      </c>
      <c r="AE583" s="6" t="s">
        <v>2939</v>
      </c>
      <c r="AF583" s="6" t="s">
        <v>2940</v>
      </c>
      <c r="AG583" s="6"/>
      <c r="AH583" s="6"/>
      <c r="AI583" s="7"/>
      <c r="AJ583" s="7"/>
      <c r="AK583" s="7"/>
      <c r="AL583" s="7"/>
      <c r="AM583" s="7"/>
      <c r="AN583" s="7"/>
      <c r="AO583" s="7"/>
      <c r="AP583" s="7"/>
      <c r="AQ583" s="7"/>
      <c r="AR583" s="7"/>
      <c r="AS583" s="7"/>
      <c r="AT583" s="7"/>
      <c r="AU583" s="7"/>
      <c r="AV583" s="7"/>
      <c r="AW583" s="7"/>
      <c r="AX583" s="7"/>
      <c r="AY583" s="7"/>
      <c r="AZ583" s="7"/>
    </row>
    <row r="584" customFormat="false" ht="150" hidden="false" customHeight="true" outlineLevel="0" collapsed="false">
      <c r="A584" s="6" t="s">
        <v>2941</v>
      </c>
      <c r="B584" s="6" t="s">
        <v>2463</v>
      </c>
      <c r="C584" s="6" t="s">
        <v>76</v>
      </c>
      <c r="D584" s="6" t="s">
        <v>96</v>
      </c>
      <c r="E584" s="6" t="s">
        <v>97</v>
      </c>
      <c r="F584" s="6"/>
      <c r="G584" s="6" t="s">
        <v>98</v>
      </c>
      <c r="H584" s="6" t="s">
        <v>781</v>
      </c>
      <c r="I584" s="6" t="s">
        <v>409</v>
      </c>
      <c r="J584" s="6"/>
      <c r="K584" s="6"/>
      <c r="L584" s="6"/>
      <c r="M584" s="6"/>
      <c r="N584" s="6"/>
      <c r="O584" s="6"/>
      <c r="P584" s="6"/>
      <c r="Q584" s="6"/>
      <c r="R584" s="6"/>
      <c r="S584" s="6" t="s">
        <v>783</v>
      </c>
      <c r="T584" s="6" t="s">
        <v>83</v>
      </c>
      <c r="U584" s="6"/>
      <c r="V584" s="6" t="s">
        <v>2942</v>
      </c>
      <c r="W584" s="6" t="s">
        <v>2943</v>
      </c>
      <c r="X584" s="6" t="s">
        <v>2944</v>
      </c>
      <c r="Y584" s="6"/>
      <c r="Z584" s="6"/>
      <c r="AA584" s="6" t="s">
        <v>89</v>
      </c>
      <c r="AB584" s="6" t="s">
        <v>2945</v>
      </c>
      <c r="AC584" s="6" t="s">
        <v>2946</v>
      </c>
      <c r="AD584" s="6"/>
      <c r="AE584" s="6"/>
      <c r="AF584" s="6"/>
      <c r="AG584" s="6" t="s">
        <v>2947</v>
      </c>
      <c r="AH584" s="6" t="s">
        <v>2948</v>
      </c>
      <c r="AI584" s="7"/>
      <c r="AJ584" s="7"/>
      <c r="AK584" s="7"/>
      <c r="AL584" s="7"/>
      <c r="AM584" s="7"/>
      <c r="AN584" s="7"/>
      <c r="AO584" s="7"/>
      <c r="AP584" s="7"/>
      <c r="AQ584" s="7"/>
      <c r="AR584" s="7"/>
      <c r="AS584" s="7"/>
      <c r="AT584" s="7"/>
      <c r="AU584" s="7"/>
      <c r="AV584" s="7"/>
      <c r="AW584" s="7"/>
      <c r="AX584" s="7"/>
      <c r="AY584" s="7"/>
      <c r="AZ584" s="7"/>
    </row>
    <row r="585" customFormat="false" ht="150" hidden="false" customHeight="true" outlineLevel="0" collapsed="false">
      <c r="A585" s="6" t="s">
        <v>2949</v>
      </c>
      <c r="B585" s="6" t="s">
        <v>2463</v>
      </c>
      <c r="C585" s="6" t="s">
        <v>76</v>
      </c>
      <c r="D585" s="6" t="s">
        <v>110</v>
      </c>
      <c r="E585" s="6" t="s">
        <v>111</v>
      </c>
      <c r="F585" s="6"/>
      <c r="G585" s="6" t="s">
        <v>79</v>
      </c>
      <c r="H585" s="6" t="s">
        <v>781</v>
      </c>
      <c r="I585" s="6" t="s">
        <v>81</v>
      </c>
      <c r="J585" s="6"/>
      <c r="K585" s="6"/>
      <c r="L585" s="6"/>
      <c r="M585" s="6"/>
      <c r="N585" s="6"/>
      <c r="O585" s="6"/>
      <c r="P585" s="6"/>
      <c r="Q585" s="6"/>
      <c r="R585" s="6"/>
      <c r="S585" s="6" t="s">
        <v>1286</v>
      </c>
      <c r="T585" s="6" t="s">
        <v>83</v>
      </c>
      <c r="U585" s="6"/>
      <c r="V585" s="6" t="s">
        <v>2950</v>
      </c>
      <c r="W585" s="6" t="s">
        <v>2951</v>
      </c>
      <c r="X585" s="6" t="s">
        <v>2952</v>
      </c>
      <c r="Y585" s="6"/>
      <c r="Z585" s="6"/>
      <c r="AA585" s="6" t="s">
        <v>89</v>
      </c>
      <c r="AB585" s="6" t="s">
        <v>2953</v>
      </c>
      <c r="AC585" s="6" t="s">
        <v>2954</v>
      </c>
      <c r="AD585" s="6" t="s">
        <v>2955</v>
      </c>
      <c r="AE585" s="6" t="s">
        <v>2956</v>
      </c>
      <c r="AF585" s="6" t="s">
        <v>2957</v>
      </c>
      <c r="AG585" s="6"/>
      <c r="AH585" s="6"/>
      <c r="AI585" s="7"/>
      <c r="AJ585" s="7"/>
      <c r="AK585" s="7"/>
      <c r="AL585" s="7"/>
      <c r="AM585" s="7"/>
      <c r="AN585" s="7"/>
      <c r="AO585" s="7"/>
      <c r="AP585" s="7"/>
      <c r="AQ585" s="7"/>
      <c r="AR585" s="7"/>
      <c r="AS585" s="7"/>
      <c r="AT585" s="7"/>
      <c r="AU585" s="7"/>
      <c r="AV585" s="7"/>
      <c r="AW585" s="7"/>
      <c r="AX585" s="7"/>
      <c r="AY585" s="7"/>
      <c r="AZ585" s="7"/>
    </row>
    <row r="586" customFormat="false" ht="150" hidden="false" customHeight="true" outlineLevel="0" collapsed="false">
      <c r="A586" s="6" t="s">
        <v>2958</v>
      </c>
      <c r="B586" s="6" t="s">
        <v>2463</v>
      </c>
      <c r="C586" s="6" t="s">
        <v>76</v>
      </c>
      <c r="D586" s="6" t="s">
        <v>77</v>
      </c>
      <c r="E586" s="6" t="s">
        <v>78</v>
      </c>
      <c r="F586" s="6"/>
      <c r="G586" s="6" t="s">
        <v>98</v>
      </c>
      <c r="H586" s="6" t="s">
        <v>408</v>
      </c>
      <c r="I586" s="6" t="s">
        <v>409</v>
      </c>
      <c r="J586" s="6"/>
      <c r="K586" s="6"/>
      <c r="L586" s="6"/>
      <c r="M586" s="6"/>
      <c r="N586" s="6"/>
      <c r="O586" s="6"/>
      <c r="P586" s="6"/>
      <c r="Q586" s="6"/>
      <c r="R586" s="6"/>
      <c r="S586" s="6"/>
      <c r="T586" s="6"/>
      <c r="U586" s="6"/>
      <c r="V586" s="6"/>
      <c r="W586" s="6"/>
      <c r="X586" s="6"/>
      <c r="Y586" s="6"/>
      <c r="Z586" s="6"/>
      <c r="AA586" s="6" t="s">
        <v>89</v>
      </c>
      <c r="AB586" s="6" t="s">
        <v>2959</v>
      </c>
      <c r="AC586" s="6" t="s">
        <v>2960</v>
      </c>
      <c r="AD586" s="6"/>
      <c r="AE586" s="6"/>
      <c r="AF586" s="6"/>
      <c r="AG586" s="6" t="s">
        <v>2961</v>
      </c>
      <c r="AH586" s="6" t="s">
        <v>2962</v>
      </c>
      <c r="AI586" s="7"/>
      <c r="AJ586" s="7"/>
      <c r="AK586" s="7"/>
      <c r="AL586" s="7"/>
      <c r="AM586" s="7"/>
      <c r="AN586" s="7"/>
      <c r="AO586" s="7"/>
      <c r="AP586" s="7"/>
      <c r="AQ586" s="7"/>
      <c r="AR586" s="7"/>
      <c r="AS586" s="7"/>
      <c r="AT586" s="7"/>
      <c r="AU586" s="7"/>
      <c r="AV586" s="7"/>
      <c r="AW586" s="7"/>
      <c r="AX586" s="7"/>
      <c r="AY586" s="7"/>
      <c r="AZ586" s="7"/>
    </row>
    <row r="587" customFormat="false" ht="150" hidden="false" customHeight="true" outlineLevel="0" collapsed="false">
      <c r="A587" s="6" t="s">
        <v>2963</v>
      </c>
      <c r="B587" s="6" t="s">
        <v>2463</v>
      </c>
      <c r="C587" s="6" t="s">
        <v>76</v>
      </c>
      <c r="D587" s="6" t="s">
        <v>77</v>
      </c>
      <c r="E587" s="6" t="s">
        <v>78</v>
      </c>
      <c r="F587" s="6"/>
      <c r="G587" s="6" t="s">
        <v>98</v>
      </c>
      <c r="H587" s="6" t="s">
        <v>431</v>
      </c>
      <c r="I587" s="6" t="s">
        <v>432</v>
      </c>
      <c r="J587" s="6"/>
      <c r="K587" s="6"/>
      <c r="L587" s="6"/>
      <c r="M587" s="6"/>
      <c r="N587" s="6"/>
      <c r="O587" s="6"/>
      <c r="P587" s="6"/>
      <c r="Q587" s="6"/>
      <c r="R587" s="6"/>
      <c r="S587" s="6" t="s">
        <v>134</v>
      </c>
      <c r="T587" s="6" t="s">
        <v>83</v>
      </c>
      <c r="U587" s="6"/>
      <c r="V587" s="6" t="s">
        <v>2964</v>
      </c>
      <c r="W587" s="6" t="s">
        <v>2965</v>
      </c>
      <c r="X587" s="6" t="s">
        <v>2966</v>
      </c>
      <c r="Y587" s="6"/>
      <c r="Z587" s="6"/>
      <c r="AA587" s="6" t="s">
        <v>89</v>
      </c>
      <c r="AB587" s="6" t="s">
        <v>2967</v>
      </c>
      <c r="AC587" s="6" t="s">
        <v>2968</v>
      </c>
      <c r="AD587" s="6" t="s">
        <v>2969</v>
      </c>
      <c r="AE587" s="6" t="s">
        <v>2970</v>
      </c>
      <c r="AF587" s="6" t="s">
        <v>2971</v>
      </c>
      <c r="AG587" s="6"/>
      <c r="AH587" s="6"/>
      <c r="AI587" s="7"/>
      <c r="AJ587" s="7"/>
      <c r="AK587" s="7"/>
      <c r="AL587" s="7"/>
      <c r="AM587" s="7"/>
      <c r="AN587" s="7"/>
      <c r="AO587" s="7"/>
      <c r="AP587" s="7"/>
      <c r="AQ587" s="7"/>
      <c r="AR587" s="7"/>
      <c r="AS587" s="7"/>
      <c r="AT587" s="7"/>
      <c r="AU587" s="7"/>
      <c r="AV587" s="7"/>
      <c r="AW587" s="7"/>
      <c r="AX587" s="7"/>
      <c r="AY587" s="7"/>
      <c r="AZ587" s="7"/>
    </row>
    <row r="588" customFormat="false" ht="150" hidden="false" customHeight="true" outlineLevel="0" collapsed="false">
      <c r="A588" s="6" t="s">
        <v>2972</v>
      </c>
      <c r="B588" s="6" t="s">
        <v>2463</v>
      </c>
      <c r="C588" s="6" t="s">
        <v>76</v>
      </c>
      <c r="D588" s="6" t="s">
        <v>77</v>
      </c>
      <c r="E588" s="6" t="s">
        <v>78</v>
      </c>
      <c r="F588" s="6"/>
      <c r="G588" s="6" t="s">
        <v>165</v>
      </c>
      <c r="H588" s="6" t="s">
        <v>491</v>
      </c>
      <c r="I588" s="6" t="s">
        <v>492</v>
      </c>
      <c r="J588" s="6"/>
      <c r="K588" s="6"/>
      <c r="L588" s="6"/>
      <c r="M588" s="6"/>
      <c r="N588" s="6"/>
      <c r="O588" s="6"/>
      <c r="P588" s="6"/>
      <c r="Q588" s="6"/>
      <c r="R588" s="6"/>
      <c r="S588" s="6"/>
      <c r="T588" s="6"/>
      <c r="U588" s="6"/>
      <c r="V588" s="6"/>
      <c r="W588" s="6"/>
      <c r="X588" s="6"/>
      <c r="Y588" s="6" t="s">
        <v>2973</v>
      </c>
      <c r="Z588" s="6" t="s">
        <v>2974</v>
      </c>
      <c r="AA588" s="6" t="s">
        <v>89</v>
      </c>
      <c r="AB588" s="6" t="s">
        <v>2975</v>
      </c>
      <c r="AC588" s="6" t="s">
        <v>2976</v>
      </c>
      <c r="AD588" s="6" t="s">
        <v>2977</v>
      </c>
      <c r="AE588" s="6" t="s">
        <v>2978</v>
      </c>
      <c r="AF588" s="6" t="s">
        <v>2979</v>
      </c>
      <c r="AG588" s="6"/>
      <c r="AH588" s="6"/>
      <c r="AI588" s="7"/>
      <c r="AJ588" s="7"/>
      <c r="AK588" s="7"/>
      <c r="AL588" s="7"/>
      <c r="AM588" s="7"/>
      <c r="AN588" s="7"/>
      <c r="AO588" s="7"/>
      <c r="AP588" s="7"/>
      <c r="AQ588" s="7"/>
      <c r="AR588" s="7"/>
      <c r="AS588" s="7"/>
      <c r="AT588" s="7"/>
      <c r="AU588" s="7"/>
      <c r="AV588" s="7"/>
      <c r="AW588" s="7"/>
      <c r="AX588" s="7"/>
      <c r="AY588" s="7"/>
      <c r="AZ588" s="7"/>
    </row>
    <row r="589" customFormat="false" ht="150" hidden="false" customHeight="true" outlineLevel="0" collapsed="false">
      <c r="A589" s="6" t="s">
        <v>2980</v>
      </c>
      <c r="B589" s="6" t="s">
        <v>2463</v>
      </c>
      <c r="C589" s="6" t="s">
        <v>76</v>
      </c>
      <c r="D589" s="6" t="s">
        <v>110</v>
      </c>
      <c r="E589" s="6" t="s">
        <v>111</v>
      </c>
      <c r="F589" s="6"/>
      <c r="G589" s="6" t="s">
        <v>98</v>
      </c>
      <c r="H589" s="6" t="s">
        <v>452</v>
      </c>
      <c r="I589" s="6" t="s">
        <v>373</v>
      </c>
      <c r="J589" s="6"/>
      <c r="K589" s="6"/>
      <c r="L589" s="6"/>
      <c r="M589" s="6"/>
      <c r="N589" s="6"/>
      <c r="O589" s="6"/>
      <c r="P589" s="6"/>
      <c r="Q589" s="6"/>
      <c r="R589" s="6"/>
      <c r="S589" s="6"/>
      <c r="T589" s="6"/>
      <c r="U589" s="6"/>
      <c r="V589" s="6"/>
      <c r="W589" s="6"/>
      <c r="X589" s="6"/>
      <c r="Y589" s="6" t="s">
        <v>2981</v>
      </c>
      <c r="Z589" s="6" t="s">
        <v>2982</v>
      </c>
      <c r="AA589" s="6" t="s">
        <v>89</v>
      </c>
      <c r="AB589" s="6" t="s">
        <v>2983</v>
      </c>
      <c r="AC589" s="6" t="s">
        <v>2984</v>
      </c>
      <c r="AD589" s="6" t="s">
        <v>2985</v>
      </c>
      <c r="AE589" s="6" t="s">
        <v>428</v>
      </c>
      <c r="AF589" s="6" t="s">
        <v>2986</v>
      </c>
      <c r="AG589" s="6"/>
      <c r="AH589" s="6"/>
      <c r="AI589" s="7"/>
      <c r="AJ589" s="7"/>
      <c r="AK589" s="7"/>
      <c r="AL589" s="7"/>
      <c r="AM589" s="7"/>
      <c r="AN589" s="7"/>
      <c r="AO589" s="7"/>
      <c r="AP589" s="7"/>
      <c r="AQ589" s="7"/>
      <c r="AR589" s="7"/>
      <c r="AS589" s="7"/>
      <c r="AT589" s="7"/>
      <c r="AU589" s="7"/>
      <c r="AV589" s="7"/>
      <c r="AW589" s="7"/>
      <c r="AX589" s="7"/>
      <c r="AY589" s="7"/>
      <c r="AZ589" s="7"/>
    </row>
    <row r="590" customFormat="false" ht="150" hidden="false" customHeight="true" outlineLevel="0" collapsed="false">
      <c r="A590" s="6" t="s">
        <v>2987</v>
      </c>
      <c r="B590" s="6" t="s">
        <v>2463</v>
      </c>
      <c r="C590" s="6" t="s">
        <v>76</v>
      </c>
      <c r="D590" s="6" t="s">
        <v>132</v>
      </c>
      <c r="E590" s="6" t="s">
        <v>133</v>
      </c>
      <c r="F590" s="6"/>
      <c r="G590" s="6" t="s">
        <v>79</v>
      </c>
      <c r="H590" s="6" t="s">
        <v>2725</v>
      </c>
      <c r="I590" s="6" t="s">
        <v>81</v>
      </c>
      <c r="J590" s="6"/>
      <c r="K590" s="6"/>
      <c r="L590" s="6"/>
      <c r="M590" s="6"/>
      <c r="N590" s="6"/>
      <c r="O590" s="6"/>
      <c r="P590" s="6"/>
      <c r="Q590" s="6"/>
      <c r="R590" s="6"/>
      <c r="S590" s="6"/>
      <c r="T590" s="6"/>
      <c r="U590" s="6"/>
      <c r="V590" s="6"/>
      <c r="W590" s="6"/>
      <c r="X590" s="6"/>
      <c r="Y590" s="6"/>
      <c r="Z590" s="6"/>
      <c r="AA590" s="6" t="s">
        <v>89</v>
      </c>
      <c r="AB590" s="6" t="s">
        <v>2988</v>
      </c>
      <c r="AC590" s="6" t="s">
        <v>2989</v>
      </c>
      <c r="AD590" s="6" t="s">
        <v>2990</v>
      </c>
      <c r="AE590" s="6" t="s">
        <v>2991</v>
      </c>
      <c r="AF590" s="6" t="s">
        <v>2992</v>
      </c>
      <c r="AG590" s="6"/>
      <c r="AH590" s="6"/>
      <c r="AI590" s="7"/>
      <c r="AJ590" s="7"/>
      <c r="AK590" s="7"/>
      <c r="AL590" s="7"/>
      <c r="AM590" s="7"/>
      <c r="AN590" s="7"/>
      <c r="AO590" s="7"/>
      <c r="AP590" s="7"/>
      <c r="AQ590" s="7"/>
      <c r="AR590" s="7"/>
      <c r="AS590" s="7"/>
      <c r="AT590" s="7"/>
      <c r="AU590" s="7"/>
      <c r="AV590" s="7"/>
      <c r="AW590" s="7"/>
      <c r="AX590" s="7"/>
      <c r="AY590" s="7"/>
      <c r="AZ590" s="7"/>
    </row>
    <row r="591" customFormat="false" ht="150" hidden="false" customHeight="true" outlineLevel="0" collapsed="false">
      <c r="A591" s="6" t="s">
        <v>2993</v>
      </c>
      <c r="B591" s="6" t="s">
        <v>2463</v>
      </c>
      <c r="C591" s="6" t="s">
        <v>76</v>
      </c>
      <c r="D591" s="6" t="s">
        <v>145</v>
      </c>
      <c r="E591" s="6" t="s">
        <v>146</v>
      </c>
      <c r="F591" s="6"/>
      <c r="G591" s="6" t="s">
        <v>98</v>
      </c>
      <c r="H591" s="6" t="s">
        <v>408</v>
      </c>
      <c r="I591" s="6" t="s">
        <v>81</v>
      </c>
      <c r="J591" s="6"/>
      <c r="K591" s="6"/>
      <c r="L591" s="6"/>
      <c r="M591" s="6"/>
      <c r="N591" s="6"/>
      <c r="O591" s="6"/>
      <c r="P591" s="6"/>
      <c r="Q591" s="6"/>
      <c r="R591" s="6"/>
      <c r="S591" s="6"/>
      <c r="T591" s="6"/>
      <c r="U591" s="6"/>
      <c r="V591" s="6"/>
      <c r="W591" s="6"/>
      <c r="X591" s="6"/>
      <c r="Y591" s="6" t="s">
        <v>2994</v>
      </c>
      <c r="Z591" s="6" t="s">
        <v>2995</v>
      </c>
      <c r="AA591" s="6" t="s">
        <v>89</v>
      </c>
      <c r="AB591" s="6" t="s">
        <v>2996</v>
      </c>
      <c r="AC591" s="6" t="s">
        <v>2997</v>
      </c>
      <c r="AD591" s="6" t="s">
        <v>2998</v>
      </c>
      <c r="AE591" s="6" t="s">
        <v>2999</v>
      </c>
      <c r="AF591" s="6" t="s">
        <v>3000</v>
      </c>
      <c r="AG591" s="6"/>
      <c r="AH591" s="6"/>
      <c r="AI591" s="7"/>
      <c r="AJ591" s="7"/>
      <c r="AK591" s="7"/>
      <c r="AL591" s="7"/>
      <c r="AM591" s="7"/>
      <c r="AN591" s="7"/>
      <c r="AO591" s="7"/>
      <c r="AP591" s="7"/>
      <c r="AQ591" s="7"/>
      <c r="AR591" s="7"/>
      <c r="AS591" s="7"/>
      <c r="AT591" s="7"/>
      <c r="AU591" s="7"/>
      <c r="AV591" s="7"/>
      <c r="AW591" s="7"/>
      <c r="AX591" s="7"/>
      <c r="AY591" s="7"/>
      <c r="AZ591" s="7"/>
    </row>
    <row r="592" customFormat="false" ht="150" hidden="false" customHeight="true" outlineLevel="0" collapsed="false">
      <c r="A592" s="6" t="s">
        <v>3001</v>
      </c>
      <c r="B592" s="6" t="s">
        <v>2463</v>
      </c>
      <c r="C592" s="6" t="s">
        <v>76</v>
      </c>
      <c r="D592" s="6" t="s">
        <v>123</v>
      </c>
      <c r="E592" s="6" t="s">
        <v>124</v>
      </c>
      <c r="F592" s="6"/>
      <c r="G592" s="6" t="s">
        <v>79</v>
      </c>
      <c r="H592" s="6" t="s">
        <v>491</v>
      </c>
      <c r="I592" s="6" t="s">
        <v>492</v>
      </c>
      <c r="J592" s="6"/>
      <c r="K592" s="6"/>
      <c r="L592" s="6"/>
      <c r="M592" s="6"/>
      <c r="N592" s="6"/>
      <c r="O592" s="6"/>
      <c r="P592" s="6"/>
      <c r="Q592" s="6"/>
      <c r="R592" s="6"/>
      <c r="S592" s="6"/>
      <c r="T592" s="6"/>
      <c r="U592" s="6"/>
      <c r="V592" s="6"/>
      <c r="W592" s="6"/>
      <c r="X592" s="6"/>
      <c r="Y592" s="6"/>
      <c r="Z592" s="6"/>
      <c r="AA592" s="6" t="s">
        <v>89</v>
      </c>
      <c r="AB592" s="6" t="s">
        <v>3002</v>
      </c>
      <c r="AC592" s="6" t="s">
        <v>3003</v>
      </c>
      <c r="AD592" s="6" t="s">
        <v>3004</v>
      </c>
      <c r="AE592" s="6" t="s">
        <v>3005</v>
      </c>
      <c r="AF592" s="6" t="s">
        <v>3006</v>
      </c>
      <c r="AG592" s="6"/>
      <c r="AH592" s="6"/>
      <c r="AI592" s="7"/>
      <c r="AJ592" s="7"/>
      <c r="AK592" s="7"/>
      <c r="AL592" s="7"/>
      <c r="AM592" s="7"/>
      <c r="AN592" s="7"/>
      <c r="AO592" s="7"/>
      <c r="AP592" s="7"/>
      <c r="AQ592" s="7"/>
      <c r="AR592" s="7"/>
      <c r="AS592" s="7"/>
      <c r="AT592" s="7"/>
      <c r="AU592" s="7"/>
      <c r="AV592" s="7"/>
      <c r="AW592" s="7"/>
      <c r="AX592" s="7"/>
      <c r="AY592" s="7"/>
      <c r="AZ592" s="7"/>
    </row>
    <row r="593" customFormat="false" ht="150" hidden="false" customHeight="true" outlineLevel="0" collapsed="false">
      <c r="A593" s="6" t="s">
        <v>3007</v>
      </c>
      <c r="B593" s="6" t="s">
        <v>2463</v>
      </c>
      <c r="C593" s="6" t="s">
        <v>76</v>
      </c>
      <c r="D593" s="6" t="s">
        <v>132</v>
      </c>
      <c r="E593" s="6" t="s">
        <v>133</v>
      </c>
      <c r="F593" s="6"/>
      <c r="G593" s="6" t="s">
        <v>165</v>
      </c>
      <c r="H593" s="6" t="s">
        <v>372</v>
      </c>
      <c r="I593" s="6" t="s">
        <v>81</v>
      </c>
      <c r="J593" s="6"/>
      <c r="K593" s="6"/>
      <c r="L593" s="6"/>
      <c r="M593" s="6"/>
      <c r="N593" s="6"/>
      <c r="O593" s="6"/>
      <c r="P593" s="6"/>
      <c r="Q593" s="6"/>
      <c r="R593" s="6"/>
      <c r="S593" s="6" t="s">
        <v>933</v>
      </c>
      <c r="T593" s="6" t="s">
        <v>83</v>
      </c>
      <c r="U593" s="6"/>
      <c r="V593" s="6" t="s">
        <v>3008</v>
      </c>
      <c r="W593" s="6" t="s">
        <v>935</v>
      </c>
      <c r="X593" s="6" t="s">
        <v>3009</v>
      </c>
      <c r="Y593" s="6"/>
      <c r="Z593" s="6"/>
      <c r="AA593" s="6" t="s">
        <v>89</v>
      </c>
      <c r="AB593" s="6" t="s">
        <v>3010</v>
      </c>
      <c r="AC593" s="6" t="s">
        <v>3011</v>
      </c>
      <c r="AD593" s="6" t="s">
        <v>3012</v>
      </c>
      <c r="AE593" s="6" t="s">
        <v>3013</v>
      </c>
      <c r="AF593" s="6" t="s">
        <v>3014</v>
      </c>
      <c r="AG593" s="6"/>
      <c r="AH593" s="6"/>
      <c r="AI593" s="7"/>
      <c r="AJ593" s="7"/>
      <c r="AK593" s="7"/>
      <c r="AL593" s="7"/>
      <c r="AM593" s="7"/>
      <c r="AN593" s="7"/>
      <c r="AO593" s="7"/>
      <c r="AP593" s="7"/>
      <c r="AQ593" s="7"/>
      <c r="AR593" s="7"/>
      <c r="AS593" s="7"/>
      <c r="AT593" s="7"/>
      <c r="AU593" s="7"/>
      <c r="AV593" s="7"/>
      <c r="AW593" s="7"/>
      <c r="AX593" s="7"/>
      <c r="AY593" s="7"/>
      <c r="AZ593" s="7"/>
    </row>
    <row r="594" customFormat="false" ht="150" hidden="false" customHeight="true" outlineLevel="0" collapsed="false">
      <c r="A594" s="6" t="s">
        <v>3015</v>
      </c>
      <c r="B594" s="6" t="s">
        <v>2463</v>
      </c>
      <c r="C594" s="6" t="s">
        <v>76</v>
      </c>
      <c r="D594" s="6" t="s">
        <v>96</v>
      </c>
      <c r="E594" s="6" t="s">
        <v>97</v>
      </c>
      <c r="F594" s="6"/>
      <c r="G594" s="6" t="s">
        <v>165</v>
      </c>
      <c r="H594" s="6" t="s">
        <v>372</v>
      </c>
      <c r="I594" s="6" t="s">
        <v>373</v>
      </c>
      <c r="J594" s="6"/>
      <c r="K594" s="6"/>
      <c r="L594" s="6"/>
      <c r="M594" s="6"/>
      <c r="N594" s="6"/>
      <c r="O594" s="6"/>
      <c r="P594" s="6"/>
      <c r="Q594" s="6"/>
      <c r="R594" s="6"/>
      <c r="S594" s="6" t="s">
        <v>398</v>
      </c>
      <c r="T594" s="6" t="s">
        <v>83</v>
      </c>
      <c r="U594" s="6"/>
      <c r="V594" s="6" t="s">
        <v>3016</v>
      </c>
      <c r="W594" s="6" t="s">
        <v>3017</v>
      </c>
      <c r="X594" s="6" t="s">
        <v>3018</v>
      </c>
      <c r="Y594" s="6"/>
      <c r="Z594" s="6"/>
      <c r="AA594" s="6" t="s">
        <v>89</v>
      </c>
      <c r="AB594" s="6" t="s">
        <v>3019</v>
      </c>
      <c r="AC594" s="6" t="s">
        <v>3020</v>
      </c>
      <c r="AD594" s="6" t="s">
        <v>3021</v>
      </c>
      <c r="AE594" s="6" t="s">
        <v>382</v>
      </c>
      <c r="AF594" s="6" t="s">
        <v>3022</v>
      </c>
      <c r="AG594" s="6"/>
      <c r="AH594" s="6"/>
      <c r="AI594" s="7"/>
      <c r="AJ594" s="7"/>
      <c r="AK594" s="7"/>
      <c r="AL594" s="7"/>
      <c r="AM594" s="7"/>
      <c r="AN594" s="7"/>
      <c r="AO594" s="7"/>
      <c r="AP594" s="7"/>
      <c r="AQ594" s="7"/>
      <c r="AR594" s="7"/>
      <c r="AS594" s="7"/>
      <c r="AT594" s="7"/>
      <c r="AU594" s="7"/>
      <c r="AV594" s="7"/>
      <c r="AW594" s="7"/>
      <c r="AX594" s="7"/>
      <c r="AY594" s="7"/>
      <c r="AZ594" s="7"/>
    </row>
    <row r="595" customFormat="false" ht="150" hidden="false" customHeight="true" outlineLevel="0" collapsed="false">
      <c r="A595" s="6" t="s">
        <v>3023</v>
      </c>
      <c r="B595" s="6" t="s">
        <v>2463</v>
      </c>
      <c r="C595" s="6" t="s">
        <v>76</v>
      </c>
      <c r="D595" s="6" t="s">
        <v>110</v>
      </c>
      <c r="E595" s="6" t="s">
        <v>111</v>
      </c>
      <c r="F595" s="6"/>
      <c r="G595" s="6" t="s">
        <v>165</v>
      </c>
      <c r="H595" s="6" t="s">
        <v>372</v>
      </c>
      <c r="I595" s="6" t="s">
        <v>409</v>
      </c>
      <c r="J595" s="6"/>
      <c r="K595" s="6"/>
      <c r="L595" s="6"/>
      <c r="M595" s="6"/>
      <c r="N595" s="6"/>
      <c r="O595" s="6"/>
      <c r="P595" s="6"/>
      <c r="Q595" s="6"/>
      <c r="R595" s="6"/>
      <c r="S595" s="6" t="s">
        <v>421</v>
      </c>
      <c r="T595" s="6" t="s">
        <v>83</v>
      </c>
      <c r="U595" s="6"/>
      <c r="V595" s="6" t="s">
        <v>3024</v>
      </c>
      <c r="W595" s="6" t="s">
        <v>3025</v>
      </c>
      <c r="X595" s="6" t="s">
        <v>3026</v>
      </c>
      <c r="Y595" s="6"/>
      <c r="Z595" s="6"/>
      <c r="AA595" s="6" t="s">
        <v>89</v>
      </c>
      <c r="AB595" s="6" t="s">
        <v>3027</v>
      </c>
      <c r="AC595" s="6" t="s">
        <v>3028</v>
      </c>
      <c r="AD595" s="6"/>
      <c r="AE595" s="6"/>
      <c r="AF595" s="6"/>
      <c r="AG595" s="6" t="s">
        <v>3029</v>
      </c>
      <c r="AH595" s="6" t="s">
        <v>3030</v>
      </c>
      <c r="AI595" s="7"/>
      <c r="AJ595" s="7"/>
      <c r="AK595" s="7"/>
      <c r="AL595" s="7"/>
      <c r="AM595" s="7"/>
      <c r="AN595" s="7"/>
      <c r="AO595" s="7"/>
      <c r="AP595" s="7"/>
      <c r="AQ595" s="7"/>
      <c r="AR595" s="7"/>
      <c r="AS595" s="7"/>
      <c r="AT595" s="7"/>
      <c r="AU595" s="7"/>
      <c r="AV595" s="7"/>
      <c r="AW595" s="7"/>
      <c r="AX595" s="7"/>
      <c r="AY595" s="7"/>
      <c r="AZ595" s="7"/>
    </row>
    <row r="596" customFormat="false" ht="150" hidden="false" customHeight="true" outlineLevel="0" collapsed="false">
      <c r="A596" s="6" t="s">
        <v>3031</v>
      </c>
      <c r="B596" s="6" t="s">
        <v>2463</v>
      </c>
      <c r="C596" s="6" t="s">
        <v>76</v>
      </c>
      <c r="D596" s="6" t="s">
        <v>123</v>
      </c>
      <c r="E596" s="6" t="s">
        <v>124</v>
      </c>
      <c r="F596" s="6"/>
      <c r="G596" s="6" t="s">
        <v>165</v>
      </c>
      <c r="H596" s="6" t="s">
        <v>491</v>
      </c>
      <c r="I596" s="6" t="s">
        <v>492</v>
      </c>
      <c r="J596" s="6"/>
      <c r="K596" s="6"/>
      <c r="L596" s="6"/>
      <c r="M596" s="6"/>
      <c r="N596" s="6"/>
      <c r="O596" s="6"/>
      <c r="P596" s="6"/>
      <c r="Q596" s="6"/>
      <c r="R596" s="6"/>
      <c r="S596" s="6" t="s">
        <v>1242</v>
      </c>
      <c r="T596" s="6" t="s">
        <v>83</v>
      </c>
      <c r="U596" s="6"/>
      <c r="V596" s="6" t="s">
        <v>3032</v>
      </c>
      <c r="W596" s="6" t="s">
        <v>3033</v>
      </c>
      <c r="X596" s="6" t="s">
        <v>3034</v>
      </c>
      <c r="Y596" s="6"/>
      <c r="Z596" s="6"/>
      <c r="AA596" s="6" t="s">
        <v>89</v>
      </c>
      <c r="AB596" s="6" t="s">
        <v>3035</v>
      </c>
      <c r="AC596" s="6" t="s">
        <v>3036</v>
      </c>
      <c r="AD596" s="6" t="s">
        <v>3037</v>
      </c>
      <c r="AE596" s="6" t="s">
        <v>3038</v>
      </c>
      <c r="AF596" s="6" t="s">
        <v>3039</v>
      </c>
      <c r="AG596" s="6"/>
      <c r="AH596" s="6"/>
      <c r="AI596" s="7"/>
      <c r="AJ596" s="7"/>
      <c r="AK596" s="7"/>
      <c r="AL596" s="7"/>
      <c r="AM596" s="7"/>
      <c r="AN596" s="7"/>
      <c r="AO596" s="7"/>
      <c r="AP596" s="7"/>
      <c r="AQ596" s="7"/>
      <c r="AR596" s="7"/>
      <c r="AS596" s="7"/>
      <c r="AT596" s="7"/>
      <c r="AU596" s="7"/>
      <c r="AV596" s="7"/>
      <c r="AW596" s="7"/>
      <c r="AX596" s="7"/>
      <c r="AY596" s="7"/>
      <c r="AZ596" s="7"/>
    </row>
    <row r="597" customFormat="false" ht="150" hidden="false" customHeight="true" outlineLevel="0" collapsed="false">
      <c r="A597" s="6" t="s">
        <v>3040</v>
      </c>
      <c r="B597" s="6" t="s">
        <v>2463</v>
      </c>
      <c r="C597" s="6" t="s">
        <v>76</v>
      </c>
      <c r="D597" s="6" t="s">
        <v>123</v>
      </c>
      <c r="E597" s="6" t="s">
        <v>124</v>
      </c>
      <c r="F597" s="6" t="s">
        <v>3041</v>
      </c>
      <c r="G597" s="6" t="s">
        <v>98</v>
      </c>
      <c r="H597" s="6" t="s">
        <v>1062</v>
      </c>
      <c r="I597" s="6" t="s">
        <v>1063</v>
      </c>
      <c r="J597" s="6"/>
      <c r="K597" s="6"/>
      <c r="L597" s="6"/>
      <c r="M597" s="6"/>
      <c r="N597" s="6" t="s">
        <v>156</v>
      </c>
      <c r="O597" s="6"/>
      <c r="P597" s="6"/>
      <c r="Q597" s="6"/>
      <c r="R597" s="6"/>
      <c r="S597" s="6" t="s">
        <v>601</v>
      </c>
      <c r="T597" s="6" t="s">
        <v>83</v>
      </c>
      <c r="U597" s="6"/>
      <c r="V597" s="6" t="s">
        <v>3042</v>
      </c>
      <c r="W597" s="6" t="s">
        <v>3043</v>
      </c>
      <c r="X597" s="6" t="s">
        <v>3044</v>
      </c>
      <c r="Y597" s="6"/>
      <c r="Z597" s="6"/>
      <c r="AA597" s="6" t="s">
        <v>89</v>
      </c>
      <c r="AB597" s="6" t="s">
        <v>3045</v>
      </c>
      <c r="AC597" s="6" t="s">
        <v>3046</v>
      </c>
      <c r="AD597" s="6" t="s">
        <v>3047</v>
      </c>
      <c r="AE597" s="6" t="s">
        <v>3048</v>
      </c>
      <c r="AF597" s="6"/>
      <c r="AG597" s="6"/>
      <c r="AH597" s="6"/>
      <c r="AI597" s="7"/>
      <c r="AJ597" s="7"/>
      <c r="AK597" s="7"/>
      <c r="AL597" s="7"/>
      <c r="AM597" s="7"/>
      <c r="AN597" s="7"/>
      <c r="AO597" s="7"/>
      <c r="AP597" s="7"/>
      <c r="AQ597" s="7"/>
      <c r="AR597" s="7"/>
      <c r="AS597" s="7"/>
      <c r="AT597" s="7"/>
      <c r="AU597" s="7"/>
      <c r="AV597" s="7"/>
      <c r="AW597" s="7"/>
      <c r="AX597" s="7"/>
      <c r="AY597" s="7"/>
      <c r="AZ597" s="7"/>
    </row>
    <row r="598" customFormat="false" ht="150" hidden="false" customHeight="true" outlineLevel="0" collapsed="false">
      <c r="A598" s="6" t="s">
        <v>3049</v>
      </c>
      <c r="B598" s="6" t="s">
        <v>2463</v>
      </c>
      <c r="C598" s="6" t="s">
        <v>76</v>
      </c>
      <c r="D598" s="6" t="s">
        <v>77</v>
      </c>
      <c r="E598" s="6" t="s">
        <v>78</v>
      </c>
      <c r="F598" s="6" t="s">
        <v>3050</v>
      </c>
      <c r="G598" s="6" t="s">
        <v>165</v>
      </c>
      <c r="H598" s="6" t="s">
        <v>1062</v>
      </c>
      <c r="I598" s="6" t="s">
        <v>1063</v>
      </c>
      <c r="J598" s="6"/>
      <c r="K598" s="6"/>
      <c r="L598" s="6"/>
      <c r="M598" s="6"/>
      <c r="N598" s="6" t="s">
        <v>156</v>
      </c>
      <c r="O598" s="6"/>
      <c r="P598" s="6"/>
      <c r="Q598" s="6"/>
      <c r="R598" s="6"/>
      <c r="S598" s="6" t="s">
        <v>601</v>
      </c>
      <c r="T598" s="6" t="s">
        <v>83</v>
      </c>
      <c r="U598" s="6"/>
      <c r="V598" s="6" t="s">
        <v>3042</v>
      </c>
      <c r="W598" s="6" t="s">
        <v>3051</v>
      </c>
      <c r="X598" s="6" t="s">
        <v>3052</v>
      </c>
      <c r="Y598" s="6"/>
      <c r="Z598" s="6"/>
      <c r="AA598" s="6" t="s">
        <v>89</v>
      </c>
      <c r="AB598" s="6" t="s">
        <v>3053</v>
      </c>
      <c r="AC598" s="6" t="s">
        <v>3054</v>
      </c>
      <c r="AD598" s="6" t="s">
        <v>3055</v>
      </c>
      <c r="AE598" s="6" t="s">
        <v>3056</v>
      </c>
      <c r="AF598" s="6"/>
      <c r="AG598" s="6"/>
      <c r="AH598" s="6"/>
      <c r="AI598" s="7"/>
      <c r="AJ598" s="7"/>
      <c r="AK598" s="7"/>
      <c r="AL598" s="7"/>
      <c r="AM598" s="7"/>
      <c r="AN598" s="7"/>
      <c r="AO598" s="7"/>
      <c r="AP598" s="7"/>
      <c r="AQ598" s="7"/>
      <c r="AR598" s="7"/>
      <c r="AS598" s="7"/>
      <c r="AT598" s="7"/>
      <c r="AU598" s="7"/>
      <c r="AV598" s="7"/>
      <c r="AW598" s="7"/>
      <c r="AX598" s="7"/>
      <c r="AY598" s="7"/>
      <c r="AZ598" s="7"/>
    </row>
    <row r="599" customFormat="false" ht="150" hidden="false" customHeight="true" outlineLevel="0" collapsed="false">
      <c r="A599" s="6" t="s">
        <v>3057</v>
      </c>
      <c r="B599" s="6" t="s">
        <v>2463</v>
      </c>
      <c r="C599" s="6" t="s">
        <v>76</v>
      </c>
      <c r="D599" s="6" t="s">
        <v>77</v>
      </c>
      <c r="E599" s="6" t="s">
        <v>78</v>
      </c>
      <c r="F599" s="6"/>
      <c r="G599" s="6" t="s">
        <v>98</v>
      </c>
      <c r="H599" s="6" t="s">
        <v>431</v>
      </c>
      <c r="I599" s="6" t="s">
        <v>432</v>
      </c>
      <c r="J599" s="6"/>
      <c r="K599" s="6"/>
      <c r="L599" s="6"/>
      <c r="M599" s="6"/>
      <c r="N599" s="6"/>
      <c r="O599" s="6"/>
      <c r="P599" s="6"/>
      <c r="Q599" s="6"/>
      <c r="R599" s="6"/>
      <c r="S599" s="6" t="s">
        <v>836</v>
      </c>
      <c r="T599" s="6" t="s">
        <v>83</v>
      </c>
      <c r="U599" s="6"/>
      <c r="V599" s="6" t="s">
        <v>3058</v>
      </c>
      <c r="W599" s="6" t="s">
        <v>3059</v>
      </c>
      <c r="X599" s="6" t="s">
        <v>3060</v>
      </c>
      <c r="Y599" s="6"/>
      <c r="Z599" s="6"/>
      <c r="AA599" s="6" t="s">
        <v>89</v>
      </c>
      <c r="AB599" s="6" t="s">
        <v>3061</v>
      </c>
      <c r="AC599" s="6" t="s">
        <v>3062</v>
      </c>
      <c r="AD599" s="6" t="s">
        <v>3063</v>
      </c>
      <c r="AE599" s="6" t="s">
        <v>3064</v>
      </c>
      <c r="AF599" s="6" t="s">
        <v>3065</v>
      </c>
      <c r="AG599" s="6"/>
      <c r="AH599" s="6"/>
      <c r="AI599" s="7"/>
      <c r="AJ599" s="7"/>
      <c r="AK599" s="7"/>
      <c r="AL599" s="7"/>
      <c r="AM599" s="7"/>
      <c r="AN599" s="7"/>
      <c r="AO599" s="7"/>
      <c r="AP599" s="7"/>
      <c r="AQ599" s="7"/>
      <c r="AR599" s="7"/>
      <c r="AS599" s="7"/>
      <c r="AT599" s="7"/>
      <c r="AU599" s="7"/>
      <c r="AV599" s="7"/>
      <c r="AW599" s="7"/>
      <c r="AX599" s="7"/>
      <c r="AY599" s="7"/>
      <c r="AZ599" s="7"/>
    </row>
    <row r="600" customFormat="false" ht="150" hidden="false" customHeight="true" outlineLevel="0" collapsed="false">
      <c r="A600" s="6" t="s">
        <v>3066</v>
      </c>
      <c r="B600" s="6" t="s">
        <v>2463</v>
      </c>
      <c r="C600" s="6" t="s">
        <v>76</v>
      </c>
      <c r="D600" s="6" t="s">
        <v>96</v>
      </c>
      <c r="E600" s="6" t="s">
        <v>97</v>
      </c>
      <c r="F600" s="6"/>
      <c r="G600" s="6" t="s">
        <v>165</v>
      </c>
      <c r="H600" s="6" t="s">
        <v>781</v>
      </c>
      <c r="I600" s="6" t="s">
        <v>409</v>
      </c>
      <c r="J600" s="6"/>
      <c r="K600" s="6"/>
      <c r="L600" s="6"/>
      <c r="M600" s="6"/>
      <c r="N600" s="6"/>
      <c r="O600" s="6"/>
      <c r="P600" s="6"/>
      <c r="Q600" s="6"/>
      <c r="R600" s="6"/>
      <c r="S600" s="6" t="s">
        <v>1125</v>
      </c>
      <c r="T600" s="6" t="s">
        <v>83</v>
      </c>
      <c r="U600" s="6"/>
      <c r="V600" s="6" t="s">
        <v>3067</v>
      </c>
      <c r="W600" s="6" t="s">
        <v>3068</v>
      </c>
      <c r="X600" s="6" t="s">
        <v>3069</v>
      </c>
      <c r="Y600" s="6"/>
      <c r="Z600" s="6"/>
      <c r="AA600" s="6" t="s">
        <v>89</v>
      </c>
      <c r="AB600" s="6" t="s">
        <v>3070</v>
      </c>
      <c r="AC600" s="6" t="s">
        <v>3071</v>
      </c>
      <c r="AD600" s="6"/>
      <c r="AE600" s="6"/>
      <c r="AF600" s="6"/>
      <c r="AG600" s="6" t="s">
        <v>3072</v>
      </c>
      <c r="AH600" s="6" t="s">
        <v>3073</v>
      </c>
      <c r="AI600" s="7"/>
      <c r="AJ600" s="7"/>
      <c r="AK600" s="7"/>
      <c r="AL600" s="7"/>
      <c r="AM600" s="7"/>
      <c r="AN600" s="7"/>
      <c r="AO600" s="7"/>
      <c r="AP600" s="7"/>
      <c r="AQ600" s="7"/>
      <c r="AR600" s="7"/>
      <c r="AS600" s="7"/>
      <c r="AT600" s="7"/>
      <c r="AU600" s="7"/>
      <c r="AV600" s="7"/>
      <c r="AW600" s="7"/>
      <c r="AX600" s="7"/>
      <c r="AY600" s="7"/>
      <c r="AZ600" s="7"/>
    </row>
    <row r="601" customFormat="false" ht="150" hidden="false" customHeight="true" outlineLevel="0" collapsed="false">
      <c r="A601" s="6" t="s">
        <v>3074</v>
      </c>
      <c r="B601" s="6" t="s">
        <v>2463</v>
      </c>
      <c r="C601" s="6" t="s">
        <v>76</v>
      </c>
      <c r="D601" s="6" t="s">
        <v>110</v>
      </c>
      <c r="E601" s="6" t="s">
        <v>111</v>
      </c>
      <c r="F601" s="6"/>
      <c r="G601" s="6" t="s">
        <v>98</v>
      </c>
      <c r="H601" s="6" t="s">
        <v>452</v>
      </c>
      <c r="I601" s="6" t="s">
        <v>373</v>
      </c>
      <c r="J601" s="6"/>
      <c r="K601" s="6"/>
      <c r="L601" s="6"/>
      <c r="M601" s="6"/>
      <c r="N601" s="6"/>
      <c r="O601" s="6"/>
      <c r="P601" s="6"/>
      <c r="Q601" s="6"/>
      <c r="R601" s="6"/>
      <c r="S601" s="6" t="s">
        <v>836</v>
      </c>
      <c r="T601" s="6" t="s">
        <v>83</v>
      </c>
      <c r="U601" s="6"/>
      <c r="V601" s="6" t="s">
        <v>3075</v>
      </c>
      <c r="W601" s="6" t="s">
        <v>3076</v>
      </c>
      <c r="X601" s="6" t="s">
        <v>3077</v>
      </c>
      <c r="Y601" s="6"/>
      <c r="Z601" s="6"/>
      <c r="AA601" s="6" t="s">
        <v>89</v>
      </c>
      <c r="AB601" s="6" t="s">
        <v>3078</v>
      </c>
      <c r="AC601" s="6" t="s">
        <v>3079</v>
      </c>
      <c r="AD601" s="6" t="s">
        <v>3080</v>
      </c>
      <c r="AE601" s="6" t="s">
        <v>382</v>
      </c>
      <c r="AF601" s="6" t="s">
        <v>3081</v>
      </c>
      <c r="AG601" s="6"/>
      <c r="AH601" s="6"/>
      <c r="AI601" s="7"/>
      <c r="AJ601" s="7"/>
      <c r="AK601" s="7"/>
      <c r="AL601" s="7"/>
      <c r="AM601" s="7"/>
      <c r="AN601" s="7"/>
      <c r="AO601" s="7"/>
      <c r="AP601" s="7"/>
      <c r="AQ601" s="7"/>
      <c r="AR601" s="7"/>
      <c r="AS601" s="7"/>
      <c r="AT601" s="7"/>
      <c r="AU601" s="7"/>
      <c r="AV601" s="7"/>
      <c r="AW601" s="7"/>
      <c r="AX601" s="7"/>
      <c r="AY601" s="7"/>
      <c r="AZ601" s="7"/>
    </row>
    <row r="602" customFormat="false" ht="150" hidden="false" customHeight="true" outlineLevel="0" collapsed="false">
      <c r="A602" s="6" t="s">
        <v>3082</v>
      </c>
      <c r="B602" s="6" t="s">
        <v>2463</v>
      </c>
      <c r="C602" s="6" t="s">
        <v>76</v>
      </c>
      <c r="D602" s="6" t="s">
        <v>132</v>
      </c>
      <c r="E602" s="6" t="s">
        <v>133</v>
      </c>
      <c r="F602" s="6"/>
      <c r="G602" s="6" t="s">
        <v>98</v>
      </c>
      <c r="H602" s="6" t="s">
        <v>1330</v>
      </c>
      <c r="I602" s="6" t="s">
        <v>81</v>
      </c>
      <c r="J602" s="6"/>
      <c r="K602" s="6"/>
      <c r="L602" s="6"/>
      <c r="M602" s="6"/>
      <c r="N602" s="6"/>
      <c r="O602" s="6"/>
      <c r="P602" s="6"/>
      <c r="Q602" s="6"/>
      <c r="R602" s="6"/>
      <c r="S602" s="6" t="s">
        <v>836</v>
      </c>
      <c r="T602" s="6" t="s">
        <v>83</v>
      </c>
      <c r="U602" s="6"/>
      <c r="V602" s="6" t="s">
        <v>3083</v>
      </c>
      <c r="W602" s="6" t="s">
        <v>3084</v>
      </c>
      <c r="X602" s="6" t="s">
        <v>3085</v>
      </c>
      <c r="Y602" s="6"/>
      <c r="Z602" s="6"/>
      <c r="AA602" s="6" t="s">
        <v>89</v>
      </c>
      <c r="AB602" s="6" t="s">
        <v>3086</v>
      </c>
      <c r="AC602" s="6" t="s">
        <v>3087</v>
      </c>
      <c r="AD602" s="6" t="s">
        <v>3088</v>
      </c>
      <c r="AE602" s="6" t="s">
        <v>3089</v>
      </c>
      <c r="AF602" s="6" t="s">
        <v>3090</v>
      </c>
      <c r="AG602" s="6"/>
      <c r="AH602" s="6"/>
      <c r="AI602" s="7"/>
      <c r="AJ602" s="7"/>
      <c r="AK602" s="7"/>
      <c r="AL602" s="7"/>
      <c r="AM602" s="7"/>
      <c r="AN602" s="7"/>
      <c r="AO602" s="7"/>
      <c r="AP602" s="7"/>
      <c r="AQ602" s="7"/>
      <c r="AR602" s="7"/>
      <c r="AS602" s="7"/>
      <c r="AT602" s="7"/>
      <c r="AU602" s="7"/>
      <c r="AV602" s="7"/>
      <c r="AW602" s="7"/>
      <c r="AX602" s="7"/>
      <c r="AY602" s="7"/>
      <c r="AZ602" s="7"/>
    </row>
    <row r="603" customFormat="false" ht="150" hidden="false" customHeight="true" outlineLevel="0" collapsed="false">
      <c r="A603" s="6" t="s">
        <v>3091</v>
      </c>
      <c r="B603" s="6" t="s">
        <v>2463</v>
      </c>
      <c r="C603" s="6" t="s">
        <v>76</v>
      </c>
      <c r="D603" s="6" t="s">
        <v>145</v>
      </c>
      <c r="E603" s="6" t="s">
        <v>146</v>
      </c>
      <c r="F603" s="6"/>
      <c r="G603" s="6" t="s">
        <v>165</v>
      </c>
      <c r="H603" s="6" t="s">
        <v>491</v>
      </c>
      <c r="I603" s="6" t="s">
        <v>492</v>
      </c>
      <c r="J603" s="6"/>
      <c r="K603" s="6"/>
      <c r="L603" s="6"/>
      <c r="M603" s="6"/>
      <c r="N603" s="6"/>
      <c r="O603" s="6"/>
      <c r="P603" s="6"/>
      <c r="Q603" s="6"/>
      <c r="R603" s="6"/>
      <c r="S603" s="6" t="s">
        <v>1242</v>
      </c>
      <c r="T603" s="6" t="s">
        <v>83</v>
      </c>
      <c r="U603" s="6"/>
      <c r="V603" s="6" t="s">
        <v>3092</v>
      </c>
      <c r="W603" s="6" t="s">
        <v>3093</v>
      </c>
      <c r="X603" s="6" t="s">
        <v>3094</v>
      </c>
      <c r="Y603" s="6"/>
      <c r="Z603" s="6"/>
      <c r="AA603" s="6" t="s">
        <v>89</v>
      </c>
      <c r="AB603" s="6" t="s">
        <v>3095</v>
      </c>
      <c r="AC603" s="6" t="s">
        <v>3096</v>
      </c>
      <c r="AD603" s="6" t="s">
        <v>3097</v>
      </c>
      <c r="AE603" s="6" t="s">
        <v>3098</v>
      </c>
      <c r="AF603" s="6" t="s">
        <v>3099</v>
      </c>
      <c r="AG603" s="6"/>
      <c r="AH603" s="6"/>
      <c r="AI603" s="7"/>
      <c r="AJ603" s="7"/>
      <c r="AK603" s="7"/>
      <c r="AL603" s="7"/>
      <c r="AM603" s="7"/>
      <c r="AN603" s="7"/>
      <c r="AO603" s="7"/>
      <c r="AP603" s="7"/>
      <c r="AQ603" s="7"/>
      <c r="AR603" s="7"/>
      <c r="AS603" s="7"/>
      <c r="AT603" s="7"/>
      <c r="AU603" s="7"/>
      <c r="AV603" s="7"/>
      <c r="AW603" s="7"/>
      <c r="AX603" s="7"/>
      <c r="AY603" s="7"/>
      <c r="AZ603" s="7"/>
    </row>
    <row r="604" customFormat="false" ht="150" hidden="false" customHeight="true" outlineLevel="0" collapsed="false">
      <c r="A604" s="6" t="s">
        <v>3100</v>
      </c>
      <c r="B604" s="6" t="s">
        <v>2463</v>
      </c>
      <c r="C604" s="6" t="s">
        <v>76</v>
      </c>
      <c r="D604" s="6" t="s">
        <v>123</v>
      </c>
      <c r="E604" s="6" t="s">
        <v>124</v>
      </c>
      <c r="F604" s="6" t="s">
        <v>3101</v>
      </c>
      <c r="G604" s="6" t="s">
        <v>98</v>
      </c>
      <c r="H604" s="6" t="s">
        <v>1062</v>
      </c>
      <c r="I604" s="6" t="s">
        <v>1063</v>
      </c>
      <c r="J604" s="6"/>
      <c r="K604" s="6"/>
      <c r="L604" s="6"/>
      <c r="M604" s="6"/>
      <c r="N604" s="6" t="s">
        <v>156</v>
      </c>
      <c r="O604" s="6"/>
      <c r="P604" s="6"/>
      <c r="Q604" s="6"/>
      <c r="R604" s="6"/>
      <c r="S604" s="6" t="s">
        <v>612</v>
      </c>
      <c r="T604" s="6" t="s">
        <v>83</v>
      </c>
      <c r="U604" s="6"/>
      <c r="V604" s="6" t="s">
        <v>3102</v>
      </c>
      <c r="W604" s="6" t="s">
        <v>3103</v>
      </c>
      <c r="X604" s="6" t="s">
        <v>3104</v>
      </c>
      <c r="Y604" s="6"/>
      <c r="Z604" s="6"/>
      <c r="AA604" s="6" t="s">
        <v>89</v>
      </c>
      <c r="AB604" s="6" t="s">
        <v>3105</v>
      </c>
      <c r="AC604" s="6" t="s">
        <v>3106</v>
      </c>
      <c r="AD604" s="6" t="s">
        <v>3107</v>
      </c>
      <c r="AE604" s="6" t="s">
        <v>3108</v>
      </c>
      <c r="AF604" s="6"/>
      <c r="AG604" s="6"/>
      <c r="AH604" s="6"/>
      <c r="AI604" s="7"/>
      <c r="AJ604" s="7"/>
      <c r="AK604" s="7"/>
      <c r="AL604" s="7"/>
      <c r="AM604" s="7"/>
      <c r="AN604" s="7"/>
      <c r="AO604" s="7"/>
      <c r="AP604" s="7"/>
      <c r="AQ604" s="7"/>
      <c r="AR604" s="7"/>
      <c r="AS604" s="7"/>
      <c r="AT604" s="7"/>
      <c r="AU604" s="7"/>
      <c r="AV604" s="7"/>
      <c r="AW604" s="7"/>
      <c r="AX604" s="7"/>
      <c r="AY604" s="7"/>
      <c r="AZ604" s="7"/>
    </row>
    <row r="605" customFormat="false" ht="150" hidden="false" customHeight="true" outlineLevel="0" collapsed="false">
      <c r="A605" s="6" t="s">
        <v>3109</v>
      </c>
      <c r="B605" s="6" t="s">
        <v>2463</v>
      </c>
      <c r="C605" s="6" t="s">
        <v>76</v>
      </c>
      <c r="D605" s="6" t="s">
        <v>77</v>
      </c>
      <c r="E605" s="6" t="s">
        <v>78</v>
      </c>
      <c r="F605" s="6" t="s">
        <v>2492</v>
      </c>
      <c r="G605" s="6" t="s">
        <v>165</v>
      </c>
      <c r="H605" s="6" t="s">
        <v>431</v>
      </c>
      <c r="I605" s="6" t="s">
        <v>432</v>
      </c>
      <c r="J605" s="6"/>
      <c r="K605" s="6"/>
      <c r="L605" s="6"/>
      <c r="M605" s="6"/>
      <c r="N605" s="6" t="s">
        <v>3110</v>
      </c>
      <c r="O605" s="6"/>
      <c r="P605" s="6"/>
      <c r="Q605" s="6"/>
      <c r="R605" s="6"/>
      <c r="S605" s="6" t="s">
        <v>716</v>
      </c>
      <c r="T605" s="6" t="s">
        <v>83</v>
      </c>
      <c r="U605" s="6"/>
      <c r="V605" s="6" t="s">
        <v>3111</v>
      </c>
      <c r="W605" s="6" t="s">
        <v>718</v>
      </c>
      <c r="X605" s="6" t="s">
        <v>3112</v>
      </c>
      <c r="Y605" s="6"/>
      <c r="Z605" s="6"/>
      <c r="AA605" s="6" t="s">
        <v>89</v>
      </c>
      <c r="AB605" s="6" t="s">
        <v>3113</v>
      </c>
      <c r="AC605" s="6" t="s">
        <v>3114</v>
      </c>
      <c r="AD605" s="6" t="s">
        <v>3115</v>
      </c>
      <c r="AE605" s="6" t="s">
        <v>3116</v>
      </c>
      <c r="AF605" s="6" t="s">
        <v>3117</v>
      </c>
      <c r="AG605" s="6"/>
      <c r="AH605" s="6"/>
      <c r="AI605" s="7"/>
      <c r="AJ605" s="7"/>
      <c r="AK605" s="7"/>
      <c r="AL605" s="7"/>
      <c r="AM605" s="7"/>
      <c r="AN605" s="7"/>
      <c r="AO605" s="7"/>
      <c r="AP605" s="7"/>
      <c r="AQ605" s="7"/>
      <c r="AR605" s="7"/>
      <c r="AS605" s="7"/>
      <c r="AT605" s="7"/>
      <c r="AU605" s="7"/>
      <c r="AV605" s="7"/>
      <c r="AW605" s="7"/>
      <c r="AX605" s="7"/>
      <c r="AY605" s="7"/>
      <c r="AZ605" s="7"/>
    </row>
    <row r="606" customFormat="false" ht="150" hidden="false" customHeight="true" outlineLevel="0" collapsed="false">
      <c r="A606" s="6" t="s">
        <v>3118</v>
      </c>
      <c r="B606" s="6" t="s">
        <v>2463</v>
      </c>
      <c r="C606" s="6" t="s">
        <v>76</v>
      </c>
      <c r="D606" s="6" t="s">
        <v>96</v>
      </c>
      <c r="E606" s="6" t="s">
        <v>97</v>
      </c>
      <c r="F606" s="6" t="s">
        <v>3119</v>
      </c>
      <c r="G606" s="6" t="s">
        <v>98</v>
      </c>
      <c r="H606" s="6" t="s">
        <v>452</v>
      </c>
      <c r="I606" s="6" t="s">
        <v>373</v>
      </c>
      <c r="J606" s="6"/>
      <c r="K606" s="6"/>
      <c r="L606" s="6"/>
      <c r="M606" s="6"/>
      <c r="N606" s="6"/>
      <c r="O606" s="6" t="s">
        <v>3120</v>
      </c>
      <c r="P606" s="6"/>
      <c r="Q606" s="6"/>
      <c r="R606" s="6"/>
      <c r="S606" s="6" t="s">
        <v>612</v>
      </c>
      <c r="T606" s="6" t="s">
        <v>83</v>
      </c>
      <c r="U606" s="6"/>
      <c r="V606" s="6" t="s">
        <v>3121</v>
      </c>
      <c r="W606" s="6" t="s">
        <v>3122</v>
      </c>
      <c r="X606" s="6" t="s">
        <v>3123</v>
      </c>
      <c r="Y606" s="6"/>
      <c r="Z606" s="6"/>
      <c r="AA606" s="6" t="s">
        <v>89</v>
      </c>
      <c r="AB606" s="6" t="s">
        <v>3124</v>
      </c>
      <c r="AC606" s="6" t="s">
        <v>3125</v>
      </c>
      <c r="AD606" s="6" t="s">
        <v>3126</v>
      </c>
      <c r="AE606" s="6" t="s">
        <v>3127</v>
      </c>
      <c r="AF606" s="6" t="s">
        <v>3128</v>
      </c>
      <c r="AG606" s="6"/>
      <c r="AH606" s="6"/>
      <c r="AI606" s="7"/>
      <c r="AJ606" s="7"/>
      <c r="AK606" s="7"/>
      <c r="AL606" s="7"/>
      <c r="AM606" s="7"/>
      <c r="AN606" s="7"/>
      <c r="AO606" s="7"/>
      <c r="AP606" s="7"/>
      <c r="AQ606" s="7"/>
      <c r="AR606" s="7"/>
      <c r="AS606" s="7"/>
      <c r="AT606" s="7"/>
      <c r="AU606" s="7"/>
      <c r="AV606" s="7"/>
      <c r="AW606" s="7"/>
      <c r="AX606" s="7"/>
      <c r="AY606" s="7"/>
      <c r="AZ606" s="7"/>
    </row>
    <row r="607" customFormat="false" ht="150" hidden="false" customHeight="true" outlineLevel="0" collapsed="false">
      <c r="A607" s="6" t="s">
        <v>3129</v>
      </c>
      <c r="B607" s="6" t="s">
        <v>2463</v>
      </c>
      <c r="C607" s="6" t="s">
        <v>76</v>
      </c>
      <c r="D607" s="6" t="s">
        <v>145</v>
      </c>
      <c r="E607" s="6" t="s">
        <v>146</v>
      </c>
      <c r="F607" s="6" t="s">
        <v>3130</v>
      </c>
      <c r="G607" s="6" t="s">
        <v>98</v>
      </c>
      <c r="H607" s="6" t="s">
        <v>408</v>
      </c>
      <c r="I607" s="6" t="s">
        <v>409</v>
      </c>
      <c r="J607" s="6"/>
      <c r="K607" s="6"/>
      <c r="L607" s="6"/>
      <c r="M607" s="6"/>
      <c r="N607" s="6"/>
      <c r="O607" s="6" t="s">
        <v>3131</v>
      </c>
      <c r="P607" s="6"/>
      <c r="Q607" s="6"/>
      <c r="R607" s="6"/>
      <c r="S607" s="6" t="s">
        <v>623</v>
      </c>
      <c r="T607" s="6" t="s">
        <v>83</v>
      </c>
      <c r="U607" s="6"/>
      <c r="V607" s="6" t="s">
        <v>3132</v>
      </c>
      <c r="W607" s="6" t="s">
        <v>3133</v>
      </c>
      <c r="X607" s="6" t="s">
        <v>3134</v>
      </c>
      <c r="Y607" s="6"/>
      <c r="Z607" s="6"/>
      <c r="AA607" s="6" t="s">
        <v>89</v>
      </c>
      <c r="AB607" s="6" t="s">
        <v>3135</v>
      </c>
      <c r="AC607" s="6" t="s">
        <v>3136</v>
      </c>
      <c r="AD607" s="6"/>
      <c r="AE607" s="6"/>
      <c r="AF607" s="6"/>
      <c r="AG607" s="6" t="s">
        <v>3137</v>
      </c>
      <c r="AH607" s="6" t="s">
        <v>3138</v>
      </c>
      <c r="AI607" s="7"/>
      <c r="AJ607" s="7"/>
      <c r="AK607" s="7"/>
      <c r="AL607" s="7"/>
      <c r="AM607" s="7"/>
      <c r="AN607" s="7"/>
      <c r="AO607" s="7"/>
      <c r="AP607" s="7"/>
      <c r="AQ607" s="7"/>
      <c r="AR607" s="7"/>
      <c r="AS607" s="7"/>
      <c r="AT607" s="7"/>
      <c r="AU607" s="7"/>
      <c r="AV607" s="7"/>
      <c r="AW607" s="7"/>
      <c r="AX607" s="7"/>
      <c r="AY607" s="7"/>
      <c r="AZ607" s="7"/>
    </row>
    <row r="608" customFormat="false" ht="150" hidden="false" customHeight="true" outlineLevel="0" collapsed="false">
      <c r="A608" s="6" t="s">
        <v>3139</v>
      </c>
      <c r="B608" s="6" t="s">
        <v>2463</v>
      </c>
      <c r="C608" s="6" t="s">
        <v>76</v>
      </c>
      <c r="D608" s="6" t="s">
        <v>132</v>
      </c>
      <c r="E608" s="6" t="s">
        <v>133</v>
      </c>
      <c r="F608" s="6" t="s">
        <v>3140</v>
      </c>
      <c r="G608" s="6" t="s">
        <v>165</v>
      </c>
      <c r="H608" s="6" t="s">
        <v>372</v>
      </c>
      <c r="I608" s="6" t="s">
        <v>409</v>
      </c>
      <c r="J608" s="6"/>
      <c r="K608" s="6"/>
      <c r="L608" s="6"/>
      <c r="M608" s="6"/>
      <c r="N608" s="6" t="s">
        <v>3141</v>
      </c>
      <c r="O608" s="6"/>
      <c r="P608" s="6"/>
      <c r="Q608" s="6"/>
      <c r="R608" s="6"/>
      <c r="S608" s="6" t="s">
        <v>716</v>
      </c>
      <c r="T608" s="6" t="s">
        <v>83</v>
      </c>
      <c r="U608" s="6"/>
      <c r="V608" s="6" t="s">
        <v>3142</v>
      </c>
      <c r="W608" s="6" t="s">
        <v>718</v>
      </c>
      <c r="X608" s="6" t="s">
        <v>3143</v>
      </c>
      <c r="Y608" s="6"/>
      <c r="Z608" s="6"/>
      <c r="AA608" s="6" t="s">
        <v>89</v>
      </c>
      <c r="AB608" s="6" t="s">
        <v>3144</v>
      </c>
      <c r="AC608" s="6" t="s">
        <v>3145</v>
      </c>
      <c r="AD608" s="6"/>
      <c r="AE608" s="6"/>
      <c r="AF608" s="6"/>
      <c r="AG608" s="6" t="s">
        <v>3146</v>
      </c>
      <c r="AH608" s="6" t="s">
        <v>3147</v>
      </c>
      <c r="AI608" s="7"/>
      <c r="AJ608" s="7"/>
      <c r="AK608" s="7"/>
      <c r="AL608" s="7"/>
      <c r="AM608" s="7"/>
      <c r="AN608" s="7"/>
      <c r="AO608" s="7"/>
      <c r="AP608" s="7"/>
      <c r="AQ608" s="7"/>
      <c r="AR608" s="7"/>
      <c r="AS608" s="7"/>
      <c r="AT608" s="7"/>
      <c r="AU608" s="7"/>
      <c r="AV608" s="7"/>
      <c r="AW608" s="7"/>
      <c r="AX608" s="7"/>
      <c r="AY608" s="7"/>
      <c r="AZ608" s="7"/>
    </row>
    <row r="609" customFormat="false" ht="150" hidden="false" customHeight="true" outlineLevel="0" collapsed="false">
      <c r="A609" s="6" t="s">
        <v>3148</v>
      </c>
      <c r="B609" s="6" t="s">
        <v>3149</v>
      </c>
      <c r="C609" s="6" t="s">
        <v>3150</v>
      </c>
      <c r="D609" s="6" t="s">
        <v>132</v>
      </c>
      <c r="E609" s="6" t="s">
        <v>133</v>
      </c>
      <c r="F609" s="6"/>
      <c r="G609" s="6" t="s">
        <v>98</v>
      </c>
      <c r="H609" s="6" t="s">
        <v>80</v>
      </c>
      <c r="I609" s="6" t="s">
        <v>81</v>
      </c>
      <c r="J609" s="6"/>
      <c r="K609" s="6"/>
      <c r="L609" s="6"/>
      <c r="M609" s="6"/>
      <c r="N609" s="6"/>
      <c r="O609" s="6"/>
      <c r="P609" s="6"/>
      <c r="Q609" s="6"/>
      <c r="R609" s="6"/>
      <c r="S609" s="6"/>
      <c r="T609" s="6"/>
      <c r="U609" s="6"/>
      <c r="V609" s="6"/>
      <c r="W609" s="6"/>
      <c r="X609" s="6"/>
      <c r="Y609" s="6" t="s">
        <v>3151</v>
      </c>
      <c r="Z609" s="6" t="s">
        <v>3152</v>
      </c>
      <c r="AA609" s="6" t="s">
        <v>89</v>
      </c>
      <c r="AB609" s="6" t="s">
        <v>3153</v>
      </c>
      <c r="AC609" s="6" t="s">
        <v>3154</v>
      </c>
      <c r="AD609" s="6" t="s">
        <v>3155</v>
      </c>
      <c r="AE609" s="6" t="s">
        <v>3156</v>
      </c>
      <c r="AF609" s="6" t="s">
        <v>3157</v>
      </c>
      <c r="AG609" s="6"/>
      <c r="AH609" s="6"/>
      <c r="AI609" s="7"/>
      <c r="AJ609" s="7"/>
      <c r="AK609" s="7"/>
      <c r="AL609" s="7"/>
      <c r="AM609" s="7"/>
      <c r="AN609" s="7"/>
      <c r="AO609" s="7"/>
      <c r="AP609" s="7"/>
      <c r="AQ609" s="7"/>
      <c r="AR609" s="7"/>
      <c r="AS609" s="7"/>
      <c r="AT609" s="7"/>
      <c r="AU609" s="7"/>
      <c r="AV609" s="7"/>
      <c r="AW609" s="7"/>
      <c r="AX609" s="7"/>
      <c r="AY609" s="7"/>
      <c r="AZ609" s="7"/>
    </row>
    <row r="610" customFormat="false" ht="150" hidden="false" customHeight="true" outlineLevel="0" collapsed="false">
      <c r="A610" s="6" t="s">
        <v>3158</v>
      </c>
      <c r="B610" s="6" t="s">
        <v>3149</v>
      </c>
      <c r="C610" s="6" t="s">
        <v>3150</v>
      </c>
      <c r="D610" s="6" t="s">
        <v>110</v>
      </c>
      <c r="E610" s="6" t="s">
        <v>111</v>
      </c>
      <c r="F610" s="6"/>
      <c r="G610" s="6" t="s">
        <v>165</v>
      </c>
      <c r="H610" s="6" t="s">
        <v>80</v>
      </c>
      <c r="I610" s="6" t="s">
        <v>81</v>
      </c>
      <c r="J610" s="6"/>
      <c r="K610" s="6"/>
      <c r="L610" s="6"/>
      <c r="M610" s="6"/>
      <c r="N610" s="6"/>
      <c r="O610" s="6"/>
      <c r="P610" s="6"/>
      <c r="Q610" s="6"/>
      <c r="R610" s="6"/>
      <c r="S610" s="6"/>
      <c r="T610" s="6"/>
      <c r="U610" s="6"/>
      <c r="V610" s="6"/>
      <c r="W610" s="6"/>
      <c r="X610" s="6"/>
      <c r="Y610" s="6" t="s">
        <v>3159</v>
      </c>
      <c r="Z610" s="6" t="s">
        <v>3160</v>
      </c>
      <c r="AA610" s="6" t="s">
        <v>89</v>
      </c>
      <c r="AB610" s="6" t="s">
        <v>3161</v>
      </c>
      <c r="AC610" s="6" t="s">
        <v>3162</v>
      </c>
      <c r="AD610" s="6" t="s">
        <v>3163</v>
      </c>
      <c r="AE610" s="6" t="s">
        <v>3164</v>
      </c>
      <c r="AF610" s="6" t="s">
        <v>3165</v>
      </c>
      <c r="AG610" s="6"/>
      <c r="AH610" s="6"/>
      <c r="AI610" s="7"/>
      <c r="AJ610" s="7"/>
      <c r="AK610" s="7"/>
      <c r="AL610" s="7"/>
      <c r="AM610" s="7"/>
      <c r="AN610" s="7"/>
      <c r="AO610" s="7"/>
      <c r="AP610" s="7"/>
      <c r="AQ610" s="7"/>
      <c r="AR610" s="7"/>
      <c r="AS610" s="7"/>
      <c r="AT610" s="7"/>
      <c r="AU610" s="7"/>
      <c r="AV610" s="7"/>
      <c r="AW610" s="7"/>
      <c r="AX610" s="7"/>
      <c r="AY610" s="7"/>
      <c r="AZ610" s="7"/>
    </row>
    <row r="611" customFormat="false" ht="150" hidden="false" customHeight="true" outlineLevel="0" collapsed="false">
      <c r="A611" s="6" t="s">
        <v>3166</v>
      </c>
      <c r="B611" s="6" t="s">
        <v>3149</v>
      </c>
      <c r="C611" s="6" t="s">
        <v>3150</v>
      </c>
      <c r="D611" s="6" t="s">
        <v>145</v>
      </c>
      <c r="E611" s="6" t="s">
        <v>146</v>
      </c>
      <c r="F611" s="6"/>
      <c r="G611" s="6" t="s">
        <v>98</v>
      </c>
      <c r="H611" s="6" t="s">
        <v>80</v>
      </c>
      <c r="I611" s="6" t="s">
        <v>81</v>
      </c>
      <c r="J611" s="6"/>
      <c r="K611" s="6"/>
      <c r="L611" s="6"/>
      <c r="M611" s="6"/>
      <c r="N611" s="6"/>
      <c r="O611" s="6"/>
      <c r="P611" s="6"/>
      <c r="Q611" s="6"/>
      <c r="R611" s="6"/>
      <c r="S611" s="6"/>
      <c r="T611" s="6"/>
      <c r="U611" s="6"/>
      <c r="V611" s="6"/>
      <c r="W611" s="6"/>
      <c r="X611" s="6"/>
      <c r="Y611" s="6" t="s">
        <v>3167</v>
      </c>
      <c r="Z611" s="6" t="s">
        <v>3168</v>
      </c>
      <c r="AA611" s="6" t="s">
        <v>89</v>
      </c>
      <c r="AB611" s="6" t="s">
        <v>3169</v>
      </c>
      <c r="AC611" s="6" t="s">
        <v>3170</v>
      </c>
      <c r="AD611" s="6" t="s">
        <v>3171</v>
      </c>
      <c r="AE611" s="6" t="s">
        <v>3172</v>
      </c>
      <c r="AF611" s="6" t="s">
        <v>3173</v>
      </c>
      <c r="AG611" s="6"/>
      <c r="AH611" s="6"/>
      <c r="AI611" s="7"/>
      <c r="AJ611" s="7"/>
      <c r="AK611" s="7"/>
      <c r="AL611" s="7"/>
      <c r="AM611" s="7"/>
      <c r="AN611" s="7"/>
      <c r="AO611" s="7"/>
      <c r="AP611" s="7"/>
      <c r="AQ611" s="7"/>
      <c r="AR611" s="7"/>
      <c r="AS611" s="7"/>
      <c r="AT611" s="7"/>
      <c r="AU611" s="7"/>
      <c r="AV611" s="7"/>
      <c r="AW611" s="7"/>
      <c r="AX611" s="7"/>
      <c r="AY611" s="7"/>
      <c r="AZ611" s="7"/>
    </row>
    <row r="612" customFormat="false" ht="150" hidden="false" customHeight="true" outlineLevel="0" collapsed="false">
      <c r="A612" s="6" t="s">
        <v>3174</v>
      </c>
      <c r="B612" s="6" t="s">
        <v>3149</v>
      </c>
      <c r="C612" s="6" t="s">
        <v>3150</v>
      </c>
      <c r="D612" s="6" t="s">
        <v>96</v>
      </c>
      <c r="E612" s="6" t="s">
        <v>97</v>
      </c>
      <c r="F612" s="6"/>
      <c r="G612" s="6" t="s">
        <v>165</v>
      </c>
      <c r="H612" s="6" t="s">
        <v>80</v>
      </c>
      <c r="I612" s="6" t="s">
        <v>81</v>
      </c>
      <c r="J612" s="6"/>
      <c r="K612" s="6"/>
      <c r="L612" s="6"/>
      <c r="M612" s="6"/>
      <c r="N612" s="6"/>
      <c r="O612" s="6"/>
      <c r="P612" s="6"/>
      <c r="Q612" s="6"/>
      <c r="R612" s="6"/>
      <c r="S612" s="6"/>
      <c r="T612" s="6"/>
      <c r="U612" s="6"/>
      <c r="V612" s="6"/>
      <c r="W612" s="6"/>
      <c r="X612" s="6"/>
      <c r="Y612" s="6" t="s">
        <v>3175</v>
      </c>
      <c r="Z612" s="6" t="s">
        <v>3176</v>
      </c>
      <c r="AA612" s="6" t="s">
        <v>89</v>
      </c>
      <c r="AB612" s="6" t="s">
        <v>3177</v>
      </c>
      <c r="AC612" s="6" t="s">
        <v>106</v>
      </c>
      <c r="AD612" s="6" t="s">
        <v>3178</v>
      </c>
      <c r="AE612" s="6" t="s">
        <v>3179</v>
      </c>
      <c r="AF612" s="6" t="s">
        <v>3180</v>
      </c>
      <c r="AG612" s="6"/>
      <c r="AH612" s="6"/>
      <c r="AI612" s="7"/>
      <c r="AJ612" s="7"/>
      <c r="AK612" s="7"/>
      <c r="AL612" s="7"/>
      <c r="AM612" s="7"/>
      <c r="AN612" s="7"/>
      <c r="AO612" s="7"/>
      <c r="AP612" s="7"/>
      <c r="AQ612" s="7"/>
      <c r="AR612" s="7"/>
      <c r="AS612" s="7"/>
      <c r="AT612" s="7"/>
      <c r="AU612" s="7"/>
      <c r="AV612" s="7"/>
      <c r="AW612" s="7"/>
      <c r="AX612" s="7"/>
      <c r="AY612" s="7"/>
      <c r="AZ612" s="7"/>
    </row>
    <row r="613" customFormat="false" ht="150" hidden="false" customHeight="true" outlineLevel="0" collapsed="false">
      <c r="A613" s="6" t="s">
        <v>3181</v>
      </c>
      <c r="B613" s="6" t="s">
        <v>3149</v>
      </c>
      <c r="C613" s="6" t="s">
        <v>3150</v>
      </c>
      <c r="D613" s="6" t="s">
        <v>123</v>
      </c>
      <c r="E613" s="6" t="s">
        <v>124</v>
      </c>
      <c r="F613" s="6"/>
      <c r="G613" s="6" t="s">
        <v>79</v>
      </c>
      <c r="H613" s="6" t="s">
        <v>80</v>
      </c>
      <c r="I613" s="6" t="s">
        <v>81</v>
      </c>
      <c r="J613" s="6"/>
      <c r="K613" s="6"/>
      <c r="L613" s="6"/>
      <c r="M613" s="6"/>
      <c r="N613" s="6"/>
      <c r="O613" s="6"/>
      <c r="P613" s="6"/>
      <c r="Q613" s="6"/>
      <c r="R613" s="6"/>
      <c r="S613" s="6"/>
      <c r="T613" s="6"/>
      <c r="U613" s="6"/>
      <c r="V613" s="6"/>
      <c r="W613" s="6"/>
      <c r="X613" s="6"/>
      <c r="Y613" s="6" t="s">
        <v>3182</v>
      </c>
      <c r="Z613" s="6" t="s">
        <v>3183</v>
      </c>
      <c r="AA613" s="6" t="s">
        <v>89</v>
      </c>
      <c r="AB613" s="6" t="s">
        <v>3184</v>
      </c>
      <c r="AC613" s="6" t="s">
        <v>3185</v>
      </c>
      <c r="AD613" s="6" t="s">
        <v>3186</v>
      </c>
      <c r="AE613" s="6" t="s">
        <v>3187</v>
      </c>
      <c r="AF613" s="6" t="s">
        <v>3188</v>
      </c>
      <c r="AG613" s="6"/>
      <c r="AH613" s="6"/>
      <c r="AI613" s="7"/>
      <c r="AJ613" s="7"/>
      <c r="AK613" s="7"/>
      <c r="AL613" s="7"/>
      <c r="AM613" s="7"/>
      <c r="AN613" s="7"/>
      <c r="AO613" s="7"/>
      <c r="AP613" s="7"/>
      <c r="AQ613" s="7"/>
      <c r="AR613" s="7"/>
      <c r="AS613" s="7"/>
      <c r="AT613" s="7"/>
      <c r="AU613" s="7"/>
      <c r="AV613" s="7"/>
      <c r="AW613" s="7"/>
      <c r="AX613" s="7"/>
      <c r="AY613" s="7"/>
      <c r="AZ613" s="7"/>
    </row>
    <row r="614" customFormat="false" ht="150" hidden="false" customHeight="true" outlineLevel="0" collapsed="false">
      <c r="A614" s="6" t="s">
        <v>3189</v>
      </c>
      <c r="B614" s="6" t="s">
        <v>3149</v>
      </c>
      <c r="C614" s="6" t="s">
        <v>3150</v>
      </c>
      <c r="D614" s="6" t="s">
        <v>77</v>
      </c>
      <c r="E614" s="6" t="s">
        <v>78</v>
      </c>
      <c r="F614" s="6"/>
      <c r="G614" s="6" t="s">
        <v>98</v>
      </c>
      <c r="H614" s="6" t="s">
        <v>80</v>
      </c>
      <c r="I614" s="6" t="s">
        <v>81</v>
      </c>
      <c r="J614" s="6"/>
      <c r="K614" s="6"/>
      <c r="L614" s="6"/>
      <c r="M614" s="6"/>
      <c r="N614" s="6"/>
      <c r="O614" s="6"/>
      <c r="P614" s="6"/>
      <c r="Q614" s="6"/>
      <c r="R614" s="6"/>
      <c r="S614" s="6" t="s">
        <v>637</v>
      </c>
      <c r="T614" s="6" t="s">
        <v>83</v>
      </c>
      <c r="U614" s="6"/>
      <c r="V614" s="6" t="s">
        <v>3190</v>
      </c>
      <c r="W614" s="6" t="s">
        <v>3191</v>
      </c>
      <c r="X614" s="6" t="s">
        <v>3192</v>
      </c>
      <c r="Y614" s="6" t="s">
        <v>3193</v>
      </c>
      <c r="Z614" s="6" t="s">
        <v>3194</v>
      </c>
      <c r="AA614" s="6" t="s">
        <v>89</v>
      </c>
      <c r="AB614" s="6" t="s">
        <v>3195</v>
      </c>
      <c r="AC614" s="6" t="s">
        <v>3196</v>
      </c>
      <c r="AD614" s="6" t="s">
        <v>3197</v>
      </c>
      <c r="AE614" s="6" t="s">
        <v>3198</v>
      </c>
      <c r="AF614" s="6" t="s">
        <v>3199</v>
      </c>
      <c r="AG614" s="6"/>
      <c r="AH614" s="6"/>
      <c r="AI614" s="7"/>
      <c r="AJ614" s="7"/>
      <c r="AK614" s="7"/>
      <c r="AL614" s="7"/>
      <c r="AM614" s="7"/>
      <c r="AN614" s="7"/>
      <c r="AO614" s="7"/>
      <c r="AP614" s="7"/>
      <c r="AQ614" s="7"/>
      <c r="AR614" s="7"/>
      <c r="AS614" s="7"/>
      <c r="AT614" s="7"/>
      <c r="AU614" s="7"/>
      <c r="AV614" s="7"/>
      <c r="AW614" s="7"/>
      <c r="AX614" s="7"/>
      <c r="AY614" s="7"/>
      <c r="AZ614" s="7"/>
    </row>
    <row r="615" customFormat="false" ht="150" hidden="false" customHeight="true" outlineLevel="0" collapsed="false">
      <c r="A615" s="6" t="s">
        <v>3200</v>
      </c>
      <c r="B615" s="6" t="s">
        <v>3201</v>
      </c>
      <c r="C615" s="6" t="s">
        <v>3150</v>
      </c>
      <c r="D615" s="6" t="s">
        <v>132</v>
      </c>
      <c r="E615" s="6" t="s">
        <v>133</v>
      </c>
      <c r="F615" s="6"/>
      <c r="G615" s="6" t="s">
        <v>98</v>
      </c>
      <c r="H615" s="6" t="s">
        <v>396</v>
      </c>
      <c r="I615" s="6" t="s">
        <v>81</v>
      </c>
      <c r="J615" s="6"/>
      <c r="K615" s="6"/>
      <c r="L615" s="6"/>
      <c r="M615" s="6"/>
      <c r="N615" s="6"/>
      <c r="O615" s="6"/>
      <c r="P615" s="6"/>
      <c r="Q615" s="6"/>
      <c r="R615" s="6"/>
      <c r="S615" s="6" t="s">
        <v>977</v>
      </c>
      <c r="T615" s="6" t="s">
        <v>83</v>
      </c>
      <c r="U615" s="6"/>
      <c r="V615" s="6" t="s">
        <v>3202</v>
      </c>
      <c r="W615" s="6" t="s">
        <v>3203</v>
      </c>
      <c r="X615" s="6" t="s">
        <v>3204</v>
      </c>
      <c r="Y615" s="6" t="s">
        <v>3205</v>
      </c>
      <c r="Z615" s="6" t="s">
        <v>3206</v>
      </c>
      <c r="AA615" s="6" t="s">
        <v>89</v>
      </c>
      <c r="AB615" s="6" t="s">
        <v>3207</v>
      </c>
      <c r="AC615" s="6" t="s">
        <v>3208</v>
      </c>
      <c r="AD615" s="6" t="s">
        <v>3209</v>
      </c>
      <c r="AE615" s="6" t="s">
        <v>3210</v>
      </c>
      <c r="AF615" s="6" t="s">
        <v>3211</v>
      </c>
      <c r="AG615" s="6"/>
      <c r="AH615" s="6"/>
      <c r="AI615" s="7"/>
      <c r="AJ615" s="7"/>
      <c r="AK615" s="7"/>
      <c r="AL615" s="7"/>
      <c r="AM615" s="7"/>
      <c r="AN615" s="7"/>
      <c r="AO615" s="7"/>
      <c r="AP615" s="7"/>
      <c r="AQ615" s="7"/>
      <c r="AR615" s="7"/>
      <c r="AS615" s="7"/>
      <c r="AT615" s="7"/>
      <c r="AU615" s="7"/>
      <c r="AV615" s="7"/>
      <c r="AW615" s="7"/>
      <c r="AX615" s="7"/>
      <c r="AY615" s="7"/>
      <c r="AZ615" s="7"/>
    </row>
    <row r="616" customFormat="false" ht="150" hidden="false" customHeight="true" outlineLevel="0" collapsed="false">
      <c r="A616" s="6" t="s">
        <v>3212</v>
      </c>
      <c r="B616" s="6" t="s">
        <v>3201</v>
      </c>
      <c r="C616" s="6" t="s">
        <v>3150</v>
      </c>
      <c r="D616" s="6" t="s">
        <v>132</v>
      </c>
      <c r="E616" s="6" t="s">
        <v>133</v>
      </c>
      <c r="F616" s="6"/>
      <c r="G616" s="6" t="s">
        <v>98</v>
      </c>
      <c r="H616" s="6" t="s">
        <v>452</v>
      </c>
      <c r="I616" s="6" t="s">
        <v>373</v>
      </c>
      <c r="J616" s="6"/>
      <c r="K616" s="6"/>
      <c r="L616" s="6"/>
      <c r="M616" s="6"/>
      <c r="N616" s="6"/>
      <c r="O616" s="6"/>
      <c r="P616" s="6"/>
      <c r="Q616" s="6"/>
      <c r="R616" s="6"/>
      <c r="S616" s="6"/>
      <c r="T616" s="6"/>
      <c r="U616" s="6"/>
      <c r="V616" s="6"/>
      <c r="W616" s="6"/>
      <c r="X616" s="6"/>
      <c r="Y616" s="6" t="s">
        <v>3213</v>
      </c>
      <c r="Z616" s="6" t="s">
        <v>3214</v>
      </c>
      <c r="AA616" s="6" t="s">
        <v>89</v>
      </c>
      <c r="AB616" s="6" t="s">
        <v>3215</v>
      </c>
      <c r="AC616" s="6" t="s">
        <v>3216</v>
      </c>
      <c r="AD616" s="6" t="s">
        <v>3217</v>
      </c>
      <c r="AE616" s="6" t="s">
        <v>428</v>
      </c>
      <c r="AF616" s="6" t="s">
        <v>3218</v>
      </c>
      <c r="AG616" s="6"/>
      <c r="AH616" s="6"/>
      <c r="AI616" s="7"/>
      <c r="AJ616" s="7"/>
      <c r="AK616" s="7"/>
      <c r="AL616" s="7"/>
      <c r="AM616" s="7"/>
      <c r="AN616" s="7"/>
      <c r="AO616" s="7"/>
      <c r="AP616" s="7"/>
      <c r="AQ616" s="7"/>
      <c r="AR616" s="7"/>
      <c r="AS616" s="7"/>
      <c r="AT616" s="7"/>
      <c r="AU616" s="7"/>
      <c r="AV616" s="7"/>
      <c r="AW616" s="7"/>
      <c r="AX616" s="7"/>
      <c r="AY616" s="7"/>
      <c r="AZ616" s="7"/>
    </row>
    <row r="617" customFormat="false" ht="150" hidden="false" customHeight="true" outlineLevel="0" collapsed="false">
      <c r="A617" s="6" t="s">
        <v>3219</v>
      </c>
      <c r="B617" s="6" t="s">
        <v>3201</v>
      </c>
      <c r="C617" s="6" t="s">
        <v>3150</v>
      </c>
      <c r="D617" s="6" t="s">
        <v>145</v>
      </c>
      <c r="E617" s="6" t="s">
        <v>146</v>
      </c>
      <c r="F617" s="6"/>
      <c r="G617" s="6" t="s">
        <v>165</v>
      </c>
      <c r="H617" s="6" t="s">
        <v>491</v>
      </c>
      <c r="I617" s="6" t="s">
        <v>492</v>
      </c>
      <c r="J617" s="6"/>
      <c r="K617" s="6"/>
      <c r="L617" s="6"/>
      <c r="M617" s="6"/>
      <c r="N617" s="6"/>
      <c r="O617" s="6"/>
      <c r="P617" s="6"/>
      <c r="Q617" s="6"/>
      <c r="R617" s="6"/>
      <c r="S617" s="6" t="s">
        <v>637</v>
      </c>
      <c r="T617" s="6" t="s">
        <v>83</v>
      </c>
      <c r="U617" s="6"/>
      <c r="V617" s="6" t="s">
        <v>3220</v>
      </c>
      <c r="W617" s="6" t="s">
        <v>3221</v>
      </c>
      <c r="X617" s="6" t="s">
        <v>3222</v>
      </c>
      <c r="Y617" s="6" t="s">
        <v>3223</v>
      </c>
      <c r="Z617" s="6" t="s">
        <v>3224</v>
      </c>
      <c r="AA617" s="6" t="s">
        <v>89</v>
      </c>
      <c r="AB617" s="6" t="s">
        <v>3225</v>
      </c>
      <c r="AC617" s="6" t="s">
        <v>3226</v>
      </c>
      <c r="AD617" s="6" t="s">
        <v>3227</v>
      </c>
      <c r="AE617" s="6" t="s">
        <v>3228</v>
      </c>
      <c r="AF617" s="6" t="s">
        <v>3229</v>
      </c>
      <c r="AG617" s="6"/>
      <c r="AH617" s="6"/>
      <c r="AI617" s="7"/>
      <c r="AJ617" s="7"/>
      <c r="AK617" s="7"/>
      <c r="AL617" s="7"/>
      <c r="AM617" s="7"/>
      <c r="AN617" s="7"/>
      <c r="AO617" s="7"/>
      <c r="AP617" s="7"/>
      <c r="AQ617" s="7"/>
      <c r="AR617" s="7"/>
      <c r="AS617" s="7"/>
      <c r="AT617" s="7"/>
      <c r="AU617" s="7"/>
      <c r="AV617" s="7"/>
      <c r="AW617" s="7"/>
      <c r="AX617" s="7"/>
      <c r="AY617" s="7"/>
      <c r="AZ617" s="7"/>
    </row>
    <row r="618" customFormat="false" ht="150" hidden="false" customHeight="true" outlineLevel="0" collapsed="false">
      <c r="A618" s="6" t="s">
        <v>3230</v>
      </c>
      <c r="B618" s="6" t="s">
        <v>3201</v>
      </c>
      <c r="C618" s="6" t="s">
        <v>3150</v>
      </c>
      <c r="D618" s="6" t="s">
        <v>110</v>
      </c>
      <c r="E618" s="6" t="s">
        <v>111</v>
      </c>
      <c r="F618" s="6"/>
      <c r="G618" s="6" t="s">
        <v>98</v>
      </c>
      <c r="H618" s="6" t="s">
        <v>372</v>
      </c>
      <c r="I618" s="6" t="s">
        <v>373</v>
      </c>
      <c r="J618" s="6"/>
      <c r="K618" s="6"/>
      <c r="L618" s="6"/>
      <c r="M618" s="6"/>
      <c r="N618" s="6"/>
      <c r="O618" s="6"/>
      <c r="P618" s="6"/>
      <c r="Q618" s="6"/>
      <c r="R618" s="6"/>
      <c r="S618" s="6" t="s">
        <v>650</v>
      </c>
      <c r="T618" s="6" t="s">
        <v>83</v>
      </c>
      <c r="U618" s="6"/>
      <c r="V618" s="6" t="s">
        <v>3231</v>
      </c>
      <c r="W618" s="6" t="s">
        <v>3232</v>
      </c>
      <c r="X618" s="6" t="s">
        <v>3233</v>
      </c>
      <c r="Y618" s="6" t="s">
        <v>3234</v>
      </c>
      <c r="Z618" s="6" t="s">
        <v>3235</v>
      </c>
      <c r="AA618" s="6" t="s">
        <v>89</v>
      </c>
      <c r="AB618" s="6" t="s">
        <v>3236</v>
      </c>
      <c r="AC618" s="6" t="s">
        <v>3237</v>
      </c>
      <c r="AD618" s="6" t="s">
        <v>3238</v>
      </c>
      <c r="AE618" s="6" t="s">
        <v>428</v>
      </c>
      <c r="AF618" s="6" t="s">
        <v>3239</v>
      </c>
      <c r="AG618" s="6"/>
      <c r="AH618" s="6"/>
      <c r="AI618" s="7"/>
      <c r="AJ618" s="7"/>
      <c r="AK618" s="7"/>
      <c r="AL618" s="7"/>
      <c r="AM618" s="7"/>
      <c r="AN618" s="7"/>
      <c r="AO618" s="7"/>
      <c r="AP618" s="7"/>
      <c r="AQ618" s="7"/>
      <c r="AR618" s="7"/>
      <c r="AS618" s="7"/>
      <c r="AT618" s="7"/>
      <c r="AU618" s="7"/>
      <c r="AV618" s="7"/>
      <c r="AW618" s="7"/>
      <c r="AX618" s="7"/>
      <c r="AY618" s="7"/>
      <c r="AZ618" s="7"/>
    </row>
    <row r="619" customFormat="false" ht="150" hidden="false" customHeight="true" outlineLevel="0" collapsed="false">
      <c r="A619" s="6" t="s">
        <v>3240</v>
      </c>
      <c r="B619" s="6" t="s">
        <v>3201</v>
      </c>
      <c r="C619" s="6" t="s">
        <v>3150</v>
      </c>
      <c r="D619" s="6" t="s">
        <v>96</v>
      </c>
      <c r="E619" s="6" t="s">
        <v>97</v>
      </c>
      <c r="F619" s="6"/>
      <c r="G619" s="6" t="s">
        <v>98</v>
      </c>
      <c r="H619" s="6" t="s">
        <v>396</v>
      </c>
      <c r="I619" s="6" t="s">
        <v>81</v>
      </c>
      <c r="J619" s="6"/>
      <c r="K619" s="6"/>
      <c r="L619" s="6"/>
      <c r="M619" s="6"/>
      <c r="N619" s="6"/>
      <c r="O619" s="6"/>
      <c r="P619" s="6"/>
      <c r="Q619" s="6"/>
      <c r="R619" s="6"/>
      <c r="S619" s="6" t="s">
        <v>1136</v>
      </c>
      <c r="T619" s="6" t="s">
        <v>83</v>
      </c>
      <c r="U619" s="6"/>
      <c r="V619" s="6" t="s">
        <v>3241</v>
      </c>
      <c r="W619" s="6" t="s">
        <v>3242</v>
      </c>
      <c r="X619" s="6" t="s">
        <v>3243</v>
      </c>
      <c r="Y619" s="6" t="s">
        <v>3244</v>
      </c>
      <c r="Z619" s="6" t="s">
        <v>3245</v>
      </c>
      <c r="AA619" s="6" t="s">
        <v>89</v>
      </c>
      <c r="AB619" s="6" t="s">
        <v>3246</v>
      </c>
      <c r="AC619" s="6" t="s">
        <v>3247</v>
      </c>
      <c r="AD619" s="6" t="s">
        <v>3248</v>
      </c>
      <c r="AE619" s="6" t="s">
        <v>3249</v>
      </c>
      <c r="AF619" s="6" t="s">
        <v>3250</v>
      </c>
      <c r="AG619" s="6"/>
      <c r="AH619" s="6"/>
      <c r="AI619" s="7"/>
      <c r="AJ619" s="7"/>
      <c r="AK619" s="7"/>
      <c r="AL619" s="7"/>
      <c r="AM619" s="7"/>
      <c r="AN619" s="7"/>
      <c r="AO619" s="7"/>
      <c r="AP619" s="7"/>
      <c r="AQ619" s="7"/>
      <c r="AR619" s="7"/>
      <c r="AS619" s="7"/>
      <c r="AT619" s="7"/>
      <c r="AU619" s="7"/>
      <c r="AV619" s="7"/>
      <c r="AW619" s="7"/>
      <c r="AX619" s="7"/>
      <c r="AY619" s="7"/>
      <c r="AZ619" s="7"/>
    </row>
    <row r="620" customFormat="false" ht="150" hidden="false" customHeight="true" outlineLevel="0" collapsed="false">
      <c r="A620" s="6" t="s">
        <v>3251</v>
      </c>
      <c r="B620" s="6" t="s">
        <v>3201</v>
      </c>
      <c r="C620" s="6" t="s">
        <v>3150</v>
      </c>
      <c r="D620" s="6" t="s">
        <v>132</v>
      </c>
      <c r="E620" s="6" t="s">
        <v>133</v>
      </c>
      <c r="F620" s="6"/>
      <c r="G620" s="6" t="s">
        <v>165</v>
      </c>
      <c r="H620" s="6" t="s">
        <v>431</v>
      </c>
      <c r="I620" s="6" t="s">
        <v>432</v>
      </c>
      <c r="J620" s="6"/>
      <c r="K620" s="6"/>
      <c r="L620" s="6"/>
      <c r="M620" s="6"/>
      <c r="N620" s="6"/>
      <c r="O620" s="6"/>
      <c r="P620" s="6"/>
      <c r="Q620" s="6"/>
      <c r="R620" s="6"/>
      <c r="S620" s="6"/>
      <c r="T620" s="6"/>
      <c r="U620" s="6"/>
      <c r="V620" s="6"/>
      <c r="W620" s="6"/>
      <c r="X620" s="6"/>
      <c r="Y620" s="6"/>
      <c r="Z620" s="6"/>
      <c r="AA620" s="6" t="s">
        <v>89</v>
      </c>
      <c r="AB620" s="6" t="s">
        <v>3252</v>
      </c>
      <c r="AC620" s="6" t="s">
        <v>3253</v>
      </c>
      <c r="AD620" s="6" t="s">
        <v>3254</v>
      </c>
      <c r="AE620" s="6" t="s">
        <v>3255</v>
      </c>
      <c r="AF620" s="6" t="s">
        <v>3256</v>
      </c>
      <c r="AG620" s="6"/>
      <c r="AH620" s="6"/>
      <c r="AI620" s="7"/>
      <c r="AJ620" s="7"/>
      <c r="AK620" s="7"/>
      <c r="AL620" s="7"/>
      <c r="AM620" s="7"/>
      <c r="AN620" s="7"/>
      <c r="AO620" s="7"/>
      <c r="AP620" s="7"/>
      <c r="AQ620" s="7"/>
      <c r="AR620" s="7"/>
      <c r="AS620" s="7"/>
      <c r="AT620" s="7"/>
      <c r="AU620" s="7"/>
      <c r="AV620" s="7"/>
      <c r="AW620" s="7"/>
      <c r="AX620" s="7"/>
      <c r="AY620" s="7"/>
      <c r="AZ620" s="7"/>
    </row>
    <row r="621" customFormat="false" ht="150" hidden="false" customHeight="true" outlineLevel="0" collapsed="false">
      <c r="A621" s="6" t="s">
        <v>3257</v>
      </c>
      <c r="B621" s="6" t="s">
        <v>3201</v>
      </c>
      <c r="C621" s="6" t="s">
        <v>3150</v>
      </c>
      <c r="D621" s="6" t="s">
        <v>110</v>
      </c>
      <c r="E621" s="6" t="s">
        <v>111</v>
      </c>
      <c r="F621" s="6"/>
      <c r="G621" s="6" t="s">
        <v>165</v>
      </c>
      <c r="H621" s="6" t="s">
        <v>491</v>
      </c>
      <c r="I621" s="6" t="s">
        <v>492</v>
      </c>
      <c r="J621" s="6"/>
      <c r="K621" s="6"/>
      <c r="L621" s="6"/>
      <c r="M621" s="6"/>
      <c r="N621" s="6"/>
      <c r="O621" s="6"/>
      <c r="P621" s="6"/>
      <c r="Q621" s="6"/>
      <c r="R621" s="6"/>
      <c r="S621" s="6"/>
      <c r="T621" s="6"/>
      <c r="U621" s="6"/>
      <c r="V621" s="6"/>
      <c r="W621" s="6"/>
      <c r="X621" s="6"/>
      <c r="Y621" s="6"/>
      <c r="Z621" s="6"/>
      <c r="AA621" s="6" t="s">
        <v>89</v>
      </c>
      <c r="AB621" s="6" t="s">
        <v>3258</v>
      </c>
      <c r="AC621" s="6" t="s">
        <v>3259</v>
      </c>
      <c r="AD621" s="6" t="s">
        <v>3260</v>
      </c>
      <c r="AE621" s="6" t="s">
        <v>3261</v>
      </c>
      <c r="AF621" s="6" t="s">
        <v>3262</v>
      </c>
      <c r="AG621" s="6"/>
      <c r="AH621" s="6"/>
      <c r="AI621" s="7"/>
      <c r="AJ621" s="7"/>
      <c r="AK621" s="7"/>
      <c r="AL621" s="7"/>
      <c r="AM621" s="7"/>
      <c r="AN621" s="7"/>
      <c r="AO621" s="7"/>
      <c r="AP621" s="7"/>
      <c r="AQ621" s="7"/>
      <c r="AR621" s="7"/>
      <c r="AS621" s="7"/>
      <c r="AT621" s="7"/>
      <c r="AU621" s="7"/>
      <c r="AV621" s="7"/>
      <c r="AW621" s="7"/>
      <c r="AX621" s="7"/>
      <c r="AY621" s="7"/>
      <c r="AZ621" s="7"/>
    </row>
    <row r="622" customFormat="false" ht="150" hidden="false" customHeight="true" outlineLevel="0" collapsed="false">
      <c r="A622" s="6" t="s">
        <v>3263</v>
      </c>
      <c r="B622" s="6" t="s">
        <v>3201</v>
      </c>
      <c r="C622" s="6" t="s">
        <v>3150</v>
      </c>
      <c r="D622" s="6" t="s">
        <v>145</v>
      </c>
      <c r="E622" s="6" t="s">
        <v>146</v>
      </c>
      <c r="F622" s="6"/>
      <c r="G622" s="6" t="s">
        <v>165</v>
      </c>
      <c r="H622" s="6" t="s">
        <v>408</v>
      </c>
      <c r="I622" s="6" t="s">
        <v>81</v>
      </c>
      <c r="J622" s="6"/>
      <c r="K622" s="6"/>
      <c r="L622" s="6"/>
      <c r="M622" s="6"/>
      <c r="N622" s="6"/>
      <c r="O622" s="6"/>
      <c r="P622" s="6"/>
      <c r="Q622" s="6"/>
      <c r="R622" s="6"/>
      <c r="S622" s="6"/>
      <c r="T622" s="6"/>
      <c r="U622" s="6"/>
      <c r="V622" s="6"/>
      <c r="W622" s="6"/>
      <c r="X622" s="6"/>
      <c r="Y622" s="6" t="s">
        <v>3264</v>
      </c>
      <c r="Z622" s="6" t="s">
        <v>3265</v>
      </c>
      <c r="AA622" s="6" t="s">
        <v>89</v>
      </c>
      <c r="AB622" s="6" t="s">
        <v>3266</v>
      </c>
      <c r="AC622" s="6" t="s">
        <v>3267</v>
      </c>
      <c r="AD622" s="6" t="s">
        <v>3268</v>
      </c>
      <c r="AE622" s="6" t="s">
        <v>3269</v>
      </c>
      <c r="AF622" s="6" t="s">
        <v>3270</v>
      </c>
      <c r="AG622" s="6"/>
      <c r="AH622" s="6"/>
      <c r="AI622" s="7"/>
      <c r="AJ622" s="7"/>
      <c r="AK622" s="7"/>
      <c r="AL622" s="7"/>
      <c r="AM622" s="7"/>
      <c r="AN622" s="7"/>
      <c r="AO622" s="7"/>
      <c r="AP622" s="7"/>
      <c r="AQ622" s="7"/>
      <c r="AR622" s="7"/>
      <c r="AS622" s="7"/>
      <c r="AT622" s="7"/>
      <c r="AU622" s="7"/>
      <c r="AV622" s="7"/>
      <c r="AW622" s="7"/>
      <c r="AX622" s="7"/>
      <c r="AY622" s="7"/>
      <c r="AZ622" s="7"/>
    </row>
    <row r="623" customFormat="false" ht="150" hidden="false" customHeight="true" outlineLevel="0" collapsed="false">
      <c r="A623" s="6" t="s">
        <v>3271</v>
      </c>
      <c r="B623" s="6" t="s">
        <v>3201</v>
      </c>
      <c r="C623" s="6" t="s">
        <v>3150</v>
      </c>
      <c r="D623" s="6" t="s">
        <v>132</v>
      </c>
      <c r="E623" s="6" t="s">
        <v>133</v>
      </c>
      <c r="F623" s="6"/>
      <c r="G623" s="6" t="s">
        <v>98</v>
      </c>
      <c r="H623" s="6" t="s">
        <v>452</v>
      </c>
      <c r="I623" s="6" t="s">
        <v>373</v>
      </c>
      <c r="J623" s="6"/>
      <c r="K623" s="6"/>
      <c r="L623" s="6"/>
      <c r="M623" s="6"/>
      <c r="N623" s="6"/>
      <c r="O623" s="6"/>
      <c r="P623" s="6"/>
      <c r="Q623" s="6"/>
      <c r="R623" s="6"/>
      <c r="S623" s="6"/>
      <c r="T623" s="6"/>
      <c r="U623" s="6"/>
      <c r="V623" s="6"/>
      <c r="W623" s="6"/>
      <c r="X623" s="6"/>
      <c r="Y623" s="6"/>
      <c r="Z623" s="6"/>
      <c r="AA623" s="6" t="s">
        <v>89</v>
      </c>
      <c r="AB623" s="6" t="s">
        <v>3272</v>
      </c>
      <c r="AC623" s="6" t="s">
        <v>3273</v>
      </c>
      <c r="AD623" s="6" t="s">
        <v>3274</v>
      </c>
      <c r="AE623" s="6" t="s">
        <v>382</v>
      </c>
      <c r="AF623" s="6" t="s">
        <v>3275</v>
      </c>
      <c r="AG623" s="6"/>
      <c r="AH623" s="6"/>
      <c r="AI623" s="7"/>
      <c r="AJ623" s="7"/>
      <c r="AK623" s="7"/>
      <c r="AL623" s="7"/>
      <c r="AM623" s="7"/>
      <c r="AN623" s="7"/>
      <c r="AO623" s="7"/>
      <c r="AP623" s="7"/>
      <c r="AQ623" s="7"/>
      <c r="AR623" s="7"/>
      <c r="AS623" s="7"/>
      <c r="AT623" s="7"/>
      <c r="AU623" s="7"/>
      <c r="AV623" s="7"/>
      <c r="AW623" s="7"/>
      <c r="AX623" s="7"/>
      <c r="AY623" s="7"/>
      <c r="AZ623" s="7"/>
    </row>
    <row r="624" customFormat="false" ht="150" hidden="false" customHeight="true" outlineLevel="0" collapsed="false">
      <c r="A624" s="6" t="s">
        <v>3276</v>
      </c>
      <c r="B624" s="6" t="s">
        <v>3201</v>
      </c>
      <c r="C624" s="6" t="s">
        <v>3150</v>
      </c>
      <c r="D624" s="6" t="s">
        <v>123</v>
      </c>
      <c r="E624" s="6" t="s">
        <v>124</v>
      </c>
      <c r="F624" s="6"/>
      <c r="G624" s="6" t="s">
        <v>98</v>
      </c>
      <c r="H624" s="6" t="s">
        <v>491</v>
      </c>
      <c r="I624" s="6" t="s">
        <v>492</v>
      </c>
      <c r="J624" s="6"/>
      <c r="K624" s="6"/>
      <c r="L624" s="6"/>
      <c r="M624" s="6"/>
      <c r="N624" s="6"/>
      <c r="O624" s="6"/>
      <c r="P624" s="6"/>
      <c r="Q624" s="6"/>
      <c r="R624" s="6"/>
      <c r="S624" s="6"/>
      <c r="T624" s="6"/>
      <c r="U624" s="6"/>
      <c r="V624" s="6"/>
      <c r="W624" s="6"/>
      <c r="X624" s="6"/>
      <c r="Y624" s="6"/>
      <c r="Z624" s="6"/>
      <c r="AA624" s="6" t="s">
        <v>89</v>
      </c>
      <c r="AB624" s="6" t="s">
        <v>3277</v>
      </c>
      <c r="AC624" s="6" t="s">
        <v>3278</v>
      </c>
      <c r="AD624" s="6" t="s">
        <v>3279</v>
      </c>
      <c r="AE624" s="6" t="s">
        <v>3280</v>
      </c>
      <c r="AF624" s="6" t="s">
        <v>3281</v>
      </c>
      <c r="AG624" s="6"/>
      <c r="AH624" s="6"/>
      <c r="AI624" s="7"/>
      <c r="AJ624" s="7"/>
      <c r="AK624" s="7"/>
      <c r="AL624" s="7"/>
      <c r="AM624" s="7"/>
      <c r="AN624" s="7"/>
      <c r="AO624" s="7"/>
      <c r="AP624" s="7"/>
      <c r="AQ624" s="7"/>
      <c r="AR624" s="7"/>
      <c r="AS624" s="7"/>
      <c r="AT624" s="7"/>
      <c r="AU624" s="7"/>
      <c r="AV624" s="7"/>
      <c r="AW624" s="7"/>
      <c r="AX624" s="7"/>
      <c r="AY624" s="7"/>
      <c r="AZ624" s="7"/>
    </row>
    <row r="625" customFormat="false" ht="150" hidden="false" customHeight="true" outlineLevel="0" collapsed="false">
      <c r="A625" s="6" t="s">
        <v>3282</v>
      </c>
      <c r="B625" s="6" t="s">
        <v>3201</v>
      </c>
      <c r="C625" s="6" t="s">
        <v>3150</v>
      </c>
      <c r="D625" s="6" t="s">
        <v>77</v>
      </c>
      <c r="E625" s="6" t="s">
        <v>78</v>
      </c>
      <c r="F625" s="6"/>
      <c r="G625" s="6" t="s">
        <v>98</v>
      </c>
      <c r="H625" s="6" t="s">
        <v>431</v>
      </c>
      <c r="I625" s="6" t="s">
        <v>432</v>
      </c>
      <c r="J625" s="6"/>
      <c r="K625" s="6"/>
      <c r="L625" s="6"/>
      <c r="M625" s="6"/>
      <c r="N625" s="6"/>
      <c r="O625" s="6"/>
      <c r="P625" s="6"/>
      <c r="Q625" s="6"/>
      <c r="R625" s="6"/>
      <c r="S625" s="6"/>
      <c r="T625" s="6"/>
      <c r="U625" s="6"/>
      <c r="V625" s="6"/>
      <c r="W625" s="6"/>
      <c r="X625" s="6"/>
      <c r="Y625" s="6"/>
      <c r="Z625" s="6"/>
      <c r="AA625" s="6" t="s">
        <v>89</v>
      </c>
      <c r="AB625" s="6" t="s">
        <v>3283</v>
      </c>
      <c r="AC625" s="6" t="s">
        <v>3284</v>
      </c>
      <c r="AD625" s="6" t="s">
        <v>3285</v>
      </c>
      <c r="AE625" s="6" t="s">
        <v>3286</v>
      </c>
      <c r="AF625" s="6" t="s">
        <v>3287</v>
      </c>
      <c r="AG625" s="6"/>
      <c r="AH625" s="6"/>
      <c r="AI625" s="7"/>
      <c r="AJ625" s="7"/>
      <c r="AK625" s="7"/>
      <c r="AL625" s="7"/>
      <c r="AM625" s="7"/>
      <c r="AN625" s="7"/>
      <c r="AO625" s="7"/>
      <c r="AP625" s="7"/>
      <c r="AQ625" s="7"/>
      <c r="AR625" s="7"/>
      <c r="AS625" s="7"/>
      <c r="AT625" s="7"/>
      <c r="AU625" s="7"/>
      <c r="AV625" s="7"/>
      <c r="AW625" s="7"/>
      <c r="AX625" s="7"/>
      <c r="AY625" s="7"/>
      <c r="AZ625" s="7"/>
    </row>
    <row r="626" customFormat="false" ht="150" hidden="false" customHeight="true" outlineLevel="0" collapsed="false">
      <c r="A626" s="6" t="s">
        <v>3288</v>
      </c>
      <c r="B626" s="6" t="s">
        <v>3201</v>
      </c>
      <c r="C626" s="6" t="s">
        <v>3150</v>
      </c>
      <c r="D626" s="6" t="s">
        <v>96</v>
      </c>
      <c r="E626" s="6" t="s">
        <v>97</v>
      </c>
      <c r="F626" s="6"/>
      <c r="G626" s="6" t="s">
        <v>98</v>
      </c>
      <c r="H626" s="6" t="s">
        <v>372</v>
      </c>
      <c r="I626" s="6" t="s">
        <v>81</v>
      </c>
      <c r="J626" s="6"/>
      <c r="K626" s="6"/>
      <c r="L626" s="6"/>
      <c r="M626" s="6"/>
      <c r="N626" s="6"/>
      <c r="O626" s="6"/>
      <c r="P626" s="6"/>
      <c r="Q626" s="6"/>
      <c r="R626" s="6"/>
      <c r="S626" s="6" t="s">
        <v>900</v>
      </c>
      <c r="T626" s="6" t="s">
        <v>83</v>
      </c>
      <c r="U626" s="6"/>
      <c r="V626" s="6" t="s">
        <v>3289</v>
      </c>
      <c r="W626" s="6" t="s">
        <v>3290</v>
      </c>
      <c r="X626" s="6" t="s">
        <v>3291</v>
      </c>
      <c r="Y626" s="6" t="s">
        <v>3292</v>
      </c>
      <c r="Z626" s="6" t="s">
        <v>3293</v>
      </c>
      <c r="AA626" s="6" t="s">
        <v>89</v>
      </c>
      <c r="AB626" s="6" t="s">
        <v>3294</v>
      </c>
      <c r="AC626" s="6" t="s">
        <v>3295</v>
      </c>
      <c r="AD626" s="6" t="s">
        <v>3296</v>
      </c>
      <c r="AE626" s="6" t="s">
        <v>3297</v>
      </c>
      <c r="AF626" s="6" t="s">
        <v>3298</v>
      </c>
      <c r="AG626" s="6"/>
      <c r="AH626" s="6"/>
      <c r="AI626" s="7"/>
      <c r="AJ626" s="7"/>
      <c r="AK626" s="7"/>
      <c r="AL626" s="7"/>
      <c r="AM626" s="7"/>
      <c r="AN626" s="7"/>
      <c r="AO626" s="7"/>
      <c r="AP626" s="7"/>
      <c r="AQ626" s="7"/>
      <c r="AR626" s="7"/>
      <c r="AS626" s="7"/>
      <c r="AT626" s="7"/>
      <c r="AU626" s="7"/>
      <c r="AV626" s="7"/>
      <c r="AW626" s="7"/>
      <c r="AX626" s="7"/>
      <c r="AY626" s="7"/>
      <c r="AZ626" s="7"/>
    </row>
    <row r="627" customFormat="false" ht="150" hidden="false" customHeight="true" outlineLevel="0" collapsed="false">
      <c r="A627" s="6" t="s">
        <v>3299</v>
      </c>
      <c r="B627" s="6" t="s">
        <v>3201</v>
      </c>
      <c r="C627" s="6" t="s">
        <v>3150</v>
      </c>
      <c r="D627" s="6" t="s">
        <v>145</v>
      </c>
      <c r="E627" s="6" t="s">
        <v>146</v>
      </c>
      <c r="F627" s="6"/>
      <c r="G627" s="6" t="s">
        <v>165</v>
      </c>
      <c r="H627" s="6" t="s">
        <v>452</v>
      </c>
      <c r="I627" s="6" t="s">
        <v>373</v>
      </c>
      <c r="J627" s="6"/>
      <c r="K627" s="6"/>
      <c r="L627" s="6"/>
      <c r="M627" s="6"/>
      <c r="N627" s="6"/>
      <c r="O627" s="6"/>
      <c r="P627" s="6"/>
      <c r="Q627" s="6"/>
      <c r="R627" s="6"/>
      <c r="S627" s="6"/>
      <c r="T627" s="6"/>
      <c r="U627" s="6"/>
      <c r="V627" s="6"/>
      <c r="W627" s="6"/>
      <c r="X627" s="6"/>
      <c r="Y627" s="6"/>
      <c r="Z627" s="6"/>
      <c r="AA627" s="6" t="s">
        <v>89</v>
      </c>
      <c r="AB627" s="6" t="s">
        <v>3300</v>
      </c>
      <c r="AC627" s="6" t="s">
        <v>3301</v>
      </c>
      <c r="AD627" s="6" t="s">
        <v>3302</v>
      </c>
      <c r="AE627" s="6" t="s">
        <v>428</v>
      </c>
      <c r="AF627" s="6" t="s">
        <v>3303</v>
      </c>
      <c r="AG627" s="6"/>
      <c r="AH627" s="6"/>
      <c r="AI627" s="7"/>
      <c r="AJ627" s="7"/>
      <c r="AK627" s="7"/>
      <c r="AL627" s="7"/>
      <c r="AM627" s="7"/>
      <c r="AN627" s="7"/>
      <c r="AO627" s="7"/>
      <c r="AP627" s="7"/>
      <c r="AQ627" s="7"/>
      <c r="AR627" s="7"/>
      <c r="AS627" s="7"/>
      <c r="AT627" s="7"/>
      <c r="AU627" s="7"/>
      <c r="AV627" s="7"/>
      <c r="AW627" s="7"/>
      <c r="AX627" s="7"/>
      <c r="AY627" s="7"/>
      <c r="AZ627" s="7"/>
    </row>
    <row r="628" customFormat="false" ht="150" hidden="false" customHeight="true" outlineLevel="0" collapsed="false">
      <c r="A628" s="6" t="s">
        <v>3304</v>
      </c>
      <c r="B628" s="6" t="s">
        <v>3201</v>
      </c>
      <c r="C628" s="6" t="s">
        <v>3150</v>
      </c>
      <c r="D628" s="6" t="s">
        <v>110</v>
      </c>
      <c r="E628" s="6" t="s">
        <v>111</v>
      </c>
      <c r="F628" s="6"/>
      <c r="G628" s="6" t="s">
        <v>165</v>
      </c>
      <c r="H628" s="6" t="s">
        <v>431</v>
      </c>
      <c r="I628" s="6" t="s">
        <v>432</v>
      </c>
      <c r="J628" s="6"/>
      <c r="K628" s="6"/>
      <c r="L628" s="6"/>
      <c r="M628" s="6"/>
      <c r="N628" s="6"/>
      <c r="O628" s="6"/>
      <c r="P628" s="6"/>
      <c r="Q628" s="6"/>
      <c r="R628" s="6"/>
      <c r="S628" s="6"/>
      <c r="T628" s="6"/>
      <c r="U628" s="6"/>
      <c r="V628" s="6"/>
      <c r="W628" s="6"/>
      <c r="X628" s="6"/>
      <c r="Y628" s="6" t="s">
        <v>3305</v>
      </c>
      <c r="Z628" s="6" t="s">
        <v>3306</v>
      </c>
      <c r="AA628" s="6" t="s">
        <v>89</v>
      </c>
      <c r="AB628" s="6" t="s">
        <v>3307</v>
      </c>
      <c r="AC628" s="6" t="s">
        <v>3308</v>
      </c>
      <c r="AD628" s="6" t="s">
        <v>3309</v>
      </c>
      <c r="AE628" s="6" t="s">
        <v>3310</v>
      </c>
      <c r="AF628" s="6" t="s">
        <v>3311</v>
      </c>
      <c r="AG628" s="6"/>
      <c r="AH628" s="6"/>
      <c r="AI628" s="7"/>
      <c r="AJ628" s="7"/>
      <c r="AK628" s="7"/>
      <c r="AL628" s="7"/>
      <c r="AM628" s="7"/>
      <c r="AN628" s="7"/>
      <c r="AO628" s="7"/>
      <c r="AP628" s="7"/>
      <c r="AQ628" s="7"/>
      <c r="AR628" s="7"/>
      <c r="AS628" s="7"/>
      <c r="AT628" s="7"/>
      <c r="AU628" s="7"/>
      <c r="AV628" s="7"/>
      <c r="AW628" s="7"/>
      <c r="AX628" s="7"/>
      <c r="AY628" s="7"/>
      <c r="AZ628" s="7"/>
    </row>
    <row r="629" customFormat="false" ht="150" hidden="false" customHeight="true" outlineLevel="0" collapsed="false">
      <c r="A629" s="6" t="s">
        <v>3312</v>
      </c>
      <c r="B629" s="6" t="s">
        <v>3201</v>
      </c>
      <c r="C629" s="6" t="s">
        <v>3150</v>
      </c>
      <c r="D629" s="6" t="s">
        <v>132</v>
      </c>
      <c r="E629" s="6" t="s">
        <v>133</v>
      </c>
      <c r="F629" s="6"/>
      <c r="G629" s="6" t="s">
        <v>98</v>
      </c>
      <c r="H629" s="6" t="s">
        <v>408</v>
      </c>
      <c r="I629" s="6" t="s">
        <v>81</v>
      </c>
      <c r="J629" s="6"/>
      <c r="K629" s="6"/>
      <c r="L629" s="6"/>
      <c r="M629" s="6"/>
      <c r="N629" s="6"/>
      <c r="O629" s="6"/>
      <c r="P629" s="6"/>
      <c r="Q629" s="6"/>
      <c r="R629" s="6"/>
      <c r="S629" s="6"/>
      <c r="T629" s="6"/>
      <c r="U629" s="6"/>
      <c r="V629" s="6"/>
      <c r="W629" s="6"/>
      <c r="X629" s="6"/>
      <c r="Y629" s="6"/>
      <c r="Z629" s="6"/>
      <c r="AA629" s="6" t="s">
        <v>89</v>
      </c>
      <c r="AB629" s="6" t="s">
        <v>3313</v>
      </c>
      <c r="AC629" s="6" t="s">
        <v>3314</v>
      </c>
      <c r="AD629" s="6" t="s">
        <v>3315</v>
      </c>
      <c r="AE629" s="6" t="s">
        <v>3316</v>
      </c>
      <c r="AF629" s="6" t="s">
        <v>3317</v>
      </c>
      <c r="AG629" s="6"/>
      <c r="AH629" s="6"/>
      <c r="AI629" s="7"/>
      <c r="AJ629" s="7"/>
      <c r="AK629" s="7"/>
      <c r="AL629" s="7"/>
      <c r="AM629" s="7"/>
      <c r="AN629" s="7"/>
      <c r="AO629" s="7"/>
      <c r="AP629" s="7"/>
      <c r="AQ629" s="7"/>
      <c r="AR629" s="7"/>
      <c r="AS629" s="7"/>
      <c r="AT629" s="7"/>
      <c r="AU629" s="7"/>
      <c r="AV629" s="7"/>
      <c r="AW629" s="7"/>
      <c r="AX629" s="7"/>
      <c r="AY629" s="7"/>
      <c r="AZ629" s="7"/>
    </row>
    <row r="630" customFormat="false" ht="150" hidden="false" customHeight="true" outlineLevel="0" collapsed="false">
      <c r="A630" s="6" t="s">
        <v>3318</v>
      </c>
      <c r="B630" s="6" t="s">
        <v>3201</v>
      </c>
      <c r="C630" s="6" t="s">
        <v>3150</v>
      </c>
      <c r="D630" s="6" t="s">
        <v>145</v>
      </c>
      <c r="E630" s="6" t="s">
        <v>146</v>
      </c>
      <c r="F630" s="6"/>
      <c r="G630" s="6" t="s">
        <v>98</v>
      </c>
      <c r="H630" s="6" t="s">
        <v>491</v>
      </c>
      <c r="I630" s="6" t="s">
        <v>492</v>
      </c>
      <c r="J630" s="6"/>
      <c r="K630" s="6"/>
      <c r="L630" s="6"/>
      <c r="M630" s="6"/>
      <c r="N630" s="6"/>
      <c r="O630" s="6"/>
      <c r="P630" s="6"/>
      <c r="Q630" s="6"/>
      <c r="R630" s="6"/>
      <c r="S630" s="6"/>
      <c r="T630" s="6"/>
      <c r="U630" s="6"/>
      <c r="V630" s="6"/>
      <c r="W630" s="6"/>
      <c r="X630" s="6"/>
      <c r="Y630" s="6"/>
      <c r="Z630" s="6"/>
      <c r="AA630" s="6" t="s">
        <v>89</v>
      </c>
      <c r="AB630" s="6" t="s">
        <v>3319</v>
      </c>
      <c r="AC630" s="6" t="s">
        <v>3320</v>
      </c>
      <c r="AD630" s="6" t="s">
        <v>3321</v>
      </c>
      <c r="AE630" s="6" t="s">
        <v>3322</v>
      </c>
      <c r="AF630" s="6" t="s">
        <v>3323</v>
      </c>
      <c r="AG630" s="6"/>
      <c r="AH630" s="6"/>
      <c r="AI630" s="7"/>
      <c r="AJ630" s="7"/>
      <c r="AK630" s="7"/>
      <c r="AL630" s="7"/>
      <c r="AM630" s="7"/>
      <c r="AN630" s="7"/>
      <c r="AO630" s="7"/>
      <c r="AP630" s="7"/>
      <c r="AQ630" s="7"/>
      <c r="AR630" s="7"/>
      <c r="AS630" s="7"/>
      <c r="AT630" s="7"/>
      <c r="AU630" s="7"/>
      <c r="AV630" s="7"/>
      <c r="AW630" s="7"/>
      <c r="AX630" s="7"/>
      <c r="AY630" s="7"/>
      <c r="AZ630" s="7"/>
    </row>
    <row r="631" customFormat="false" ht="150" hidden="false" customHeight="true" outlineLevel="0" collapsed="false">
      <c r="A631" s="6" t="s">
        <v>3324</v>
      </c>
      <c r="B631" s="6" t="s">
        <v>3201</v>
      </c>
      <c r="C631" s="6" t="s">
        <v>3150</v>
      </c>
      <c r="D631" s="6" t="s">
        <v>96</v>
      </c>
      <c r="E631" s="6" t="s">
        <v>97</v>
      </c>
      <c r="F631" s="6"/>
      <c r="G631" s="6" t="s">
        <v>165</v>
      </c>
      <c r="H631" s="6" t="s">
        <v>396</v>
      </c>
      <c r="I631" s="6" t="s">
        <v>81</v>
      </c>
      <c r="J631" s="6"/>
      <c r="K631" s="6"/>
      <c r="L631" s="6"/>
      <c r="M631" s="6"/>
      <c r="N631" s="6"/>
      <c r="O631" s="6"/>
      <c r="P631" s="6"/>
      <c r="Q631" s="6"/>
      <c r="R631" s="6"/>
      <c r="S631" s="6"/>
      <c r="T631" s="6"/>
      <c r="U631" s="6"/>
      <c r="V631" s="6"/>
      <c r="W631" s="6"/>
      <c r="X631" s="6"/>
      <c r="Y631" s="6" t="s">
        <v>3325</v>
      </c>
      <c r="Z631" s="6" t="s">
        <v>3326</v>
      </c>
      <c r="AA631" s="6" t="s">
        <v>89</v>
      </c>
      <c r="AB631" s="6" t="s">
        <v>3327</v>
      </c>
      <c r="AC631" s="6" t="s">
        <v>3328</v>
      </c>
      <c r="AD631" s="6" t="s">
        <v>3329</v>
      </c>
      <c r="AE631" s="6" t="s">
        <v>3330</v>
      </c>
      <c r="AF631" s="6" t="s">
        <v>3331</v>
      </c>
      <c r="AG631" s="6"/>
      <c r="AH631" s="6"/>
      <c r="AI631" s="7"/>
      <c r="AJ631" s="7"/>
      <c r="AK631" s="7"/>
      <c r="AL631" s="7"/>
      <c r="AM631" s="7"/>
      <c r="AN631" s="7"/>
      <c r="AO631" s="7"/>
      <c r="AP631" s="7"/>
      <c r="AQ631" s="7"/>
      <c r="AR631" s="7"/>
      <c r="AS631" s="7"/>
      <c r="AT631" s="7"/>
      <c r="AU631" s="7"/>
      <c r="AV631" s="7"/>
      <c r="AW631" s="7"/>
      <c r="AX631" s="7"/>
      <c r="AY631" s="7"/>
      <c r="AZ631" s="7"/>
    </row>
    <row r="632" customFormat="false" ht="150" hidden="false" customHeight="true" outlineLevel="0" collapsed="false">
      <c r="A632" s="6" t="s">
        <v>3332</v>
      </c>
      <c r="B632" s="6" t="s">
        <v>3201</v>
      </c>
      <c r="C632" s="6" t="s">
        <v>3150</v>
      </c>
      <c r="D632" s="6" t="s">
        <v>132</v>
      </c>
      <c r="E632" s="6" t="s">
        <v>133</v>
      </c>
      <c r="F632" s="6"/>
      <c r="G632" s="6" t="s">
        <v>79</v>
      </c>
      <c r="H632" s="6" t="s">
        <v>2725</v>
      </c>
      <c r="I632" s="6" t="s">
        <v>81</v>
      </c>
      <c r="J632" s="6"/>
      <c r="K632" s="6"/>
      <c r="L632" s="6"/>
      <c r="M632" s="6"/>
      <c r="N632" s="6"/>
      <c r="O632" s="6"/>
      <c r="P632" s="6"/>
      <c r="Q632" s="6"/>
      <c r="R632" s="6"/>
      <c r="S632" s="6"/>
      <c r="T632" s="6"/>
      <c r="U632" s="6"/>
      <c r="V632" s="6"/>
      <c r="W632" s="6"/>
      <c r="X632" s="6"/>
      <c r="Y632" s="6"/>
      <c r="Z632" s="6"/>
      <c r="AA632" s="6" t="s">
        <v>89</v>
      </c>
      <c r="AB632" s="6" t="s">
        <v>3333</v>
      </c>
      <c r="AC632" s="6" t="s">
        <v>3334</v>
      </c>
      <c r="AD632" s="6" t="s">
        <v>3335</v>
      </c>
      <c r="AE632" s="6" t="s">
        <v>3336</v>
      </c>
      <c r="AF632" s="6" t="s">
        <v>3337</v>
      </c>
      <c r="AG632" s="6"/>
      <c r="AH632" s="6"/>
      <c r="AI632" s="7"/>
      <c r="AJ632" s="7"/>
      <c r="AK632" s="7"/>
      <c r="AL632" s="7"/>
      <c r="AM632" s="7"/>
      <c r="AN632" s="7"/>
      <c r="AO632" s="7"/>
      <c r="AP632" s="7"/>
      <c r="AQ632" s="7"/>
      <c r="AR632" s="7"/>
      <c r="AS632" s="7"/>
      <c r="AT632" s="7"/>
      <c r="AU632" s="7"/>
      <c r="AV632" s="7"/>
      <c r="AW632" s="7"/>
      <c r="AX632" s="7"/>
      <c r="AY632" s="7"/>
      <c r="AZ632" s="7"/>
    </row>
    <row r="633" customFormat="false" ht="150" hidden="false" customHeight="true" outlineLevel="0" collapsed="false">
      <c r="A633" s="6" t="s">
        <v>3338</v>
      </c>
      <c r="B633" s="6" t="s">
        <v>3201</v>
      </c>
      <c r="C633" s="6" t="s">
        <v>3150</v>
      </c>
      <c r="D633" s="6" t="s">
        <v>132</v>
      </c>
      <c r="E633" s="6" t="s">
        <v>133</v>
      </c>
      <c r="F633" s="6"/>
      <c r="G633" s="6" t="s">
        <v>98</v>
      </c>
      <c r="H633" s="6" t="s">
        <v>452</v>
      </c>
      <c r="I633" s="6" t="s">
        <v>373</v>
      </c>
      <c r="J633" s="6"/>
      <c r="K633" s="6"/>
      <c r="L633" s="6"/>
      <c r="M633" s="6"/>
      <c r="N633" s="6"/>
      <c r="O633" s="6"/>
      <c r="P633" s="6"/>
      <c r="Q633" s="6"/>
      <c r="R633" s="6"/>
      <c r="S633" s="6"/>
      <c r="T633" s="6"/>
      <c r="U633" s="6"/>
      <c r="V633" s="6"/>
      <c r="W633" s="6"/>
      <c r="X633" s="6"/>
      <c r="Y633" s="6"/>
      <c r="Z633" s="6"/>
      <c r="AA633" s="6" t="s">
        <v>89</v>
      </c>
      <c r="AB633" s="6" t="s">
        <v>3339</v>
      </c>
      <c r="AC633" s="6" t="s">
        <v>3340</v>
      </c>
      <c r="AD633" s="6" t="s">
        <v>3341</v>
      </c>
      <c r="AE633" s="6" t="s">
        <v>428</v>
      </c>
      <c r="AF633" s="6" t="s">
        <v>3342</v>
      </c>
      <c r="AG633" s="6"/>
      <c r="AH633" s="6"/>
      <c r="AI633" s="7"/>
      <c r="AJ633" s="7"/>
      <c r="AK633" s="7"/>
      <c r="AL633" s="7"/>
      <c r="AM633" s="7"/>
      <c r="AN633" s="7"/>
      <c r="AO633" s="7"/>
      <c r="AP633" s="7"/>
      <c r="AQ633" s="7"/>
      <c r="AR633" s="7"/>
      <c r="AS633" s="7"/>
      <c r="AT633" s="7"/>
      <c r="AU633" s="7"/>
      <c r="AV633" s="7"/>
      <c r="AW633" s="7"/>
      <c r="AX633" s="7"/>
      <c r="AY633" s="7"/>
      <c r="AZ633" s="7"/>
    </row>
    <row r="634" customFormat="false" ht="150" hidden="false" customHeight="true" outlineLevel="0" collapsed="false">
      <c r="A634" s="6" t="s">
        <v>3343</v>
      </c>
      <c r="B634" s="6" t="s">
        <v>3201</v>
      </c>
      <c r="C634" s="6" t="s">
        <v>3150</v>
      </c>
      <c r="D634" s="6" t="s">
        <v>110</v>
      </c>
      <c r="E634" s="6" t="s">
        <v>111</v>
      </c>
      <c r="F634" s="6"/>
      <c r="G634" s="6" t="s">
        <v>98</v>
      </c>
      <c r="H634" s="6" t="s">
        <v>452</v>
      </c>
      <c r="I634" s="6" t="s">
        <v>373</v>
      </c>
      <c r="J634" s="6"/>
      <c r="K634" s="6"/>
      <c r="L634" s="6"/>
      <c r="M634" s="6"/>
      <c r="N634" s="6"/>
      <c r="O634" s="6"/>
      <c r="P634" s="6"/>
      <c r="Q634" s="6"/>
      <c r="R634" s="6"/>
      <c r="S634" s="6"/>
      <c r="T634" s="6"/>
      <c r="U634" s="6"/>
      <c r="V634" s="6"/>
      <c r="W634" s="6"/>
      <c r="X634" s="6"/>
      <c r="Y634" s="6" t="s">
        <v>3344</v>
      </c>
      <c r="Z634" s="6" t="s">
        <v>3345</v>
      </c>
      <c r="AA634" s="6" t="s">
        <v>89</v>
      </c>
      <c r="AB634" s="6" t="s">
        <v>3346</v>
      </c>
      <c r="AC634" s="6" t="s">
        <v>3347</v>
      </c>
      <c r="AD634" s="6" t="s">
        <v>3348</v>
      </c>
      <c r="AE634" s="6" t="s">
        <v>428</v>
      </c>
      <c r="AF634" s="6" t="s">
        <v>3349</v>
      </c>
      <c r="AG634" s="6"/>
      <c r="AH634" s="6"/>
      <c r="AI634" s="7"/>
      <c r="AJ634" s="7"/>
      <c r="AK634" s="7"/>
      <c r="AL634" s="7"/>
      <c r="AM634" s="7"/>
      <c r="AN634" s="7"/>
      <c r="AO634" s="7"/>
      <c r="AP634" s="7"/>
      <c r="AQ634" s="7"/>
      <c r="AR634" s="7"/>
      <c r="AS634" s="7"/>
      <c r="AT634" s="7"/>
      <c r="AU634" s="7"/>
      <c r="AV634" s="7"/>
      <c r="AW634" s="7"/>
      <c r="AX634" s="7"/>
      <c r="AY634" s="7"/>
      <c r="AZ634" s="7"/>
    </row>
    <row r="635" customFormat="false" ht="150" hidden="false" customHeight="true" outlineLevel="0" collapsed="false">
      <c r="A635" s="6" t="s">
        <v>3350</v>
      </c>
      <c r="B635" s="6" t="s">
        <v>3201</v>
      </c>
      <c r="C635" s="6" t="s">
        <v>3150</v>
      </c>
      <c r="D635" s="6" t="s">
        <v>110</v>
      </c>
      <c r="E635" s="6" t="s">
        <v>111</v>
      </c>
      <c r="F635" s="6"/>
      <c r="G635" s="6" t="s">
        <v>165</v>
      </c>
      <c r="H635" s="6" t="s">
        <v>408</v>
      </c>
      <c r="I635" s="6" t="s">
        <v>81</v>
      </c>
      <c r="J635" s="6"/>
      <c r="K635" s="6"/>
      <c r="L635" s="6"/>
      <c r="M635" s="6"/>
      <c r="N635" s="6"/>
      <c r="O635" s="6"/>
      <c r="P635" s="6"/>
      <c r="Q635" s="6"/>
      <c r="R635" s="6"/>
      <c r="S635" s="6"/>
      <c r="T635" s="6"/>
      <c r="U635" s="6"/>
      <c r="V635" s="6"/>
      <c r="W635" s="6"/>
      <c r="X635" s="6"/>
      <c r="Y635" s="6"/>
      <c r="Z635" s="6"/>
      <c r="AA635" s="6" t="s">
        <v>89</v>
      </c>
      <c r="AB635" s="6" t="s">
        <v>3351</v>
      </c>
      <c r="AC635" s="6" t="s">
        <v>3352</v>
      </c>
      <c r="AD635" s="6" t="s">
        <v>3353</v>
      </c>
      <c r="AE635" s="6" t="s">
        <v>3354</v>
      </c>
      <c r="AF635" s="6" t="s">
        <v>3355</v>
      </c>
      <c r="AG635" s="6"/>
      <c r="AH635" s="6"/>
      <c r="AI635" s="7"/>
      <c r="AJ635" s="7"/>
      <c r="AK635" s="7"/>
      <c r="AL635" s="7"/>
      <c r="AM635" s="7"/>
      <c r="AN635" s="7"/>
      <c r="AO635" s="7"/>
      <c r="AP635" s="7"/>
      <c r="AQ635" s="7"/>
      <c r="AR635" s="7"/>
      <c r="AS635" s="7"/>
      <c r="AT635" s="7"/>
      <c r="AU635" s="7"/>
      <c r="AV635" s="7"/>
      <c r="AW635" s="7"/>
      <c r="AX635" s="7"/>
      <c r="AY635" s="7"/>
      <c r="AZ635" s="7"/>
    </row>
    <row r="636" customFormat="false" ht="150" hidden="false" customHeight="true" outlineLevel="0" collapsed="false">
      <c r="A636" s="6" t="s">
        <v>3356</v>
      </c>
      <c r="B636" s="6" t="s">
        <v>3201</v>
      </c>
      <c r="C636" s="6" t="s">
        <v>3150</v>
      </c>
      <c r="D636" s="6" t="s">
        <v>145</v>
      </c>
      <c r="E636" s="6" t="s">
        <v>146</v>
      </c>
      <c r="F636" s="6"/>
      <c r="G636" s="6" t="s">
        <v>98</v>
      </c>
      <c r="H636" s="6" t="s">
        <v>491</v>
      </c>
      <c r="I636" s="6" t="s">
        <v>492</v>
      </c>
      <c r="J636" s="6"/>
      <c r="K636" s="6"/>
      <c r="L636" s="6"/>
      <c r="M636" s="6"/>
      <c r="N636" s="6"/>
      <c r="O636" s="6"/>
      <c r="P636" s="6"/>
      <c r="Q636" s="6"/>
      <c r="R636" s="6"/>
      <c r="S636" s="6"/>
      <c r="T636" s="6"/>
      <c r="U636" s="6"/>
      <c r="V636" s="6"/>
      <c r="W636" s="6"/>
      <c r="X636" s="6"/>
      <c r="Y636" s="6"/>
      <c r="Z636" s="6"/>
      <c r="AA636" s="6" t="s">
        <v>89</v>
      </c>
      <c r="AB636" s="6" t="s">
        <v>3357</v>
      </c>
      <c r="AC636" s="6" t="s">
        <v>3358</v>
      </c>
      <c r="AD636" s="6" t="s">
        <v>3359</v>
      </c>
      <c r="AE636" s="6" t="s">
        <v>3360</v>
      </c>
      <c r="AF636" s="6" t="s">
        <v>3361</v>
      </c>
      <c r="AG636" s="6"/>
      <c r="AH636" s="6"/>
      <c r="AI636" s="7"/>
      <c r="AJ636" s="7"/>
      <c r="AK636" s="7"/>
      <c r="AL636" s="7"/>
      <c r="AM636" s="7"/>
      <c r="AN636" s="7"/>
      <c r="AO636" s="7"/>
      <c r="AP636" s="7"/>
      <c r="AQ636" s="7"/>
      <c r="AR636" s="7"/>
      <c r="AS636" s="7"/>
      <c r="AT636" s="7"/>
      <c r="AU636" s="7"/>
      <c r="AV636" s="7"/>
      <c r="AW636" s="7"/>
      <c r="AX636" s="7"/>
      <c r="AY636" s="7"/>
      <c r="AZ636" s="7"/>
    </row>
    <row r="637" customFormat="false" ht="150" hidden="false" customHeight="true" outlineLevel="0" collapsed="false">
      <c r="A637" s="6" t="s">
        <v>3362</v>
      </c>
      <c r="B637" s="6" t="s">
        <v>3201</v>
      </c>
      <c r="C637" s="6" t="s">
        <v>3150</v>
      </c>
      <c r="D637" s="6" t="s">
        <v>145</v>
      </c>
      <c r="E637" s="6" t="s">
        <v>146</v>
      </c>
      <c r="F637" s="6"/>
      <c r="G637" s="6" t="s">
        <v>79</v>
      </c>
      <c r="H637" s="6" t="s">
        <v>2725</v>
      </c>
      <c r="I637" s="6" t="s">
        <v>81</v>
      </c>
      <c r="J637" s="6"/>
      <c r="K637" s="6"/>
      <c r="L637" s="6"/>
      <c r="M637" s="6"/>
      <c r="N637" s="6"/>
      <c r="O637" s="6"/>
      <c r="P637" s="6"/>
      <c r="Q637" s="6"/>
      <c r="R637" s="6"/>
      <c r="S637" s="6"/>
      <c r="T637" s="6"/>
      <c r="U637" s="6"/>
      <c r="V637" s="6"/>
      <c r="W637" s="6"/>
      <c r="X637" s="6"/>
      <c r="Y637" s="6"/>
      <c r="Z637" s="6"/>
      <c r="AA637" s="6" t="s">
        <v>89</v>
      </c>
      <c r="AB637" s="6" t="s">
        <v>3363</v>
      </c>
      <c r="AC637" s="6" t="s">
        <v>3364</v>
      </c>
      <c r="AD637" s="6" t="s">
        <v>3365</v>
      </c>
      <c r="AE637" s="6" t="s">
        <v>3366</v>
      </c>
      <c r="AF637" s="6" t="s">
        <v>3367</v>
      </c>
      <c r="AG637" s="6"/>
      <c r="AH637" s="6"/>
      <c r="AI637" s="7"/>
      <c r="AJ637" s="7"/>
      <c r="AK637" s="7"/>
      <c r="AL637" s="7"/>
      <c r="AM637" s="7"/>
      <c r="AN637" s="7"/>
      <c r="AO637" s="7"/>
      <c r="AP637" s="7"/>
      <c r="AQ637" s="7"/>
      <c r="AR637" s="7"/>
      <c r="AS637" s="7"/>
      <c r="AT637" s="7"/>
      <c r="AU637" s="7"/>
      <c r="AV637" s="7"/>
      <c r="AW637" s="7"/>
      <c r="AX637" s="7"/>
      <c r="AY637" s="7"/>
      <c r="AZ637" s="7"/>
    </row>
    <row r="638" customFormat="false" ht="150" hidden="false" customHeight="true" outlineLevel="0" collapsed="false">
      <c r="A638" s="6" t="s">
        <v>3368</v>
      </c>
      <c r="B638" s="6" t="s">
        <v>3201</v>
      </c>
      <c r="C638" s="6" t="s">
        <v>3150</v>
      </c>
      <c r="D638" s="6" t="s">
        <v>96</v>
      </c>
      <c r="E638" s="6" t="s">
        <v>97</v>
      </c>
      <c r="F638" s="6"/>
      <c r="G638" s="6" t="s">
        <v>79</v>
      </c>
      <c r="H638" s="6" t="s">
        <v>452</v>
      </c>
      <c r="I638" s="6" t="s">
        <v>373</v>
      </c>
      <c r="J638" s="6"/>
      <c r="K638" s="6"/>
      <c r="L638" s="6"/>
      <c r="M638" s="6"/>
      <c r="N638" s="6"/>
      <c r="O638" s="6"/>
      <c r="P638" s="6"/>
      <c r="Q638" s="6"/>
      <c r="R638" s="6"/>
      <c r="S638" s="6"/>
      <c r="T638" s="6"/>
      <c r="U638" s="6"/>
      <c r="V638" s="6"/>
      <c r="W638" s="6"/>
      <c r="X638" s="6"/>
      <c r="Y638" s="6"/>
      <c r="Z638" s="6"/>
      <c r="AA638" s="6" t="s">
        <v>89</v>
      </c>
      <c r="AB638" s="6" t="s">
        <v>3369</v>
      </c>
      <c r="AC638" s="6" t="s">
        <v>3370</v>
      </c>
      <c r="AD638" s="6" t="s">
        <v>3371</v>
      </c>
      <c r="AE638" s="6" t="s">
        <v>382</v>
      </c>
      <c r="AF638" s="6" t="s">
        <v>3372</v>
      </c>
      <c r="AG638" s="6"/>
      <c r="AH638" s="6"/>
      <c r="AI638" s="7"/>
      <c r="AJ638" s="7"/>
      <c r="AK638" s="7"/>
      <c r="AL638" s="7"/>
      <c r="AM638" s="7"/>
      <c r="AN638" s="7"/>
      <c r="AO638" s="7"/>
      <c r="AP638" s="7"/>
      <c r="AQ638" s="7"/>
      <c r="AR638" s="7"/>
      <c r="AS638" s="7"/>
      <c r="AT638" s="7"/>
      <c r="AU638" s="7"/>
      <c r="AV638" s="7"/>
      <c r="AW638" s="7"/>
      <c r="AX638" s="7"/>
      <c r="AY638" s="7"/>
      <c r="AZ638" s="7"/>
    </row>
    <row r="639" customFormat="false" ht="150" hidden="false" customHeight="true" outlineLevel="0" collapsed="false">
      <c r="A639" s="6" t="s">
        <v>3373</v>
      </c>
      <c r="B639" s="6" t="s">
        <v>3201</v>
      </c>
      <c r="C639" s="6" t="s">
        <v>3150</v>
      </c>
      <c r="D639" s="6" t="s">
        <v>96</v>
      </c>
      <c r="E639" s="6" t="s">
        <v>97</v>
      </c>
      <c r="F639" s="6"/>
      <c r="G639" s="6" t="s">
        <v>165</v>
      </c>
      <c r="H639" s="6" t="s">
        <v>408</v>
      </c>
      <c r="I639" s="6" t="s">
        <v>81</v>
      </c>
      <c r="J639" s="6"/>
      <c r="K639" s="6"/>
      <c r="L639" s="6"/>
      <c r="M639" s="6"/>
      <c r="N639" s="6"/>
      <c r="O639" s="6"/>
      <c r="P639" s="6"/>
      <c r="Q639" s="6"/>
      <c r="R639" s="6"/>
      <c r="S639" s="6"/>
      <c r="T639" s="6"/>
      <c r="U639" s="6"/>
      <c r="V639" s="6"/>
      <c r="W639" s="6"/>
      <c r="X639" s="6"/>
      <c r="Y639" s="6"/>
      <c r="Z639" s="6"/>
      <c r="AA639" s="6" t="s">
        <v>89</v>
      </c>
      <c r="AB639" s="6" t="s">
        <v>3374</v>
      </c>
      <c r="AC639" s="6" t="s">
        <v>3375</v>
      </c>
      <c r="AD639" s="6" t="s">
        <v>3376</v>
      </c>
      <c r="AE639" s="6" t="s">
        <v>3377</v>
      </c>
      <c r="AF639" s="6" t="s">
        <v>3378</v>
      </c>
      <c r="AG639" s="6"/>
      <c r="AH639" s="6"/>
      <c r="AI639" s="7"/>
      <c r="AJ639" s="7"/>
      <c r="AK639" s="7"/>
      <c r="AL639" s="7"/>
      <c r="AM639" s="7"/>
      <c r="AN639" s="7"/>
      <c r="AO639" s="7"/>
      <c r="AP639" s="7"/>
      <c r="AQ639" s="7"/>
      <c r="AR639" s="7"/>
      <c r="AS639" s="7"/>
      <c r="AT639" s="7"/>
      <c r="AU639" s="7"/>
      <c r="AV639" s="7"/>
      <c r="AW639" s="7"/>
      <c r="AX639" s="7"/>
      <c r="AY639" s="7"/>
      <c r="AZ639" s="7"/>
    </row>
    <row r="640" customFormat="false" ht="150" hidden="false" customHeight="true" outlineLevel="0" collapsed="false">
      <c r="A640" s="6" t="s">
        <v>3379</v>
      </c>
      <c r="B640" s="6" t="s">
        <v>3201</v>
      </c>
      <c r="C640" s="6" t="s">
        <v>3150</v>
      </c>
      <c r="D640" s="6" t="s">
        <v>77</v>
      </c>
      <c r="E640" s="6" t="s">
        <v>78</v>
      </c>
      <c r="F640" s="6"/>
      <c r="G640" s="6" t="s">
        <v>79</v>
      </c>
      <c r="H640" s="6" t="s">
        <v>2725</v>
      </c>
      <c r="I640" s="6" t="s">
        <v>81</v>
      </c>
      <c r="J640" s="6"/>
      <c r="K640" s="6"/>
      <c r="L640" s="6"/>
      <c r="M640" s="6"/>
      <c r="N640" s="6"/>
      <c r="O640" s="6"/>
      <c r="P640" s="6"/>
      <c r="Q640" s="6"/>
      <c r="R640" s="6"/>
      <c r="S640" s="6"/>
      <c r="T640" s="6"/>
      <c r="U640" s="6"/>
      <c r="V640" s="6"/>
      <c r="W640" s="6"/>
      <c r="X640" s="6"/>
      <c r="Y640" s="6"/>
      <c r="Z640" s="6"/>
      <c r="AA640" s="6" t="s">
        <v>89</v>
      </c>
      <c r="AB640" s="6" t="s">
        <v>3380</v>
      </c>
      <c r="AC640" s="6" t="s">
        <v>3381</v>
      </c>
      <c r="AD640" s="6" t="s">
        <v>3382</v>
      </c>
      <c r="AE640" s="6" t="s">
        <v>3383</v>
      </c>
      <c r="AF640" s="6" t="s">
        <v>3384</v>
      </c>
      <c r="AG640" s="6"/>
      <c r="AH640" s="6"/>
      <c r="AI640" s="7"/>
      <c r="AJ640" s="7"/>
      <c r="AK640" s="7"/>
      <c r="AL640" s="7"/>
      <c r="AM640" s="7"/>
      <c r="AN640" s="7"/>
      <c r="AO640" s="7"/>
      <c r="AP640" s="7"/>
      <c r="AQ640" s="7"/>
      <c r="AR640" s="7"/>
      <c r="AS640" s="7"/>
      <c r="AT640" s="7"/>
      <c r="AU640" s="7"/>
      <c r="AV640" s="7"/>
      <c r="AW640" s="7"/>
      <c r="AX640" s="7"/>
      <c r="AY640" s="7"/>
      <c r="AZ640" s="7"/>
    </row>
    <row r="641" customFormat="false" ht="150" hidden="false" customHeight="true" outlineLevel="0" collapsed="false">
      <c r="A641" s="6" t="s">
        <v>3385</v>
      </c>
      <c r="B641" s="6" t="s">
        <v>3201</v>
      </c>
      <c r="C641" s="6" t="s">
        <v>3150</v>
      </c>
      <c r="D641" s="6" t="s">
        <v>77</v>
      </c>
      <c r="E641" s="6" t="s">
        <v>78</v>
      </c>
      <c r="F641" s="6"/>
      <c r="G641" s="6" t="s">
        <v>79</v>
      </c>
      <c r="H641" s="6" t="s">
        <v>491</v>
      </c>
      <c r="I641" s="6" t="s">
        <v>492</v>
      </c>
      <c r="J641" s="6"/>
      <c r="K641" s="6"/>
      <c r="L641" s="6"/>
      <c r="M641" s="6"/>
      <c r="N641" s="6"/>
      <c r="O641" s="6"/>
      <c r="P641" s="6"/>
      <c r="Q641" s="6"/>
      <c r="R641" s="6"/>
      <c r="S641" s="6"/>
      <c r="T641" s="6"/>
      <c r="U641" s="6"/>
      <c r="V641" s="6"/>
      <c r="W641" s="6"/>
      <c r="X641" s="6"/>
      <c r="Y641" s="6"/>
      <c r="Z641" s="6"/>
      <c r="AA641" s="6" t="s">
        <v>89</v>
      </c>
      <c r="AB641" s="6" t="s">
        <v>3386</v>
      </c>
      <c r="AC641" s="6" t="s">
        <v>3387</v>
      </c>
      <c r="AD641" s="6" t="s">
        <v>3388</v>
      </c>
      <c r="AE641" s="6" t="s">
        <v>3389</v>
      </c>
      <c r="AF641" s="6" t="s">
        <v>3390</v>
      </c>
      <c r="AG641" s="6"/>
      <c r="AH641" s="6"/>
      <c r="AI641" s="7"/>
      <c r="AJ641" s="7"/>
      <c r="AK641" s="7"/>
      <c r="AL641" s="7"/>
      <c r="AM641" s="7"/>
      <c r="AN641" s="7"/>
      <c r="AO641" s="7"/>
      <c r="AP641" s="7"/>
      <c r="AQ641" s="7"/>
      <c r="AR641" s="7"/>
      <c r="AS641" s="7"/>
      <c r="AT641" s="7"/>
      <c r="AU641" s="7"/>
      <c r="AV641" s="7"/>
      <c r="AW641" s="7"/>
      <c r="AX641" s="7"/>
      <c r="AY641" s="7"/>
      <c r="AZ641" s="7"/>
    </row>
    <row r="642" customFormat="false" ht="150" hidden="false" customHeight="true" outlineLevel="0" collapsed="false">
      <c r="A642" s="6" t="s">
        <v>3391</v>
      </c>
      <c r="B642" s="6" t="s">
        <v>3201</v>
      </c>
      <c r="C642" s="6" t="s">
        <v>3150</v>
      </c>
      <c r="D642" s="6" t="s">
        <v>123</v>
      </c>
      <c r="E642" s="6" t="s">
        <v>124</v>
      </c>
      <c r="F642" s="6"/>
      <c r="G642" s="6" t="s">
        <v>165</v>
      </c>
      <c r="H642" s="6" t="s">
        <v>372</v>
      </c>
      <c r="I642" s="6" t="s">
        <v>81</v>
      </c>
      <c r="J642" s="6"/>
      <c r="K642" s="6"/>
      <c r="L642" s="6"/>
      <c r="M642" s="6"/>
      <c r="N642" s="6"/>
      <c r="O642" s="6"/>
      <c r="P642" s="6"/>
      <c r="Q642" s="6"/>
      <c r="R642" s="6"/>
      <c r="S642" s="6"/>
      <c r="T642" s="6"/>
      <c r="U642" s="6"/>
      <c r="V642" s="6"/>
      <c r="W642" s="6"/>
      <c r="X642" s="6"/>
      <c r="Y642" s="6"/>
      <c r="Z642" s="6"/>
      <c r="AA642" s="6" t="s">
        <v>89</v>
      </c>
      <c r="AB642" s="6" t="s">
        <v>3392</v>
      </c>
      <c r="AC642" s="6" t="s">
        <v>3393</v>
      </c>
      <c r="AD642" s="6" t="s">
        <v>3394</v>
      </c>
      <c r="AE642" s="6" t="s">
        <v>3395</v>
      </c>
      <c r="AF642" s="6" t="s">
        <v>3396</v>
      </c>
      <c r="AG642" s="6"/>
      <c r="AH642" s="6"/>
      <c r="AI642" s="7"/>
      <c r="AJ642" s="7"/>
      <c r="AK642" s="7"/>
      <c r="AL642" s="7"/>
      <c r="AM642" s="7"/>
      <c r="AN642" s="7"/>
      <c r="AO642" s="7"/>
      <c r="AP642" s="7"/>
      <c r="AQ642" s="7"/>
      <c r="AR642" s="7"/>
      <c r="AS642" s="7"/>
      <c r="AT642" s="7"/>
      <c r="AU642" s="7"/>
      <c r="AV642" s="7"/>
      <c r="AW642" s="7"/>
      <c r="AX642" s="7"/>
      <c r="AY642" s="7"/>
      <c r="AZ642" s="7"/>
    </row>
    <row r="643" customFormat="false" ht="150" hidden="false" customHeight="true" outlineLevel="0" collapsed="false">
      <c r="A643" s="6" t="s">
        <v>3397</v>
      </c>
      <c r="B643" s="6" t="s">
        <v>3201</v>
      </c>
      <c r="C643" s="6" t="s">
        <v>3150</v>
      </c>
      <c r="D643" s="6" t="s">
        <v>110</v>
      </c>
      <c r="E643" s="6" t="s">
        <v>111</v>
      </c>
      <c r="F643" s="6"/>
      <c r="G643" s="6" t="s">
        <v>165</v>
      </c>
      <c r="H643" s="6" t="s">
        <v>431</v>
      </c>
      <c r="I643" s="6" t="s">
        <v>432</v>
      </c>
      <c r="J643" s="6"/>
      <c r="K643" s="6"/>
      <c r="L643" s="6"/>
      <c r="M643" s="6"/>
      <c r="N643" s="6"/>
      <c r="O643" s="6"/>
      <c r="P643" s="6"/>
      <c r="Q643" s="6"/>
      <c r="R643" s="6"/>
      <c r="S643" s="6"/>
      <c r="T643" s="6"/>
      <c r="U643" s="6"/>
      <c r="V643" s="6"/>
      <c r="W643" s="6"/>
      <c r="X643" s="6"/>
      <c r="Y643" s="6"/>
      <c r="Z643" s="6"/>
      <c r="AA643" s="6" t="s">
        <v>89</v>
      </c>
      <c r="AB643" s="6" t="s">
        <v>3398</v>
      </c>
      <c r="AC643" s="6" t="s">
        <v>3399</v>
      </c>
      <c r="AD643" s="6" t="s">
        <v>3400</v>
      </c>
      <c r="AE643" s="6" t="s">
        <v>3401</v>
      </c>
      <c r="AF643" s="6" t="s">
        <v>3402</v>
      </c>
      <c r="AG643" s="6"/>
      <c r="AH643" s="6"/>
      <c r="AI643" s="7"/>
      <c r="AJ643" s="7"/>
      <c r="AK643" s="7"/>
      <c r="AL643" s="7"/>
      <c r="AM643" s="7"/>
      <c r="AN643" s="7"/>
      <c r="AO643" s="7"/>
      <c r="AP643" s="7"/>
      <c r="AQ643" s="7"/>
      <c r="AR643" s="7"/>
      <c r="AS643" s="7"/>
      <c r="AT643" s="7"/>
      <c r="AU643" s="7"/>
      <c r="AV643" s="7"/>
      <c r="AW643" s="7"/>
      <c r="AX643" s="7"/>
      <c r="AY643" s="7"/>
      <c r="AZ643" s="7"/>
    </row>
    <row r="644" customFormat="false" ht="150" hidden="false" customHeight="true" outlineLevel="0" collapsed="false">
      <c r="A644" s="6" t="s">
        <v>3403</v>
      </c>
      <c r="B644" s="6" t="s">
        <v>3201</v>
      </c>
      <c r="C644" s="6" t="s">
        <v>3150</v>
      </c>
      <c r="D644" s="6" t="s">
        <v>77</v>
      </c>
      <c r="E644" s="6" t="s">
        <v>78</v>
      </c>
      <c r="F644" s="6"/>
      <c r="G644" s="6" t="s">
        <v>165</v>
      </c>
      <c r="H644" s="6" t="s">
        <v>491</v>
      </c>
      <c r="I644" s="6" t="s">
        <v>492</v>
      </c>
      <c r="J644" s="6"/>
      <c r="K644" s="6"/>
      <c r="L644" s="6"/>
      <c r="M644" s="6"/>
      <c r="N644" s="6"/>
      <c r="O644" s="6"/>
      <c r="P644" s="6"/>
      <c r="Q644" s="6"/>
      <c r="R644" s="6"/>
      <c r="S644" s="6"/>
      <c r="T644" s="6"/>
      <c r="U644" s="6"/>
      <c r="V644" s="6"/>
      <c r="W644" s="6"/>
      <c r="X644" s="6"/>
      <c r="Y644" s="6" t="s">
        <v>3404</v>
      </c>
      <c r="Z644" s="6" t="s">
        <v>3405</v>
      </c>
      <c r="AA644" s="6" t="s">
        <v>89</v>
      </c>
      <c r="AB644" s="6" t="s">
        <v>3406</v>
      </c>
      <c r="AC644" s="6" t="s">
        <v>3407</v>
      </c>
      <c r="AD644" s="6" t="s">
        <v>3408</v>
      </c>
      <c r="AE644" s="6" t="s">
        <v>3409</v>
      </c>
      <c r="AF644" s="6" t="s">
        <v>3410</v>
      </c>
      <c r="AG644" s="6"/>
      <c r="AH644" s="6"/>
      <c r="AI644" s="7"/>
      <c r="AJ644" s="7"/>
      <c r="AK644" s="7"/>
      <c r="AL644" s="7"/>
      <c r="AM644" s="7"/>
      <c r="AN644" s="7"/>
      <c r="AO644" s="7"/>
      <c r="AP644" s="7"/>
      <c r="AQ644" s="7"/>
      <c r="AR644" s="7"/>
      <c r="AS644" s="7"/>
      <c r="AT644" s="7"/>
      <c r="AU644" s="7"/>
      <c r="AV644" s="7"/>
      <c r="AW644" s="7"/>
      <c r="AX644" s="7"/>
      <c r="AY644" s="7"/>
      <c r="AZ644" s="7"/>
    </row>
    <row r="645" customFormat="false" ht="150" hidden="false" customHeight="true" outlineLevel="0" collapsed="false">
      <c r="A645" s="6" t="s">
        <v>3411</v>
      </c>
      <c r="B645" s="6" t="s">
        <v>3201</v>
      </c>
      <c r="C645" s="6" t="s">
        <v>3150</v>
      </c>
      <c r="D645" s="6" t="s">
        <v>145</v>
      </c>
      <c r="E645" s="6" t="s">
        <v>146</v>
      </c>
      <c r="F645" s="6"/>
      <c r="G645" s="6" t="s">
        <v>98</v>
      </c>
      <c r="H645" s="6" t="s">
        <v>431</v>
      </c>
      <c r="I645" s="6" t="s">
        <v>432</v>
      </c>
      <c r="J645" s="6"/>
      <c r="K645" s="6"/>
      <c r="L645" s="6"/>
      <c r="M645" s="6"/>
      <c r="N645" s="6"/>
      <c r="O645" s="6"/>
      <c r="P645" s="6"/>
      <c r="Q645" s="6"/>
      <c r="R645" s="6"/>
      <c r="S645" s="6" t="s">
        <v>134</v>
      </c>
      <c r="T645" s="6" t="s">
        <v>83</v>
      </c>
      <c r="U645" s="6" t="s">
        <v>83</v>
      </c>
      <c r="V645" s="6" t="s">
        <v>3412</v>
      </c>
      <c r="W645" s="6" t="s">
        <v>3413</v>
      </c>
      <c r="X645" s="6" t="s">
        <v>3414</v>
      </c>
      <c r="Y645" s="6"/>
      <c r="Z645" s="6"/>
      <c r="AA645" s="6" t="s">
        <v>89</v>
      </c>
      <c r="AB645" s="6" t="s">
        <v>3415</v>
      </c>
      <c r="AC645" s="6" t="s">
        <v>3416</v>
      </c>
      <c r="AD645" s="6" t="s">
        <v>3417</v>
      </c>
      <c r="AE645" s="6" t="s">
        <v>3418</v>
      </c>
      <c r="AF645" s="6" t="s">
        <v>3419</v>
      </c>
      <c r="AG645" s="6"/>
      <c r="AH645" s="6"/>
      <c r="AI645" s="7"/>
      <c r="AJ645" s="7"/>
      <c r="AK645" s="7"/>
      <c r="AL645" s="7"/>
      <c r="AM645" s="7"/>
      <c r="AN645" s="7"/>
      <c r="AO645" s="7"/>
      <c r="AP645" s="7"/>
      <c r="AQ645" s="7"/>
      <c r="AR645" s="7"/>
      <c r="AS645" s="7"/>
      <c r="AT645" s="7"/>
      <c r="AU645" s="7"/>
      <c r="AV645" s="7"/>
      <c r="AW645" s="7"/>
      <c r="AX645" s="7"/>
      <c r="AY645" s="7"/>
      <c r="AZ645" s="7"/>
    </row>
    <row r="646" customFormat="false" ht="150" hidden="false" customHeight="true" outlineLevel="0" collapsed="false">
      <c r="A646" s="6" t="s">
        <v>3420</v>
      </c>
      <c r="B646" s="6" t="s">
        <v>3201</v>
      </c>
      <c r="C646" s="6" t="s">
        <v>3150</v>
      </c>
      <c r="D646" s="6" t="s">
        <v>110</v>
      </c>
      <c r="E646" s="6" t="s">
        <v>111</v>
      </c>
      <c r="F646" s="6"/>
      <c r="G646" s="6" t="s">
        <v>165</v>
      </c>
      <c r="H646" s="6" t="s">
        <v>372</v>
      </c>
      <c r="I646" s="6" t="s">
        <v>373</v>
      </c>
      <c r="J646" s="6"/>
      <c r="K646" s="6"/>
      <c r="L646" s="6"/>
      <c r="M646" s="6"/>
      <c r="N646" s="6"/>
      <c r="O646" s="6"/>
      <c r="P646" s="6"/>
      <c r="Q646" s="6"/>
      <c r="R646" s="6"/>
      <c r="S646" s="6" t="s">
        <v>727</v>
      </c>
      <c r="T646" s="6" t="s">
        <v>83</v>
      </c>
      <c r="U646" s="6"/>
      <c r="V646" s="6" t="s">
        <v>3421</v>
      </c>
      <c r="W646" s="6" t="s">
        <v>3422</v>
      </c>
      <c r="X646" s="6" t="s">
        <v>3423</v>
      </c>
      <c r="Y646" s="6"/>
      <c r="Z646" s="6"/>
      <c r="AA646" s="6" t="s">
        <v>89</v>
      </c>
      <c r="AB646" s="6" t="s">
        <v>3424</v>
      </c>
      <c r="AC646" s="6" t="s">
        <v>3425</v>
      </c>
      <c r="AD646" s="6" t="s">
        <v>3426</v>
      </c>
      <c r="AE646" s="6" t="s">
        <v>428</v>
      </c>
      <c r="AF646" s="6" t="s">
        <v>3427</v>
      </c>
      <c r="AG646" s="6"/>
      <c r="AH646" s="6"/>
      <c r="AI646" s="7"/>
      <c r="AJ646" s="7"/>
      <c r="AK646" s="7"/>
      <c r="AL646" s="7"/>
      <c r="AM646" s="7"/>
      <c r="AN646" s="7"/>
      <c r="AO646" s="7"/>
      <c r="AP646" s="7"/>
      <c r="AQ646" s="7"/>
      <c r="AR646" s="7"/>
      <c r="AS646" s="7"/>
      <c r="AT646" s="7"/>
      <c r="AU646" s="7"/>
      <c r="AV646" s="7"/>
      <c r="AW646" s="7"/>
      <c r="AX646" s="7"/>
      <c r="AY646" s="7"/>
      <c r="AZ646" s="7"/>
    </row>
    <row r="647" customFormat="false" ht="150" hidden="false" customHeight="true" outlineLevel="0" collapsed="false">
      <c r="A647" s="6" t="s">
        <v>3428</v>
      </c>
      <c r="B647" s="6" t="s">
        <v>3201</v>
      </c>
      <c r="C647" s="6" t="s">
        <v>3150</v>
      </c>
      <c r="D647" s="6" t="s">
        <v>132</v>
      </c>
      <c r="E647" s="6" t="s">
        <v>133</v>
      </c>
      <c r="F647" s="6"/>
      <c r="G647" s="6" t="s">
        <v>98</v>
      </c>
      <c r="H647" s="6" t="s">
        <v>2725</v>
      </c>
      <c r="I647" s="6" t="s">
        <v>81</v>
      </c>
      <c r="J647" s="6"/>
      <c r="K647" s="6"/>
      <c r="L647" s="6"/>
      <c r="M647" s="6"/>
      <c r="N647" s="6"/>
      <c r="O647" s="6"/>
      <c r="P647" s="6"/>
      <c r="Q647" s="6"/>
      <c r="R647" s="6"/>
      <c r="S647" s="6"/>
      <c r="T647" s="6"/>
      <c r="U647" s="6"/>
      <c r="V647" s="6"/>
      <c r="W647" s="6"/>
      <c r="X647" s="6"/>
      <c r="Y647" s="6"/>
      <c r="Z647" s="6"/>
      <c r="AA647" s="6" t="s">
        <v>89</v>
      </c>
      <c r="AB647" s="6" t="s">
        <v>3429</v>
      </c>
      <c r="AC647" s="6" t="s">
        <v>3430</v>
      </c>
      <c r="AD647" s="6" t="s">
        <v>3431</v>
      </c>
      <c r="AE647" s="6" t="s">
        <v>3432</v>
      </c>
      <c r="AF647" s="6" t="s">
        <v>3433</v>
      </c>
      <c r="AG647" s="6"/>
      <c r="AH647" s="6"/>
      <c r="AI647" s="7"/>
      <c r="AJ647" s="7"/>
      <c r="AK647" s="7"/>
      <c r="AL647" s="7"/>
      <c r="AM647" s="7"/>
      <c r="AN647" s="7"/>
      <c r="AO647" s="7"/>
      <c r="AP647" s="7"/>
      <c r="AQ647" s="7"/>
      <c r="AR647" s="7"/>
      <c r="AS647" s="7"/>
      <c r="AT647" s="7"/>
      <c r="AU647" s="7"/>
      <c r="AV647" s="7"/>
      <c r="AW647" s="7"/>
      <c r="AX647" s="7"/>
      <c r="AY647" s="7"/>
      <c r="AZ647" s="7"/>
    </row>
    <row r="648" customFormat="false" ht="150" hidden="false" customHeight="true" outlineLevel="0" collapsed="false">
      <c r="A648" s="6" t="s">
        <v>3434</v>
      </c>
      <c r="B648" s="6" t="s">
        <v>3201</v>
      </c>
      <c r="C648" s="6" t="s">
        <v>3150</v>
      </c>
      <c r="D648" s="6" t="s">
        <v>96</v>
      </c>
      <c r="E648" s="6" t="s">
        <v>97</v>
      </c>
      <c r="F648" s="6"/>
      <c r="G648" s="6" t="s">
        <v>165</v>
      </c>
      <c r="H648" s="6" t="s">
        <v>372</v>
      </c>
      <c r="I648" s="6" t="s">
        <v>81</v>
      </c>
      <c r="J648" s="6"/>
      <c r="K648" s="6"/>
      <c r="L648" s="6"/>
      <c r="M648" s="6"/>
      <c r="N648" s="6"/>
      <c r="O648" s="6"/>
      <c r="P648" s="6"/>
      <c r="Q648" s="6"/>
      <c r="R648" s="6"/>
      <c r="S648" s="6" t="s">
        <v>386</v>
      </c>
      <c r="T648" s="6" t="s">
        <v>83</v>
      </c>
      <c r="U648" s="6"/>
      <c r="V648" s="6" t="s">
        <v>3435</v>
      </c>
      <c r="W648" s="6" t="s">
        <v>3436</v>
      </c>
      <c r="X648" s="6" t="s">
        <v>3437</v>
      </c>
      <c r="Y648" s="6"/>
      <c r="Z648" s="6"/>
      <c r="AA648" s="6" t="s">
        <v>89</v>
      </c>
      <c r="AB648" s="6" t="s">
        <v>3438</v>
      </c>
      <c r="AC648" s="6" t="s">
        <v>3439</v>
      </c>
      <c r="AD648" s="6" t="s">
        <v>3440</v>
      </c>
      <c r="AE648" s="6" t="s">
        <v>3441</v>
      </c>
      <c r="AF648" s="6" t="s">
        <v>3442</v>
      </c>
      <c r="AG648" s="6"/>
      <c r="AH648" s="6"/>
      <c r="AI648" s="7"/>
      <c r="AJ648" s="7"/>
      <c r="AK648" s="7"/>
      <c r="AL648" s="7"/>
      <c r="AM648" s="7"/>
      <c r="AN648" s="7"/>
      <c r="AO648" s="7"/>
      <c r="AP648" s="7"/>
      <c r="AQ648" s="7"/>
      <c r="AR648" s="7"/>
      <c r="AS648" s="7"/>
      <c r="AT648" s="7"/>
      <c r="AU648" s="7"/>
      <c r="AV648" s="7"/>
      <c r="AW648" s="7"/>
      <c r="AX648" s="7"/>
      <c r="AY648" s="7"/>
      <c r="AZ648" s="7"/>
    </row>
    <row r="649" customFormat="false" ht="150" hidden="false" customHeight="true" outlineLevel="0" collapsed="false">
      <c r="A649" s="6" t="s">
        <v>3443</v>
      </c>
      <c r="B649" s="6" t="s">
        <v>3201</v>
      </c>
      <c r="C649" s="6" t="s">
        <v>3150</v>
      </c>
      <c r="D649" s="6" t="s">
        <v>110</v>
      </c>
      <c r="E649" s="6" t="s">
        <v>111</v>
      </c>
      <c r="F649" s="6"/>
      <c r="G649" s="6" t="s">
        <v>165</v>
      </c>
      <c r="H649" s="6" t="s">
        <v>372</v>
      </c>
      <c r="I649" s="6" t="s">
        <v>373</v>
      </c>
      <c r="J649" s="6"/>
      <c r="K649" s="6"/>
      <c r="L649" s="6"/>
      <c r="M649" s="6"/>
      <c r="N649" s="6"/>
      <c r="O649" s="6"/>
      <c r="P649" s="6"/>
      <c r="Q649" s="6"/>
      <c r="R649" s="6"/>
      <c r="S649" s="6" t="s">
        <v>375</v>
      </c>
      <c r="T649" s="6" t="s">
        <v>83</v>
      </c>
      <c r="U649" s="6"/>
      <c r="V649" s="6" t="s">
        <v>3444</v>
      </c>
      <c r="W649" s="6" t="s">
        <v>3445</v>
      </c>
      <c r="X649" s="6" t="s">
        <v>3446</v>
      </c>
      <c r="Y649" s="6"/>
      <c r="Z649" s="6"/>
      <c r="AA649" s="6" t="s">
        <v>89</v>
      </c>
      <c r="AB649" s="6" t="s">
        <v>3447</v>
      </c>
      <c r="AC649" s="6" t="s">
        <v>3448</v>
      </c>
      <c r="AD649" s="6" t="s">
        <v>3449</v>
      </c>
      <c r="AE649" s="6" t="s">
        <v>428</v>
      </c>
      <c r="AF649" s="6" t="s">
        <v>3450</v>
      </c>
      <c r="AG649" s="6"/>
      <c r="AH649" s="6"/>
      <c r="AI649" s="7"/>
      <c r="AJ649" s="7"/>
      <c r="AK649" s="7"/>
      <c r="AL649" s="7"/>
      <c r="AM649" s="7"/>
      <c r="AN649" s="7"/>
      <c r="AO649" s="7"/>
      <c r="AP649" s="7"/>
      <c r="AQ649" s="7"/>
      <c r="AR649" s="7"/>
      <c r="AS649" s="7"/>
      <c r="AT649" s="7"/>
      <c r="AU649" s="7"/>
      <c r="AV649" s="7"/>
      <c r="AW649" s="7"/>
      <c r="AX649" s="7"/>
      <c r="AY649" s="7"/>
      <c r="AZ649" s="7"/>
    </row>
    <row r="650" customFormat="false" ht="150" hidden="false" customHeight="true" outlineLevel="0" collapsed="false">
      <c r="A650" s="6" t="s">
        <v>3451</v>
      </c>
      <c r="B650" s="6" t="s">
        <v>3201</v>
      </c>
      <c r="C650" s="6" t="s">
        <v>3150</v>
      </c>
      <c r="D650" s="6" t="s">
        <v>145</v>
      </c>
      <c r="E650" s="6" t="s">
        <v>146</v>
      </c>
      <c r="F650" s="6"/>
      <c r="G650" s="6" t="s">
        <v>98</v>
      </c>
      <c r="H650" s="6" t="s">
        <v>408</v>
      </c>
      <c r="I650" s="6" t="s">
        <v>409</v>
      </c>
      <c r="J650" s="6"/>
      <c r="K650" s="6"/>
      <c r="L650" s="6"/>
      <c r="M650" s="6"/>
      <c r="N650" s="6"/>
      <c r="O650" s="6"/>
      <c r="P650" s="6"/>
      <c r="Q650" s="6"/>
      <c r="R650" s="6"/>
      <c r="S650" s="6" t="s">
        <v>933</v>
      </c>
      <c r="T650" s="6" t="s">
        <v>83</v>
      </c>
      <c r="U650" s="6"/>
      <c r="V650" s="6" t="s">
        <v>3452</v>
      </c>
      <c r="W650" s="6" t="s">
        <v>935</v>
      </c>
      <c r="X650" s="6" t="s">
        <v>3453</v>
      </c>
      <c r="Y650" s="6"/>
      <c r="Z650" s="6"/>
      <c r="AA650" s="6" t="s">
        <v>89</v>
      </c>
      <c r="AB650" s="6" t="s">
        <v>3454</v>
      </c>
      <c r="AC650" s="6" t="s">
        <v>3455</v>
      </c>
      <c r="AD650" s="6"/>
      <c r="AE650" s="6"/>
      <c r="AF650" s="6"/>
      <c r="AG650" s="6" t="s">
        <v>3456</v>
      </c>
      <c r="AH650" s="6" t="s">
        <v>3457</v>
      </c>
      <c r="AI650" s="7"/>
      <c r="AJ650" s="7"/>
      <c r="AK650" s="7"/>
      <c r="AL650" s="7"/>
      <c r="AM650" s="7"/>
      <c r="AN650" s="7"/>
      <c r="AO650" s="7"/>
      <c r="AP650" s="7"/>
      <c r="AQ650" s="7"/>
      <c r="AR650" s="7"/>
      <c r="AS650" s="7"/>
      <c r="AT650" s="7"/>
      <c r="AU650" s="7"/>
      <c r="AV650" s="7"/>
      <c r="AW650" s="7"/>
      <c r="AX650" s="7"/>
      <c r="AY650" s="7"/>
      <c r="AZ650" s="7"/>
    </row>
    <row r="651" customFormat="false" ht="150" hidden="false" customHeight="true" outlineLevel="0" collapsed="false">
      <c r="A651" s="6" t="s">
        <v>3458</v>
      </c>
      <c r="B651" s="6" t="s">
        <v>3201</v>
      </c>
      <c r="C651" s="6" t="s">
        <v>3150</v>
      </c>
      <c r="D651" s="6" t="s">
        <v>123</v>
      </c>
      <c r="E651" s="6" t="s">
        <v>124</v>
      </c>
      <c r="F651" s="6"/>
      <c r="G651" s="6" t="s">
        <v>79</v>
      </c>
      <c r="H651" s="6" t="s">
        <v>491</v>
      </c>
      <c r="I651" s="6" t="s">
        <v>492</v>
      </c>
      <c r="J651" s="6"/>
      <c r="K651" s="6"/>
      <c r="L651" s="6"/>
      <c r="M651" s="6"/>
      <c r="N651" s="6"/>
      <c r="O651" s="6"/>
      <c r="P651" s="6"/>
      <c r="Q651" s="6"/>
      <c r="R651" s="6"/>
      <c r="S651" s="6"/>
      <c r="T651" s="6"/>
      <c r="U651" s="6" t="s">
        <v>83</v>
      </c>
      <c r="V651" s="6"/>
      <c r="W651" s="6"/>
      <c r="X651" s="6"/>
      <c r="Y651" s="6"/>
      <c r="Z651" s="6"/>
      <c r="AA651" s="6" t="s">
        <v>89</v>
      </c>
      <c r="AB651" s="6" t="s">
        <v>3459</v>
      </c>
      <c r="AC651" s="6" t="s">
        <v>3460</v>
      </c>
      <c r="AD651" s="6" t="s">
        <v>3461</v>
      </c>
      <c r="AE651" s="6" t="s">
        <v>3462</v>
      </c>
      <c r="AF651" s="6" t="s">
        <v>3463</v>
      </c>
      <c r="AG651" s="6"/>
      <c r="AH651" s="6"/>
      <c r="AI651" s="7"/>
      <c r="AJ651" s="7"/>
      <c r="AK651" s="7"/>
      <c r="AL651" s="7"/>
      <c r="AM651" s="7"/>
      <c r="AN651" s="7"/>
      <c r="AO651" s="7"/>
      <c r="AP651" s="7"/>
      <c r="AQ651" s="7"/>
      <c r="AR651" s="7"/>
      <c r="AS651" s="7"/>
      <c r="AT651" s="7"/>
      <c r="AU651" s="7"/>
      <c r="AV651" s="7"/>
      <c r="AW651" s="7"/>
      <c r="AX651" s="7"/>
      <c r="AY651" s="7"/>
      <c r="AZ651" s="7"/>
    </row>
    <row r="652" customFormat="false" ht="150" hidden="false" customHeight="true" outlineLevel="0" collapsed="false">
      <c r="A652" s="6" t="s">
        <v>3464</v>
      </c>
      <c r="B652" s="6" t="s">
        <v>3201</v>
      </c>
      <c r="C652" s="6" t="s">
        <v>3150</v>
      </c>
      <c r="D652" s="6" t="s">
        <v>123</v>
      </c>
      <c r="E652" s="6" t="s">
        <v>124</v>
      </c>
      <c r="F652" s="6" t="s">
        <v>3465</v>
      </c>
      <c r="G652" s="6" t="s">
        <v>165</v>
      </c>
      <c r="H652" s="6" t="s">
        <v>1062</v>
      </c>
      <c r="I652" s="6" t="s">
        <v>1063</v>
      </c>
      <c r="J652" s="6"/>
      <c r="K652" s="6"/>
      <c r="L652" s="6"/>
      <c r="M652" s="6"/>
      <c r="N652" s="6"/>
      <c r="O652" s="6"/>
      <c r="P652" s="6"/>
      <c r="Q652" s="6"/>
      <c r="R652" s="6"/>
      <c r="S652" s="6" t="s">
        <v>601</v>
      </c>
      <c r="T652" s="6" t="s">
        <v>83</v>
      </c>
      <c r="U652" s="6" t="s">
        <v>83</v>
      </c>
      <c r="V652" s="6" t="s">
        <v>3466</v>
      </c>
      <c r="W652" s="6" t="s">
        <v>3467</v>
      </c>
      <c r="X652" s="6" t="s">
        <v>3468</v>
      </c>
      <c r="Y652" s="6"/>
      <c r="Z652" s="6"/>
      <c r="AA652" s="6" t="s">
        <v>89</v>
      </c>
      <c r="AB652" s="6" t="s">
        <v>3469</v>
      </c>
      <c r="AC652" s="6" t="s">
        <v>3470</v>
      </c>
      <c r="AD652" s="6" t="s">
        <v>3471</v>
      </c>
      <c r="AE652" s="6" t="s">
        <v>3472</v>
      </c>
      <c r="AF652" s="6"/>
      <c r="AG652" s="6"/>
      <c r="AH652" s="6"/>
      <c r="AI652" s="7"/>
      <c r="AJ652" s="7"/>
      <c r="AK652" s="7"/>
      <c r="AL652" s="7"/>
      <c r="AM652" s="7"/>
      <c r="AN652" s="7"/>
      <c r="AO652" s="7"/>
      <c r="AP652" s="7"/>
      <c r="AQ652" s="7"/>
      <c r="AR652" s="7"/>
      <c r="AS652" s="7"/>
      <c r="AT652" s="7"/>
      <c r="AU652" s="7"/>
      <c r="AV652" s="7"/>
      <c r="AW652" s="7"/>
      <c r="AX652" s="7"/>
      <c r="AY652" s="7"/>
      <c r="AZ652" s="7"/>
    </row>
    <row r="653" customFormat="false" ht="150" hidden="false" customHeight="true" outlineLevel="0" collapsed="false">
      <c r="A653" s="6" t="s">
        <v>3473</v>
      </c>
      <c r="B653" s="6" t="s">
        <v>3201</v>
      </c>
      <c r="C653" s="6" t="s">
        <v>3150</v>
      </c>
      <c r="D653" s="6" t="s">
        <v>77</v>
      </c>
      <c r="E653" s="6" t="s">
        <v>78</v>
      </c>
      <c r="F653" s="6"/>
      <c r="G653" s="6" t="s">
        <v>98</v>
      </c>
      <c r="H653" s="6" t="s">
        <v>2725</v>
      </c>
      <c r="I653" s="6" t="s">
        <v>81</v>
      </c>
      <c r="J653" s="6"/>
      <c r="K653" s="6"/>
      <c r="L653" s="6"/>
      <c r="M653" s="6"/>
      <c r="N653" s="6"/>
      <c r="O653" s="6"/>
      <c r="P653" s="6"/>
      <c r="Q653" s="6"/>
      <c r="R653" s="6"/>
      <c r="S653" s="6"/>
      <c r="T653" s="6"/>
      <c r="U653" s="6"/>
      <c r="V653" s="6"/>
      <c r="W653" s="6"/>
      <c r="X653" s="6"/>
      <c r="Y653" s="6"/>
      <c r="Z653" s="6"/>
      <c r="AA653" s="6" t="s">
        <v>89</v>
      </c>
      <c r="AB653" s="6" t="s">
        <v>3474</v>
      </c>
      <c r="AC653" s="6" t="s">
        <v>3475</v>
      </c>
      <c r="AD653" s="6" t="s">
        <v>3476</v>
      </c>
      <c r="AE653" s="6" t="s">
        <v>3477</v>
      </c>
      <c r="AF653" s="6" t="s">
        <v>3478</v>
      </c>
      <c r="AG653" s="6"/>
      <c r="AH653" s="6"/>
      <c r="AI653" s="7"/>
      <c r="AJ653" s="7"/>
      <c r="AK653" s="7"/>
      <c r="AL653" s="7"/>
      <c r="AM653" s="7"/>
      <c r="AN653" s="7"/>
      <c r="AO653" s="7"/>
      <c r="AP653" s="7"/>
      <c r="AQ653" s="7"/>
      <c r="AR653" s="7"/>
      <c r="AS653" s="7"/>
      <c r="AT653" s="7"/>
      <c r="AU653" s="7"/>
      <c r="AV653" s="7"/>
      <c r="AW653" s="7"/>
      <c r="AX653" s="7"/>
      <c r="AY653" s="7"/>
      <c r="AZ653" s="7"/>
    </row>
    <row r="654" customFormat="false" ht="150" hidden="false" customHeight="true" outlineLevel="0" collapsed="false">
      <c r="A654" s="6" t="s">
        <v>3479</v>
      </c>
      <c r="B654" s="6" t="s">
        <v>3201</v>
      </c>
      <c r="C654" s="6" t="s">
        <v>3150</v>
      </c>
      <c r="D654" s="6" t="s">
        <v>96</v>
      </c>
      <c r="E654" s="6" t="s">
        <v>97</v>
      </c>
      <c r="F654" s="6"/>
      <c r="G654" s="6" t="s">
        <v>98</v>
      </c>
      <c r="H654" s="6" t="s">
        <v>372</v>
      </c>
      <c r="I654" s="6" t="s">
        <v>409</v>
      </c>
      <c r="J654" s="6"/>
      <c r="K654" s="6"/>
      <c r="L654" s="6"/>
      <c r="M654" s="6"/>
      <c r="N654" s="6"/>
      <c r="O654" s="6"/>
      <c r="P654" s="6"/>
      <c r="Q654" s="6"/>
      <c r="R654" s="6"/>
      <c r="S654" s="6"/>
      <c r="T654" s="6"/>
      <c r="U654" s="6"/>
      <c r="V654" s="6"/>
      <c r="W654" s="6"/>
      <c r="X654" s="6"/>
      <c r="Y654" s="6"/>
      <c r="Z654" s="6"/>
      <c r="AA654" s="6" t="s">
        <v>89</v>
      </c>
      <c r="AB654" s="6" t="s">
        <v>3480</v>
      </c>
      <c r="AC654" s="6" t="s">
        <v>3481</v>
      </c>
      <c r="AD654" s="6"/>
      <c r="AE654" s="6"/>
      <c r="AF654" s="6"/>
      <c r="AG654" s="6" t="s">
        <v>3482</v>
      </c>
      <c r="AH654" s="6" t="s">
        <v>3483</v>
      </c>
      <c r="AI654" s="7"/>
      <c r="AJ654" s="7"/>
      <c r="AK654" s="7"/>
      <c r="AL654" s="7"/>
      <c r="AM654" s="7"/>
      <c r="AN654" s="7"/>
      <c r="AO654" s="7"/>
      <c r="AP654" s="7"/>
      <c r="AQ654" s="7"/>
      <c r="AR654" s="7"/>
      <c r="AS654" s="7"/>
      <c r="AT654" s="7"/>
      <c r="AU654" s="7"/>
      <c r="AV654" s="7"/>
      <c r="AW654" s="7"/>
      <c r="AX654" s="7"/>
      <c r="AY654" s="7"/>
      <c r="AZ654" s="7"/>
    </row>
    <row r="655" customFormat="false" ht="150" hidden="false" customHeight="true" outlineLevel="0" collapsed="false">
      <c r="A655" s="6" t="s">
        <v>3484</v>
      </c>
      <c r="B655" s="6" t="s">
        <v>3201</v>
      </c>
      <c r="C655" s="6" t="s">
        <v>3150</v>
      </c>
      <c r="D655" s="6" t="s">
        <v>110</v>
      </c>
      <c r="E655" s="6" t="s">
        <v>111</v>
      </c>
      <c r="F655" s="6"/>
      <c r="G655" s="6" t="s">
        <v>165</v>
      </c>
      <c r="H655" s="6" t="s">
        <v>372</v>
      </c>
      <c r="I655" s="6" t="s">
        <v>373</v>
      </c>
      <c r="J655" s="6"/>
      <c r="K655" s="6"/>
      <c r="L655" s="6"/>
      <c r="M655" s="6"/>
      <c r="N655" s="6"/>
      <c r="O655" s="6"/>
      <c r="P655" s="6"/>
      <c r="Q655" s="6"/>
      <c r="R655" s="6"/>
      <c r="S655" s="6" t="s">
        <v>857</v>
      </c>
      <c r="T655" s="6" t="s">
        <v>83</v>
      </c>
      <c r="U655" s="6"/>
      <c r="V655" s="6" t="s">
        <v>3485</v>
      </c>
      <c r="W655" s="6" t="s">
        <v>3486</v>
      </c>
      <c r="X655" s="6" t="s">
        <v>3487</v>
      </c>
      <c r="Y655" s="6"/>
      <c r="Z655" s="6"/>
      <c r="AA655" s="6" t="s">
        <v>89</v>
      </c>
      <c r="AB655" s="6" t="s">
        <v>3488</v>
      </c>
      <c r="AC655" s="6" t="s">
        <v>3489</v>
      </c>
      <c r="AD655" s="6" t="s">
        <v>3490</v>
      </c>
      <c r="AE655" s="6" t="s">
        <v>428</v>
      </c>
      <c r="AF655" s="6" t="s">
        <v>3491</v>
      </c>
      <c r="AG655" s="6"/>
      <c r="AH655" s="6"/>
      <c r="AI655" s="7"/>
      <c r="AJ655" s="7"/>
      <c r="AK655" s="7"/>
      <c r="AL655" s="7"/>
      <c r="AM655" s="7"/>
      <c r="AN655" s="7"/>
      <c r="AO655" s="7"/>
      <c r="AP655" s="7"/>
      <c r="AQ655" s="7"/>
      <c r="AR655" s="7"/>
      <c r="AS655" s="7"/>
      <c r="AT655" s="7"/>
      <c r="AU655" s="7"/>
      <c r="AV655" s="7"/>
      <c r="AW655" s="7"/>
      <c r="AX655" s="7"/>
      <c r="AY655" s="7"/>
      <c r="AZ655" s="7"/>
    </row>
    <row r="656" customFormat="false" ht="150" hidden="false" customHeight="true" outlineLevel="0" collapsed="false">
      <c r="A656" s="6" t="s">
        <v>3492</v>
      </c>
      <c r="B656" s="6" t="s">
        <v>3201</v>
      </c>
      <c r="C656" s="6" t="s">
        <v>3150</v>
      </c>
      <c r="D656" s="6" t="s">
        <v>110</v>
      </c>
      <c r="E656" s="6" t="s">
        <v>111</v>
      </c>
      <c r="F656" s="6"/>
      <c r="G656" s="6" t="s">
        <v>165</v>
      </c>
      <c r="H656" s="6" t="s">
        <v>396</v>
      </c>
      <c r="I656" s="6" t="s">
        <v>81</v>
      </c>
      <c r="J656" s="6"/>
      <c r="K656" s="6"/>
      <c r="L656" s="6"/>
      <c r="M656" s="6"/>
      <c r="N656" s="6"/>
      <c r="O656" s="6"/>
      <c r="P656" s="6"/>
      <c r="Q656" s="6"/>
      <c r="R656" s="6"/>
      <c r="S656" s="6" t="s">
        <v>1179</v>
      </c>
      <c r="T656" s="6" t="s">
        <v>83</v>
      </c>
      <c r="U656" s="6"/>
      <c r="V656" s="6" t="s">
        <v>3493</v>
      </c>
      <c r="W656" s="6" t="s">
        <v>3494</v>
      </c>
      <c r="X656" s="6" t="s">
        <v>3495</v>
      </c>
      <c r="Y656" s="6"/>
      <c r="Z656" s="6"/>
      <c r="AA656" s="6" t="s">
        <v>89</v>
      </c>
      <c r="AB656" s="6" t="s">
        <v>3496</v>
      </c>
      <c r="AC656" s="6" t="s">
        <v>3497</v>
      </c>
      <c r="AD656" s="6" t="s">
        <v>3498</v>
      </c>
      <c r="AE656" s="6" t="s">
        <v>3499</v>
      </c>
      <c r="AF656" s="6" t="s">
        <v>3500</v>
      </c>
      <c r="AG656" s="6"/>
      <c r="AH656" s="6"/>
      <c r="AI656" s="7"/>
      <c r="AJ656" s="7"/>
      <c r="AK656" s="7"/>
      <c r="AL656" s="7"/>
      <c r="AM656" s="7"/>
      <c r="AN656" s="7"/>
      <c r="AO656" s="7"/>
      <c r="AP656" s="7"/>
      <c r="AQ656" s="7"/>
      <c r="AR656" s="7"/>
      <c r="AS656" s="7"/>
      <c r="AT656" s="7"/>
      <c r="AU656" s="7"/>
      <c r="AV656" s="7"/>
      <c r="AW656" s="7"/>
      <c r="AX656" s="7"/>
      <c r="AY656" s="7"/>
      <c r="AZ656" s="7"/>
    </row>
    <row r="657" customFormat="false" ht="150" hidden="false" customHeight="true" outlineLevel="0" collapsed="false">
      <c r="A657" s="6" t="s">
        <v>3501</v>
      </c>
      <c r="B657" s="6" t="s">
        <v>3201</v>
      </c>
      <c r="C657" s="6" t="s">
        <v>3150</v>
      </c>
      <c r="D657" s="6" t="s">
        <v>132</v>
      </c>
      <c r="E657" s="6" t="s">
        <v>133</v>
      </c>
      <c r="F657" s="6"/>
      <c r="G657" s="6" t="s">
        <v>165</v>
      </c>
      <c r="H657" s="6" t="s">
        <v>431</v>
      </c>
      <c r="I657" s="6" t="s">
        <v>432</v>
      </c>
      <c r="J657" s="6"/>
      <c r="K657" s="6"/>
      <c r="L657" s="6"/>
      <c r="M657" s="6"/>
      <c r="N657" s="6"/>
      <c r="O657" s="6"/>
      <c r="P657" s="6"/>
      <c r="Q657" s="6"/>
      <c r="R657" s="6"/>
      <c r="S657" s="6" t="s">
        <v>910</v>
      </c>
      <c r="T657" s="6" t="s">
        <v>83</v>
      </c>
      <c r="U657" s="6"/>
      <c r="V657" s="6" t="s">
        <v>3502</v>
      </c>
      <c r="W657" s="6" t="s">
        <v>3503</v>
      </c>
      <c r="X657" s="6" t="s">
        <v>3504</v>
      </c>
      <c r="Y657" s="6"/>
      <c r="Z657" s="6"/>
      <c r="AA657" s="6" t="s">
        <v>89</v>
      </c>
      <c r="AB657" s="6" t="s">
        <v>3505</v>
      </c>
      <c r="AC657" s="6" t="s">
        <v>3506</v>
      </c>
      <c r="AD657" s="6" t="s">
        <v>3507</v>
      </c>
      <c r="AE657" s="6" t="s">
        <v>3508</v>
      </c>
      <c r="AF657" s="6" t="s">
        <v>3509</v>
      </c>
      <c r="AG657" s="6"/>
      <c r="AH657" s="6"/>
      <c r="AI657" s="7"/>
      <c r="AJ657" s="7"/>
      <c r="AK657" s="7"/>
      <c r="AL657" s="7"/>
      <c r="AM657" s="7"/>
      <c r="AN657" s="7"/>
      <c r="AO657" s="7"/>
      <c r="AP657" s="7"/>
      <c r="AQ657" s="7"/>
      <c r="AR657" s="7"/>
      <c r="AS657" s="7"/>
      <c r="AT657" s="7"/>
      <c r="AU657" s="7"/>
      <c r="AV657" s="7"/>
      <c r="AW657" s="7"/>
      <c r="AX657" s="7"/>
      <c r="AY657" s="7"/>
      <c r="AZ657" s="7"/>
    </row>
    <row r="658" customFormat="false" ht="150" hidden="false" customHeight="true" outlineLevel="0" collapsed="false">
      <c r="A658" s="6" t="s">
        <v>3510</v>
      </c>
      <c r="B658" s="6" t="s">
        <v>3201</v>
      </c>
      <c r="C658" s="6" t="s">
        <v>3150</v>
      </c>
      <c r="D658" s="6" t="s">
        <v>132</v>
      </c>
      <c r="E658" s="6" t="s">
        <v>133</v>
      </c>
      <c r="F658" s="6"/>
      <c r="G658" s="6" t="s">
        <v>98</v>
      </c>
      <c r="H658" s="6" t="s">
        <v>452</v>
      </c>
      <c r="I658" s="6" t="s">
        <v>373</v>
      </c>
      <c r="J658" s="6"/>
      <c r="K658" s="6"/>
      <c r="L658" s="6"/>
      <c r="M658" s="6"/>
      <c r="N658" s="6"/>
      <c r="O658" s="6"/>
      <c r="P658" s="6"/>
      <c r="Q658" s="6"/>
      <c r="R658" s="6"/>
      <c r="S658" s="6"/>
      <c r="T658" s="6"/>
      <c r="U658" s="6"/>
      <c r="V658" s="6"/>
      <c r="W658" s="6"/>
      <c r="X658" s="6"/>
      <c r="Y658" s="6"/>
      <c r="Z658" s="6"/>
      <c r="AA658" s="6" t="s">
        <v>89</v>
      </c>
      <c r="AB658" s="6" t="s">
        <v>3511</v>
      </c>
      <c r="AC658" s="6" t="s">
        <v>3512</v>
      </c>
      <c r="AD658" s="6" t="s">
        <v>3513</v>
      </c>
      <c r="AE658" s="6" t="s">
        <v>428</v>
      </c>
      <c r="AF658" s="6" t="s">
        <v>3514</v>
      </c>
      <c r="AG658" s="6"/>
      <c r="AH658" s="6"/>
      <c r="AI658" s="7"/>
      <c r="AJ658" s="7"/>
      <c r="AK658" s="7"/>
      <c r="AL658" s="7"/>
      <c r="AM658" s="7"/>
      <c r="AN658" s="7"/>
      <c r="AO658" s="7"/>
      <c r="AP658" s="7"/>
      <c r="AQ658" s="7"/>
      <c r="AR658" s="7"/>
      <c r="AS658" s="7"/>
      <c r="AT658" s="7"/>
      <c r="AU658" s="7"/>
      <c r="AV658" s="7"/>
      <c r="AW658" s="7"/>
      <c r="AX658" s="7"/>
      <c r="AY658" s="7"/>
      <c r="AZ658" s="7"/>
    </row>
    <row r="659" customFormat="false" ht="150" hidden="false" customHeight="true" outlineLevel="0" collapsed="false">
      <c r="A659" s="6" t="s">
        <v>3515</v>
      </c>
      <c r="B659" s="6" t="s">
        <v>3201</v>
      </c>
      <c r="C659" s="6" t="s">
        <v>3150</v>
      </c>
      <c r="D659" s="6" t="s">
        <v>145</v>
      </c>
      <c r="E659" s="6" t="s">
        <v>146</v>
      </c>
      <c r="F659" s="6"/>
      <c r="G659" s="6" t="s">
        <v>165</v>
      </c>
      <c r="H659" s="6" t="s">
        <v>408</v>
      </c>
      <c r="I659" s="6" t="s">
        <v>409</v>
      </c>
      <c r="J659" s="6"/>
      <c r="K659" s="6"/>
      <c r="L659" s="6"/>
      <c r="M659" s="6"/>
      <c r="N659" s="6"/>
      <c r="O659" s="6"/>
      <c r="P659" s="6"/>
      <c r="Q659" s="6"/>
      <c r="R659" s="6"/>
      <c r="S659" s="6" t="s">
        <v>921</v>
      </c>
      <c r="T659" s="6" t="s">
        <v>83</v>
      </c>
      <c r="U659" s="6"/>
      <c r="V659" s="6" t="s">
        <v>3516</v>
      </c>
      <c r="W659" s="6" t="s">
        <v>3517</v>
      </c>
      <c r="X659" s="6" t="s">
        <v>3518</v>
      </c>
      <c r="Y659" s="6"/>
      <c r="Z659" s="6"/>
      <c r="AA659" s="6" t="s">
        <v>89</v>
      </c>
      <c r="AB659" s="6" t="s">
        <v>3519</v>
      </c>
      <c r="AC659" s="6" t="s">
        <v>3520</v>
      </c>
      <c r="AD659" s="6"/>
      <c r="AE659" s="6"/>
      <c r="AF659" s="6"/>
      <c r="AG659" s="6" t="s">
        <v>3521</v>
      </c>
      <c r="AH659" s="6" t="s">
        <v>3522</v>
      </c>
      <c r="AI659" s="7"/>
      <c r="AJ659" s="7"/>
      <c r="AK659" s="7"/>
      <c r="AL659" s="7"/>
      <c r="AM659" s="7"/>
      <c r="AN659" s="7"/>
      <c r="AO659" s="7"/>
      <c r="AP659" s="7"/>
      <c r="AQ659" s="7"/>
      <c r="AR659" s="7"/>
      <c r="AS659" s="7"/>
      <c r="AT659" s="7"/>
      <c r="AU659" s="7"/>
      <c r="AV659" s="7"/>
      <c r="AW659" s="7"/>
      <c r="AX659" s="7"/>
      <c r="AY659" s="7"/>
      <c r="AZ659" s="7"/>
    </row>
    <row r="660" customFormat="false" ht="150" hidden="false" customHeight="true" outlineLevel="0" collapsed="false">
      <c r="A660" s="6" t="s">
        <v>3523</v>
      </c>
      <c r="B660" s="6" t="s">
        <v>3201</v>
      </c>
      <c r="C660" s="6" t="s">
        <v>3150</v>
      </c>
      <c r="D660" s="6" t="s">
        <v>77</v>
      </c>
      <c r="E660" s="6" t="s">
        <v>78</v>
      </c>
      <c r="F660" s="6" t="s">
        <v>2492</v>
      </c>
      <c r="G660" s="6" t="s">
        <v>165</v>
      </c>
      <c r="H660" s="6" t="s">
        <v>1062</v>
      </c>
      <c r="I660" s="6" t="s">
        <v>1063</v>
      </c>
      <c r="J660" s="6"/>
      <c r="K660" s="6"/>
      <c r="L660" s="6"/>
      <c r="M660" s="6"/>
      <c r="N660" s="6" t="s">
        <v>3141</v>
      </c>
      <c r="O660" s="6"/>
      <c r="P660" s="6"/>
      <c r="Q660" s="6"/>
      <c r="R660" s="6"/>
      <c r="S660" s="6" t="s">
        <v>716</v>
      </c>
      <c r="T660" s="6" t="s">
        <v>83</v>
      </c>
      <c r="U660" s="6"/>
      <c r="V660" s="6" t="s">
        <v>3524</v>
      </c>
      <c r="W660" s="6" t="s">
        <v>718</v>
      </c>
      <c r="X660" s="6" t="s">
        <v>3525</v>
      </c>
      <c r="Y660" s="6"/>
      <c r="Z660" s="6"/>
      <c r="AA660" s="6" t="s">
        <v>89</v>
      </c>
      <c r="AB660" s="6" t="s">
        <v>3526</v>
      </c>
      <c r="AC660" s="6" t="s">
        <v>3527</v>
      </c>
      <c r="AD660" s="6" t="s">
        <v>3528</v>
      </c>
      <c r="AE660" s="6" t="s">
        <v>3529</v>
      </c>
      <c r="AF660" s="6"/>
      <c r="AG660" s="6"/>
      <c r="AH660" s="6"/>
      <c r="AI660" s="7"/>
      <c r="AJ660" s="7"/>
      <c r="AK660" s="7"/>
      <c r="AL660" s="7"/>
      <c r="AM660" s="7"/>
      <c r="AN660" s="7"/>
      <c r="AO660" s="7"/>
      <c r="AP660" s="7"/>
      <c r="AQ660" s="7"/>
      <c r="AR660" s="7"/>
      <c r="AS660" s="7"/>
      <c r="AT660" s="7"/>
      <c r="AU660" s="7"/>
      <c r="AV660" s="7"/>
      <c r="AW660" s="7"/>
      <c r="AX660" s="7"/>
      <c r="AY660" s="7"/>
      <c r="AZ660" s="7"/>
    </row>
    <row r="661" customFormat="false" ht="150" hidden="false" customHeight="true" outlineLevel="0" collapsed="false">
      <c r="A661" s="6" t="s">
        <v>3530</v>
      </c>
      <c r="B661" s="6" t="s">
        <v>3201</v>
      </c>
      <c r="C661" s="6" t="s">
        <v>3150</v>
      </c>
      <c r="D661" s="6" t="s">
        <v>110</v>
      </c>
      <c r="E661" s="6" t="s">
        <v>111</v>
      </c>
      <c r="F661" s="6" t="s">
        <v>3531</v>
      </c>
      <c r="G661" s="6" t="s">
        <v>98</v>
      </c>
      <c r="H661" s="6" t="s">
        <v>452</v>
      </c>
      <c r="I661" s="6" t="s">
        <v>373</v>
      </c>
      <c r="J661" s="6"/>
      <c r="K661" s="6"/>
      <c r="L661" s="6"/>
      <c r="M661" s="6"/>
      <c r="N661" s="6" t="s">
        <v>3532</v>
      </c>
      <c r="O661" s="6" t="s">
        <v>3533</v>
      </c>
      <c r="P661" s="6"/>
      <c r="Q661" s="6"/>
      <c r="R661" s="6"/>
      <c r="S661" s="6" t="s">
        <v>612</v>
      </c>
      <c r="T661" s="6" t="s">
        <v>83</v>
      </c>
      <c r="U661" s="6"/>
      <c r="V661" s="6" t="s">
        <v>3534</v>
      </c>
      <c r="W661" s="6" t="s">
        <v>3535</v>
      </c>
      <c r="X661" s="6" t="s">
        <v>3536</v>
      </c>
      <c r="Y661" s="6"/>
      <c r="Z661" s="6"/>
      <c r="AA661" s="6" t="s">
        <v>89</v>
      </c>
      <c r="AB661" s="6" t="s">
        <v>3537</v>
      </c>
      <c r="AC661" s="6" t="s">
        <v>3538</v>
      </c>
      <c r="AD661" s="6" t="s">
        <v>3539</v>
      </c>
      <c r="AE661" s="6" t="s">
        <v>3540</v>
      </c>
      <c r="AF661" s="6" t="s">
        <v>3541</v>
      </c>
      <c r="AG661" s="6"/>
      <c r="AH661" s="6"/>
      <c r="AI661" s="7"/>
      <c r="AJ661" s="7"/>
      <c r="AK661" s="7"/>
      <c r="AL661" s="7"/>
      <c r="AM661" s="7"/>
      <c r="AN661" s="7"/>
      <c r="AO661" s="7"/>
      <c r="AP661" s="7"/>
      <c r="AQ661" s="7"/>
      <c r="AR661" s="7"/>
      <c r="AS661" s="7"/>
      <c r="AT661" s="7"/>
      <c r="AU661" s="7"/>
      <c r="AV661" s="7"/>
      <c r="AW661" s="7"/>
      <c r="AX661" s="7"/>
      <c r="AY661" s="7"/>
      <c r="AZ661" s="7"/>
    </row>
  </sheetData>
  <autoFilter ref="A1:AZ661"/>
  <conditionalFormatting sqref="AX2:AX661">
    <cfRule type="cellIs" priority="2" operator="equal" aboveAverage="0" equalAverage="0" bottom="0" percent="0" rank="0" text="" dxfId="6">
      <formula>"Remove"</formula>
    </cfRule>
    <cfRule type="cellIs" priority="3" operator="equal" aboveAverage="0" equalAverage="0" bottom="0" percent="0" rank="0" text="" dxfId="7">
      <formula>"Revise"</formula>
    </cfRule>
    <cfRule type="cellIs" priority="4" operator="equal" aboveAverage="0" equalAverage="0" bottom="0" percent="0" rank="0" text="" dxfId="8">
      <formula>"Replace"</formula>
    </cfRule>
    <cfRule type="cellIs" priority="5" operator="equal" aboveAverage="0" equalAverage="0" bottom="0" percent="0" rank="0" text="" dxfId="9">
      <formula>"Keep"</formula>
    </cfRule>
  </conditionalFormatting>
  <conditionalFormatting sqref="T2:T661">
    <cfRule type="cellIs" priority="6" operator="equal" aboveAverage="0" equalAverage="0" bottom="0" percent="0" rank="0" text="" dxfId="6">
      <formula>"MISSING"</formula>
    </cfRule>
  </conditionalFormatting>
  <dataValidations count="14">
    <dataValidation allowBlank="true" errorStyle="stop" operator="between" showDropDown="false" showErrorMessage="false" showInputMessage="false" sqref="AK2:AK661" type="list">
      <formula1>"1,2,3,4,5"</formula1>
      <formula2>0</formula2>
    </dataValidation>
    <dataValidation allowBlank="true" errorStyle="stop" operator="between" showDropDown="false" showErrorMessage="false" showInputMessage="false" sqref="AL2:AL661" type="list">
      <formula1>"Yes,Unsure,No"</formula1>
      <formula2>0</formula2>
    </dataValidation>
    <dataValidation allowBlank="true" errorStyle="stop" operator="between" showDropDown="false" showErrorMessage="false" showInputMessage="false" sqref="AM2:AM661" type="list">
      <formula1>"1,2,3,4,5,N/A"</formula1>
      <formula2>0</formula2>
    </dataValidation>
    <dataValidation allowBlank="true" errorStyle="stop" operator="between" showDropDown="false" showErrorMessage="false" showInputMessage="false" sqref="AN2:AN661" type="list">
      <formula1>"Yes,Partly,No"</formula1>
      <formula2>0</formula2>
    </dataValidation>
    <dataValidation allowBlank="true" errorStyle="stop" operator="between" showDropDown="false" showErrorMessage="false" showInputMessage="false" sqref="AO2:AO661" type="list">
      <formula1>"Too easy,Right,Too hard"</formula1>
      <formula2>0</formula2>
    </dataValidation>
    <dataValidation allowBlank="true" errorStyle="stop" operator="between" showDropDown="false" showErrorMessage="false" showInputMessage="false" sqref="AP2:AP661" type="list">
      <formula1>"Yes,Partly,No,N/A"</formula1>
      <formula2>0</formula2>
    </dataValidation>
    <dataValidation allowBlank="true" errorStyle="stop" operator="between" showDropDown="false" showErrorMessage="false" showInputMessage="false" sqref="AQ2:AQ661" type="list">
      <formula1>"Yes,Partly,No,N/A"</formula1>
      <formula2>0</formula2>
    </dataValidation>
    <dataValidation allowBlank="true" errorStyle="stop" operator="between" showDropDown="false" showErrorMessage="false" showInputMessage="false" sqref="AR2:AR661" type="list">
      <formula1>"1,2,3,4,5"</formula1>
      <formula2>0</formula2>
    </dataValidation>
    <dataValidation allowBlank="true" errorStyle="stop" operator="between" showDropDown="false" showErrorMessage="false" showInputMessage="false" sqref="AS2:AS661" type="list">
      <formula1>"High,Medium,Low"</formula1>
      <formula2>0</formula2>
    </dataValidation>
    <dataValidation allowBlank="true" errorStyle="stop" operator="between" showDropDown="false" showErrorMessage="false" showInputMessage="false" sqref="AT2:AT661" type="list">
      <formula1>"Yes,Partly,No,N/A"</formula1>
      <formula2>0</formula2>
    </dataValidation>
    <dataValidation allowBlank="true" errorStyle="stop" operator="between" showDropDown="false" showErrorMessage="false" showInputMessage="false" sqref="AU2:AU661" type="list">
      <formula1>"1,2,3,4,5,N/A"</formula1>
      <formula2>0</formula2>
    </dataValidation>
    <dataValidation allowBlank="true" errorStyle="stop" operator="between" showDropDown="false" showErrorMessage="false" showInputMessage="false" sqref="AV2:AV661" type="list">
      <formula1>"1,2,3,4,5,N/A"</formula1>
      <formula2>0</formula2>
    </dataValidation>
    <dataValidation allowBlank="true" errorStyle="stop" operator="between" showDropDown="false" showErrorMessage="false" showInputMessage="false" sqref="AW2:AW661" type="list">
      <formula1>"1,2,3,4,5"</formula1>
      <formula2>0</formula2>
    </dataValidation>
    <dataValidation allowBlank="true" errorStyle="stop" operator="between" showDropDown="false" showErrorMessage="false" showInputMessage="false" sqref="AX2:AX661" type="list">
      <formula1>"Keep,Revise,Replace,Remove"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11"/>
    <col collapsed="false" customWidth="true" hidden="false" outlineLevel="0" max="4" min="4" style="0" width="15"/>
    <col collapsed="false" customWidth="true" hidden="false" outlineLevel="0" max="5" min="5" style="0" width="10"/>
    <col collapsed="false" customWidth="true" hidden="false" outlineLevel="0" max="6" min="6" style="0" width="40"/>
    <col collapsed="false" customWidth="true" hidden="false" outlineLevel="0" max="7" min="7" style="0" width="10"/>
    <col collapsed="false" customWidth="true" hidden="false" outlineLevel="0" max="8" min="8" style="0" width="60"/>
    <col collapsed="false" customWidth="true" hidden="false" outlineLevel="0" max="9" min="9" style="0" width="7"/>
    <col collapsed="false" customWidth="true" hidden="false" outlineLevel="0" max="10" min="10" style="0" width="8"/>
    <col collapsed="false" customWidth="true" hidden="false" outlineLevel="0" max="11" min="11" style="0" width="60"/>
    <col collapsed="false" customWidth="true" hidden="false" outlineLevel="0" max="12" min="12" style="0" width="11"/>
    <col collapsed="false" customWidth="true" hidden="false" outlineLevel="0" max="13" min="13" style="0" width="50"/>
  </cols>
  <sheetData>
    <row r="1" customFormat="false" ht="35.05" hidden="false" customHeight="false" outlineLevel="0" collapsed="false">
      <c r="A1" s="3" t="s">
        <v>22</v>
      </c>
      <c r="B1" s="3" t="s">
        <v>25</v>
      </c>
      <c r="C1" s="3" t="s">
        <v>28</v>
      </c>
      <c r="D1" s="3" t="s">
        <v>29</v>
      </c>
      <c r="E1" s="3" t="s">
        <v>3542</v>
      </c>
      <c r="F1" s="4" t="s">
        <v>50</v>
      </c>
      <c r="G1" s="4" t="s">
        <v>3543</v>
      </c>
      <c r="H1" s="4" t="s">
        <v>3544</v>
      </c>
      <c r="I1" s="4" t="s">
        <v>3545</v>
      </c>
      <c r="J1" s="4" t="s">
        <v>3546</v>
      </c>
      <c r="K1" s="4" t="s">
        <v>3547</v>
      </c>
      <c r="L1" s="5" t="s">
        <v>71</v>
      </c>
      <c r="M1" s="5" t="s">
        <v>3548</v>
      </c>
    </row>
    <row r="2" customFormat="false" ht="23.85" hidden="false" customHeight="false" outlineLevel="0" collapsed="false">
      <c r="A2" s="6" t="s">
        <v>74</v>
      </c>
      <c r="B2" s="6" t="s">
        <v>77</v>
      </c>
      <c r="C2" s="6" t="s">
        <v>79</v>
      </c>
      <c r="D2" s="6" t="s">
        <v>80</v>
      </c>
      <c r="E2" s="6"/>
      <c r="F2" s="6" t="s">
        <v>91</v>
      </c>
      <c r="G2" s="6" t="s">
        <v>3549</v>
      </c>
      <c r="H2" s="6" t="s">
        <v>3550</v>
      </c>
      <c r="I2" s="6" t="n">
        <v>65</v>
      </c>
      <c r="J2" s="6"/>
      <c r="K2" s="6" t="s">
        <v>3551</v>
      </c>
      <c r="L2" s="7"/>
      <c r="M2" s="7"/>
    </row>
    <row r="3" customFormat="false" ht="15" hidden="false" customHeight="false" outlineLevel="0" collapsed="false">
      <c r="A3" s="6" t="s">
        <v>74</v>
      </c>
      <c r="B3" s="6" t="s">
        <v>77</v>
      </c>
      <c r="C3" s="6" t="s">
        <v>79</v>
      </c>
      <c r="D3" s="6" t="s">
        <v>80</v>
      </c>
      <c r="E3" s="6"/>
      <c r="F3" s="6" t="s">
        <v>91</v>
      </c>
      <c r="G3" s="6" t="s">
        <v>3552</v>
      </c>
      <c r="H3" s="6" t="s">
        <v>3553</v>
      </c>
      <c r="I3" s="6" t="n">
        <v>95</v>
      </c>
      <c r="J3" s="6" t="s">
        <v>83</v>
      </c>
      <c r="K3" s="6" t="s">
        <v>3554</v>
      </c>
      <c r="L3" s="7"/>
      <c r="M3" s="7"/>
    </row>
    <row r="4" customFormat="false" ht="23.85" hidden="false" customHeight="false" outlineLevel="0" collapsed="false">
      <c r="A4" s="6" t="s">
        <v>74</v>
      </c>
      <c r="B4" s="6" t="s">
        <v>77</v>
      </c>
      <c r="C4" s="6" t="s">
        <v>79</v>
      </c>
      <c r="D4" s="6" t="s">
        <v>80</v>
      </c>
      <c r="E4" s="6"/>
      <c r="F4" s="6" t="s">
        <v>91</v>
      </c>
      <c r="G4" s="6" t="s">
        <v>3555</v>
      </c>
      <c r="H4" s="6" t="s">
        <v>3556</v>
      </c>
      <c r="I4" s="6" t="n">
        <v>60</v>
      </c>
      <c r="J4" s="6"/>
      <c r="K4" s="6" t="s">
        <v>3557</v>
      </c>
      <c r="L4" s="7"/>
      <c r="M4" s="7"/>
    </row>
    <row r="5" customFormat="false" ht="15" hidden="false" customHeight="false" outlineLevel="0" collapsed="false">
      <c r="A5" s="6" t="s">
        <v>95</v>
      </c>
      <c r="B5" s="6" t="s">
        <v>96</v>
      </c>
      <c r="C5" s="6" t="s">
        <v>98</v>
      </c>
      <c r="D5" s="6" t="s">
        <v>80</v>
      </c>
      <c r="E5" s="6"/>
      <c r="F5" s="6" t="s">
        <v>106</v>
      </c>
      <c r="G5" s="6" t="s">
        <v>3549</v>
      </c>
      <c r="H5" s="6" t="s">
        <v>3550</v>
      </c>
      <c r="I5" s="6" t="n">
        <v>75</v>
      </c>
      <c r="J5" s="6"/>
      <c r="K5" s="6" t="s">
        <v>3558</v>
      </c>
      <c r="L5" s="7"/>
      <c r="M5" s="7"/>
    </row>
    <row r="6" customFormat="false" ht="23.85" hidden="false" customHeight="false" outlineLevel="0" collapsed="false">
      <c r="A6" s="6" t="s">
        <v>95</v>
      </c>
      <c r="B6" s="6" t="s">
        <v>96</v>
      </c>
      <c r="C6" s="6" t="s">
        <v>98</v>
      </c>
      <c r="D6" s="6" t="s">
        <v>80</v>
      </c>
      <c r="E6" s="6"/>
      <c r="F6" s="6" t="s">
        <v>106</v>
      </c>
      <c r="G6" s="6" t="s">
        <v>3552</v>
      </c>
      <c r="H6" s="6" t="s">
        <v>3553</v>
      </c>
      <c r="I6" s="6" t="n">
        <v>98</v>
      </c>
      <c r="J6" s="6" t="s">
        <v>83</v>
      </c>
      <c r="K6" s="6" t="s">
        <v>3559</v>
      </c>
      <c r="L6" s="7"/>
      <c r="M6" s="7"/>
    </row>
    <row r="7" customFormat="false" ht="15" hidden="false" customHeight="false" outlineLevel="0" collapsed="false">
      <c r="A7" s="6" t="s">
        <v>95</v>
      </c>
      <c r="B7" s="6" t="s">
        <v>96</v>
      </c>
      <c r="C7" s="6" t="s">
        <v>98</v>
      </c>
      <c r="D7" s="6" t="s">
        <v>80</v>
      </c>
      <c r="E7" s="6"/>
      <c r="F7" s="6" t="s">
        <v>106</v>
      </c>
      <c r="G7" s="6" t="s">
        <v>3555</v>
      </c>
      <c r="H7" s="6" t="s">
        <v>3556</v>
      </c>
      <c r="I7" s="6" t="n">
        <v>15</v>
      </c>
      <c r="J7" s="6"/>
      <c r="K7" s="6" t="s">
        <v>3560</v>
      </c>
      <c r="L7" s="7"/>
      <c r="M7" s="7"/>
    </row>
    <row r="8" customFormat="false" ht="23.85" hidden="false" customHeight="false" outlineLevel="0" collapsed="false">
      <c r="A8" s="6" t="s">
        <v>109</v>
      </c>
      <c r="B8" s="6" t="s">
        <v>110</v>
      </c>
      <c r="C8" s="6" t="s">
        <v>98</v>
      </c>
      <c r="D8" s="6" t="s">
        <v>80</v>
      </c>
      <c r="E8" s="6"/>
      <c r="F8" s="6" t="s">
        <v>91</v>
      </c>
      <c r="G8" s="6" t="s">
        <v>3549</v>
      </c>
      <c r="H8" s="6" t="s">
        <v>3550</v>
      </c>
      <c r="I8" s="6" t="n">
        <v>78</v>
      </c>
      <c r="J8" s="6" t="s">
        <v>83</v>
      </c>
      <c r="K8" s="6" t="s">
        <v>3561</v>
      </c>
      <c r="L8" s="7"/>
      <c r="M8" s="7"/>
    </row>
    <row r="9" customFormat="false" ht="23.85" hidden="false" customHeight="false" outlineLevel="0" collapsed="false">
      <c r="A9" s="6" t="s">
        <v>109</v>
      </c>
      <c r="B9" s="6" t="s">
        <v>110</v>
      </c>
      <c r="C9" s="6" t="s">
        <v>98</v>
      </c>
      <c r="D9" s="6" t="s">
        <v>80</v>
      </c>
      <c r="E9" s="6"/>
      <c r="F9" s="6" t="s">
        <v>91</v>
      </c>
      <c r="G9" s="6" t="s">
        <v>3552</v>
      </c>
      <c r="H9" s="6" t="s">
        <v>3553</v>
      </c>
      <c r="I9" s="6" t="n">
        <v>60</v>
      </c>
      <c r="J9" s="6"/>
      <c r="K9" s="6" t="s">
        <v>3562</v>
      </c>
      <c r="L9" s="7"/>
      <c r="M9" s="7"/>
    </row>
    <row r="10" customFormat="false" ht="23.85" hidden="false" customHeight="false" outlineLevel="0" collapsed="false">
      <c r="A10" s="6" t="s">
        <v>109</v>
      </c>
      <c r="B10" s="6" t="s">
        <v>110</v>
      </c>
      <c r="C10" s="6" t="s">
        <v>98</v>
      </c>
      <c r="D10" s="6" t="s">
        <v>80</v>
      </c>
      <c r="E10" s="6"/>
      <c r="F10" s="6" t="s">
        <v>91</v>
      </c>
      <c r="G10" s="6" t="s">
        <v>3555</v>
      </c>
      <c r="H10" s="6" t="s">
        <v>3556</v>
      </c>
      <c r="I10" s="6" t="n">
        <v>5</v>
      </c>
      <c r="J10" s="6"/>
      <c r="K10" s="6" t="s">
        <v>3563</v>
      </c>
      <c r="L10" s="7"/>
      <c r="M10" s="7"/>
    </row>
    <row r="11" customFormat="false" ht="15" hidden="false" customHeight="false" outlineLevel="0" collapsed="false">
      <c r="A11" s="6" t="s">
        <v>122</v>
      </c>
      <c r="B11" s="6" t="s">
        <v>123</v>
      </c>
      <c r="C11" s="6" t="s">
        <v>79</v>
      </c>
      <c r="D11" s="6" t="s">
        <v>80</v>
      </c>
      <c r="E11" s="6"/>
      <c r="F11" s="6" t="s">
        <v>128</v>
      </c>
      <c r="G11" s="6" t="s">
        <v>3549</v>
      </c>
      <c r="H11" s="6" t="s">
        <v>3550</v>
      </c>
      <c r="I11" s="6" t="n">
        <v>55</v>
      </c>
      <c r="J11" s="6"/>
      <c r="K11" s="6" t="s">
        <v>3564</v>
      </c>
      <c r="L11" s="7"/>
      <c r="M11" s="7"/>
    </row>
    <row r="12" customFormat="false" ht="23.85" hidden="false" customHeight="false" outlineLevel="0" collapsed="false">
      <c r="A12" s="6" t="s">
        <v>122</v>
      </c>
      <c r="B12" s="6" t="s">
        <v>123</v>
      </c>
      <c r="C12" s="6" t="s">
        <v>79</v>
      </c>
      <c r="D12" s="6" t="s">
        <v>80</v>
      </c>
      <c r="E12" s="6"/>
      <c r="F12" s="6" t="s">
        <v>128</v>
      </c>
      <c r="G12" s="6" t="s">
        <v>3552</v>
      </c>
      <c r="H12" s="6" t="s">
        <v>3553</v>
      </c>
      <c r="I12" s="6" t="n">
        <v>98</v>
      </c>
      <c r="J12" s="6" t="s">
        <v>83</v>
      </c>
      <c r="K12" s="6" t="s">
        <v>3565</v>
      </c>
      <c r="L12" s="7"/>
      <c r="M12" s="7"/>
    </row>
    <row r="13" customFormat="false" ht="23.85" hidden="false" customHeight="false" outlineLevel="0" collapsed="false">
      <c r="A13" s="6" t="s">
        <v>122</v>
      </c>
      <c r="B13" s="6" t="s">
        <v>123</v>
      </c>
      <c r="C13" s="6" t="s">
        <v>79</v>
      </c>
      <c r="D13" s="6" t="s">
        <v>80</v>
      </c>
      <c r="E13" s="6"/>
      <c r="F13" s="6" t="s">
        <v>128</v>
      </c>
      <c r="G13" s="6" t="s">
        <v>3555</v>
      </c>
      <c r="H13" s="6" t="s">
        <v>3556</v>
      </c>
      <c r="I13" s="6" t="n">
        <v>70</v>
      </c>
      <c r="J13" s="6"/>
      <c r="K13" s="6" t="s">
        <v>3566</v>
      </c>
      <c r="L13" s="7"/>
      <c r="M13" s="7"/>
    </row>
    <row r="14" customFormat="false" ht="23.85" hidden="false" customHeight="false" outlineLevel="0" collapsed="false">
      <c r="A14" s="6" t="s">
        <v>131</v>
      </c>
      <c r="B14" s="6" t="s">
        <v>132</v>
      </c>
      <c r="C14" s="6" t="s">
        <v>98</v>
      </c>
      <c r="D14" s="6" t="s">
        <v>80</v>
      </c>
      <c r="E14" s="6"/>
      <c r="F14" s="6" t="s">
        <v>141</v>
      </c>
      <c r="G14" s="6" t="s">
        <v>3549</v>
      </c>
      <c r="H14" s="6" t="s">
        <v>3550</v>
      </c>
      <c r="I14" s="6" t="n">
        <v>70</v>
      </c>
      <c r="J14" s="6"/>
      <c r="K14" s="6" t="s">
        <v>3567</v>
      </c>
      <c r="L14" s="7"/>
      <c r="M14" s="7"/>
    </row>
    <row r="15" customFormat="false" ht="23.85" hidden="false" customHeight="false" outlineLevel="0" collapsed="false">
      <c r="A15" s="6" t="s">
        <v>131</v>
      </c>
      <c r="B15" s="6" t="s">
        <v>132</v>
      </c>
      <c r="C15" s="6" t="s">
        <v>98</v>
      </c>
      <c r="D15" s="6" t="s">
        <v>80</v>
      </c>
      <c r="E15" s="6"/>
      <c r="F15" s="6" t="s">
        <v>141</v>
      </c>
      <c r="G15" s="6" t="s">
        <v>3552</v>
      </c>
      <c r="H15" s="6" t="s">
        <v>3553</v>
      </c>
      <c r="I15" s="6" t="n">
        <v>98</v>
      </c>
      <c r="J15" s="6" t="s">
        <v>83</v>
      </c>
      <c r="K15" s="6" t="s">
        <v>3568</v>
      </c>
      <c r="L15" s="7"/>
      <c r="M15" s="7"/>
    </row>
    <row r="16" customFormat="false" ht="23.85" hidden="false" customHeight="false" outlineLevel="0" collapsed="false">
      <c r="A16" s="6" t="s">
        <v>131</v>
      </c>
      <c r="B16" s="6" t="s">
        <v>132</v>
      </c>
      <c r="C16" s="6" t="s">
        <v>98</v>
      </c>
      <c r="D16" s="6" t="s">
        <v>80</v>
      </c>
      <c r="E16" s="6"/>
      <c r="F16" s="6" t="s">
        <v>141</v>
      </c>
      <c r="G16" s="6" t="s">
        <v>3555</v>
      </c>
      <c r="H16" s="6" t="s">
        <v>3556</v>
      </c>
      <c r="I16" s="6" t="n">
        <v>10</v>
      </c>
      <c r="J16" s="6"/>
      <c r="K16" s="6" t="s">
        <v>3569</v>
      </c>
      <c r="L16" s="7"/>
      <c r="M16" s="7"/>
    </row>
    <row r="17" customFormat="false" ht="23.85" hidden="false" customHeight="false" outlineLevel="0" collapsed="false">
      <c r="A17" s="6" t="s">
        <v>144</v>
      </c>
      <c r="B17" s="6" t="s">
        <v>145</v>
      </c>
      <c r="C17" s="6" t="s">
        <v>79</v>
      </c>
      <c r="D17" s="6" t="s">
        <v>80</v>
      </c>
      <c r="E17" s="6"/>
      <c r="F17" s="6" t="s">
        <v>91</v>
      </c>
      <c r="G17" s="6" t="s">
        <v>3549</v>
      </c>
      <c r="H17" s="6" t="s">
        <v>3550</v>
      </c>
      <c r="I17" s="6" t="n">
        <v>72</v>
      </c>
      <c r="J17" s="6"/>
      <c r="K17" s="6" t="s">
        <v>3570</v>
      </c>
      <c r="L17" s="7"/>
      <c r="M17" s="7"/>
    </row>
    <row r="18" customFormat="false" ht="23.85" hidden="false" customHeight="false" outlineLevel="0" collapsed="false">
      <c r="A18" s="6" t="s">
        <v>144</v>
      </c>
      <c r="B18" s="6" t="s">
        <v>145</v>
      </c>
      <c r="C18" s="6" t="s">
        <v>79</v>
      </c>
      <c r="D18" s="6" t="s">
        <v>80</v>
      </c>
      <c r="E18" s="6"/>
      <c r="F18" s="6" t="s">
        <v>91</v>
      </c>
      <c r="G18" s="6" t="s">
        <v>3552</v>
      </c>
      <c r="H18" s="6" t="s">
        <v>3553</v>
      </c>
      <c r="I18" s="6" t="n">
        <v>98</v>
      </c>
      <c r="J18" s="6" t="s">
        <v>83</v>
      </c>
      <c r="K18" s="6" t="s">
        <v>3571</v>
      </c>
      <c r="L18" s="7"/>
      <c r="M18" s="7"/>
    </row>
    <row r="19" customFormat="false" ht="15" hidden="false" customHeight="false" outlineLevel="0" collapsed="false">
      <c r="A19" s="6" t="s">
        <v>144</v>
      </c>
      <c r="B19" s="6" t="s">
        <v>145</v>
      </c>
      <c r="C19" s="6" t="s">
        <v>79</v>
      </c>
      <c r="D19" s="6" t="s">
        <v>80</v>
      </c>
      <c r="E19" s="6"/>
      <c r="F19" s="6" t="s">
        <v>91</v>
      </c>
      <c r="G19" s="6" t="s">
        <v>3555</v>
      </c>
      <c r="H19" s="6" t="s">
        <v>3556</v>
      </c>
      <c r="I19" s="6" t="n">
        <v>15</v>
      </c>
      <c r="J19" s="6"/>
      <c r="K19" s="6" t="s">
        <v>3572</v>
      </c>
      <c r="L19" s="7"/>
      <c r="M19" s="7"/>
    </row>
    <row r="20" customFormat="false" ht="23.85" hidden="false" customHeight="false" outlineLevel="0" collapsed="false">
      <c r="A20" s="6" t="s">
        <v>152</v>
      </c>
      <c r="B20" s="6" t="s">
        <v>77</v>
      </c>
      <c r="C20" s="6" t="s">
        <v>98</v>
      </c>
      <c r="D20" s="6" t="s">
        <v>80</v>
      </c>
      <c r="E20" s="6"/>
      <c r="F20" s="6" t="s">
        <v>91</v>
      </c>
      <c r="G20" s="6" t="s">
        <v>3549</v>
      </c>
      <c r="H20" s="6" t="s">
        <v>3550</v>
      </c>
      <c r="I20" s="6" t="n">
        <v>45</v>
      </c>
      <c r="J20" s="6"/>
      <c r="K20" s="6" t="s">
        <v>3573</v>
      </c>
      <c r="L20" s="7"/>
      <c r="M20" s="7"/>
    </row>
    <row r="21" customFormat="false" ht="23.85" hidden="false" customHeight="false" outlineLevel="0" collapsed="false">
      <c r="A21" s="6" t="s">
        <v>152</v>
      </c>
      <c r="B21" s="6" t="s">
        <v>77</v>
      </c>
      <c r="C21" s="6" t="s">
        <v>98</v>
      </c>
      <c r="D21" s="6" t="s">
        <v>80</v>
      </c>
      <c r="E21" s="6"/>
      <c r="F21" s="6" t="s">
        <v>91</v>
      </c>
      <c r="G21" s="6" t="s">
        <v>3552</v>
      </c>
      <c r="H21" s="6" t="s">
        <v>3553</v>
      </c>
      <c r="I21" s="6" t="n">
        <v>70</v>
      </c>
      <c r="J21" s="6"/>
      <c r="K21" s="6" t="s">
        <v>3574</v>
      </c>
      <c r="L21" s="7"/>
      <c r="M21" s="7"/>
    </row>
    <row r="22" customFormat="false" ht="23.85" hidden="false" customHeight="false" outlineLevel="0" collapsed="false">
      <c r="A22" s="6" t="s">
        <v>152</v>
      </c>
      <c r="B22" s="6" t="s">
        <v>77</v>
      </c>
      <c r="C22" s="6" t="s">
        <v>98</v>
      </c>
      <c r="D22" s="6" t="s">
        <v>80</v>
      </c>
      <c r="E22" s="6"/>
      <c r="F22" s="6" t="s">
        <v>91</v>
      </c>
      <c r="G22" s="6" t="s">
        <v>3555</v>
      </c>
      <c r="H22" s="6" t="s">
        <v>3556</v>
      </c>
      <c r="I22" s="6" t="n">
        <v>98</v>
      </c>
      <c r="J22" s="6" t="s">
        <v>83</v>
      </c>
      <c r="K22" s="6" t="s">
        <v>3575</v>
      </c>
      <c r="L22" s="7"/>
      <c r="M22" s="7"/>
    </row>
    <row r="23" customFormat="false" ht="35.05" hidden="false" customHeight="false" outlineLevel="0" collapsed="false">
      <c r="A23" s="6" t="s">
        <v>164</v>
      </c>
      <c r="B23" s="6" t="s">
        <v>110</v>
      </c>
      <c r="C23" s="6" t="s">
        <v>165</v>
      </c>
      <c r="D23" s="6" t="s">
        <v>80</v>
      </c>
      <c r="E23" s="6"/>
      <c r="F23" s="6" t="s">
        <v>91</v>
      </c>
      <c r="G23" s="6" t="s">
        <v>3549</v>
      </c>
      <c r="H23" s="6" t="s">
        <v>3550</v>
      </c>
      <c r="I23" s="6" t="n">
        <v>98</v>
      </c>
      <c r="J23" s="6" t="s">
        <v>83</v>
      </c>
      <c r="K23" s="6" t="s">
        <v>3576</v>
      </c>
      <c r="L23" s="7"/>
      <c r="M23" s="7"/>
    </row>
    <row r="24" customFormat="false" ht="23.85" hidden="false" customHeight="false" outlineLevel="0" collapsed="false">
      <c r="A24" s="6" t="s">
        <v>164</v>
      </c>
      <c r="B24" s="6" t="s">
        <v>110</v>
      </c>
      <c r="C24" s="6" t="s">
        <v>165</v>
      </c>
      <c r="D24" s="6" t="s">
        <v>80</v>
      </c>
      <c r="E24" s="6"/>
      <c r="F24" s="6" t="s">
        <v>91</v>
      </c>
      <c r="G24" s="6" t="s">
        <v>3552</v>
      </c>
      <c r="H24" s="6" t="s">
        <v>3553</v>
      </c>
      <c r="I24" s="6" t="n">
        <v>45</v>
      </c>
      <c r="J24" s="6"/>
      <c r="K24" s="6" t="s">
        <v>3577</v>
      </c>
      <c r="L24" s="7"/>
      <c r="M24" s="7"/>
    </row>
    <row r="25" customFormat="false" ht="23.85" hidden="false" customHeight="false" outlineLevel="0" collapsed="false">
      <c r="A25" s="6" t="s">
        <v>164</v>
      </c>
      <c r="B25" s="6" t="s">
        <v>110</v>
      </c>
      <c r="C25" s="6" t="s">
        <v>165</v>
      </c>
      <c r="D25" s="6" t="s">
        <v>80</v>
      </c>
      <c r="E25" s="6"/>
      <c r="F25" s="6" t="s">
        <v>91</v>
      </c>
      <c r="G25" s="6" t="s">
        <v>3555</v>
      </c>
      <c r="H25" s="6" t="s">
        <v>3556</v>
      </c>
      <c r="I25" s="6" t="n">
        <v>5</v>
      </c>
      <c r="J25" s="6"/>
      <c r="K25" s="6" t="s">
        <v>3578</v>
      </c>
      <c r="L25" s="7"/>
      <c r="M25" s="7"/>
    </row>
    <row r="26" customFormat="false" ht="23.85" hidden="false" customHeight="false" outlineLevel="0" collapsed="false">
      <c r="A26" s="6" t="s">
        <v>176</v>
      </c>
      <c r="B26" s="6" t="s">
        <v>77</v>
      </c>
      <c r="C26" s="6" t="s">
        <v>79</v>
      </c>
      <c r="D26" s="6" t="s">
        <v>80</v>
      </c>
      <c r="E26" s="6"/>
      <c r="F26" s="6" t="s">
        <v>91</v>
      </c>
      <c r="G26" s="6" t="s">
        <v>3549</v>
      </c>
      <c r="H26" s="6" t="s">
        <v>3550</v>
      </c>
      <c r="I26" s="6" t="n">
        <v>40</v>
      </c>
      <c r="J26" s="6"/>
      <c r="K26" s="6" t="s">
        <v>3579</v>
      </c>
      <c r="L26" s="7"/>
      <c r="M26" s="7"/>
    </row>
    <row r="27" customFormat="false" ht="23.85" hidden="false" customHeight="false" outlineLevel="0" collapsed="false">
      <c r="A27" s="6" t="s">
        <v>176</v>
      </c>
      <c r="B27" s="6" t="s">
        <v>77</v>
      </c>
      <c r="C27" s="6" t="s">
        <v>79</v>
      </c>
      <c r="D27" s="6" t="s">
        <v>80</v>
      </c>
      <c r="E27" s="6"/>
      <c r="F27" s="6" t="s">
        <v>91</v>
      </c>
      <c r="G27" s="6" t="s">
        <v>3552</v>
      </c>
      <c r="H27" s="6" t="s">
        <v>3553</v>
      </c>
      <c r="I27" s="6" t="n">
        <v>65</v>
      </c>
      <c r="J27" s="6"/>
      <c r="K27" s="6" t="s">
        <v>3580</v>
      </c>
      <c r="L27" s="7"/>
      <c r="M27" s="7"/>
    </row>
    <row r="28" customFormat="false" ht="23.85" hidden="false" customHeight="false" outlineLevel="0" collapsed="false">
      <c r="A28" s="6" t="s">
        <v>176</v>
      </c>
      <c r="B28" s="6" t="s">
        <v>77</v>
      </c>
      <c r="C28" s="6" t="s">
        <v>79</v>
      </c>
      <c r="D28" s="6" t="s">
        <v>80</v>
      </c>
      <c r="E28" s="6"/>
      <c r="F28" s="6" t="s">
        <v>91</v>
      </c>
      <c r="G28" s="6" t="s">
        <v>3555</v>
      </c>
      <c r="H28" s="6" t="s">
        <v>3556</v>
      </c>
      <c r="I28" s="6" t="n">
        <v>98</v>
      </c>
      <c r="J28" s="6" t="s">
        <v>83</v>
      </c>
      <c r="K28" s="6" t="s">
        <v>3581</v>
      </c>
      <c r="L28" s="7"/>
      <c r="M28" s="7"/>
    </row>
    <row r="29" customFormat="false" ht="23.85" hidden="false" customHeight="false" outlineLevel="0" collapsed="false">
      <c r="A29" s="6" t="s">
        <v>186</v>
      </c>
      <c r="B29" s="6" t="s">
        <v>96</v>
      </c>
      <c r="C29" s="6" t="s">
        <v>165</v>
      </c>
      <c r="D29" s="6" t="s">
        <v>80</v>
      </c>
      <c r="E29" s="6"/>
      <c r="F29" s="6" t="s">
        <v>91</v>
      </c>
      <c r="G29" s="6" t="s">
        <v>3549</v>
      </c>
      <c r="H29" s="6" t="s">
        <v>3550</v>
      </c>
      <c r="I29" s="6" t="n">
        <v>60</v>
      </c>
      <c r="J29" s="6"/>
      <c r="K29" s="6" t="s">
        <v>3582</v>
      </c>
      <c r="L29" s="7"/>
      <c r="M29" s="7"/>
    </row>
    <row r="30" customFormat="false" ht="23.85" hidden="false" customHeight="false" outlineLevel="0" collapsed="false">
      <c r="A30" s="6" t="s">
        <v>186</v>
      </c>
      <c r="B30" s="6" t="s">
        <v>96</v>
      </c>
      <c r="C30" s="6" t="s">
        <v>165</v>
      </c>
      <c r="D30" s="6" t="s">
        <v>80</v>
      </c>
      <c r="E30" s="6"/>
      <c r="F30" s="6" t="s">
        <v>91</v>
      </c>
      <c r="G30" s="6" t="s">
        <v>3552</v>
      </c>
      <c r="H30" s="6" t="s">
        <v>3553</v>
      </c>
      <c r="I30" s="6" t="n">
        <v>98</v>
      </c>
      <c r="J30" s="6" t="s">
        <v>83</v>
      </c>
      <c r="K30" s="6" t="s">
        <v>3583</v>
      </c>
      <c r="L30" s="7"/>
      <c r="M30" s="7"/>
    </row>
    <row r="31" customFormat="false" ht="23.85" hidden="false" customHeight="false" outlineLevel="0" collapsed="false">
      <c r="A31" s="6" t="s">
        <v>186</v>
      </c>
      <c r="B31" s="6" t="s">
        <v>96</v>
      </c>
      <c r="C31" s="6" t="s">
        <v>165</v>
      </c>
      <c r="D31" s="6" t="s">
        <v>80</v>
      </c>
      <c r="E31" s="6"/>
      <c r="F31" s="6" t="s">
        <v>91</v>
      </c>
      <c r="G31" s="6" t="s">
        <v>3555</v>
      </c>
      <c r="H31" s="6" t="s">
        <v>3556</v>
      </c>
      <c r="I31" s="6" t="n">
        <v>10</v>
      </c>
      <c r="J31" s="6"/>
      <c r="K31" s="6" t="s">
        <v>3584</v>
      </c>
      <c r="L31" s="7"/>
      <c r="M31" s="7"/>
    </row>
    <row r="32" customFormat="false" ht="23.85" hidden="false" customHeight="false" outlineLevel="0" collapsed="false">
      <c r="A32" s="6" t="s">
        <v>197</v>
      </c>
      <c r="B32" s="6" t="s">
        <v>145</v>
      </c>
      <c r="C32" s="6" t="s">
        <v>79</v>
      </c>
      <c r="D32" s="6" t="s">
        <v>80</v>
      </c>
      <c r="E32" s="6"/>
      <c r="F32" s="6" t="s">
        <v>91</v>
      </c>
      <c r="G32" s="6" t="s">
        <v>3549</v>
      </c>
      <c r="H32" s="6" t="s">
        <v>3550</v>
      </c>
      <c r="I32" s="6" t="n">
        <v>98</v>
      </c>
      <c r="J32" s="6" t="s">
        <v>83</v>
      </c>
      <c r="K32" s="6" t="s">
        <v>3585</v>
      </c>
      <c r="L32" s="7"/>
      <c r="M32" s="7"/>
    </row>
    <row r="33" customFormat="false" ht="23.85" hidden="false" customHeight="false" outlineLevel="0" collapsed="false">
      <c r="A33" s="6" t="s">
        <v>197</v>
      </c>
      <c r="B33" s="6" t="s">
        <v>145</v>
      </c>
      <c r="C33" s="6" t="s">
        <v>79</v>
      </c>
      <c r="D33" s="6" t="s">
        <v>80</v>
      </c>
      <c r="E33" s="6"/>
      <c r="F33" s="6" t="s">
        <v>91</v>
      </c>
      <c r="G33" s="6" t="s">
        <v>3552</v>
      </c>
      <c r="H33" s="6" t="s">
        <v>3553</v>
      </c>
      <c r="I33" s="6" t="n">
        <v>45</v>
      </c>
      <c r="J33" s="6"/>
      <c r="K33" s="6" t="s">
        <v>3586</v>
      </c>
      <c r="L33" s="7"/>
      <c r="M33" s="7"/>
    </row>
    <row r="34" customFormat="false" ht="23.85" hidden="false" customHeight="false" outlineLevel="0" collapsed="false">
      <c r="A34" s="6" t="s">
        <v>197</v>
      </c>
      <c r="B34" s="6" t="s">
        <v>145</v>
      </c>
      <c r="C34" s="6" t="s">
        <v>79</v>
      </c>
      <c r="D34" s="6" t="s">
        <v>80</v>
      </c>
      <c r="E34" s="6"/>
      <c r="F34" s="6" t="s">
        <v>91</v>
      </c>
      <c r="G34" s="6" t="s">
        <v>3555</v>
      </c>
      <c r="H34" s="6" t="s">
        <v>3556</v>
      </c>
      <c r="I34" s="6" t="n">
        <v>10</v>
      </c>
      <c r="J34" s="6"/>
      <c r="K34" s="6" t="s">
        <v>3587</v>
      </c>
      <c r="L34" s="7"/>
      <c r="M34" s="7"/>
    </row>
    <row r="35" customFormat="false" ht="23.85" hidden="false" customHeight="false" outlineLevel="0" collapsed="false">
      <c r="A35" s="6" t="s">
        <v>208</v>
      </c>
      <c r="B35" s="6" t="s">
        <v>110</v>
      </c>
      <c r="C35" s="6" t="s">
        <v>98</v>
      </c>
      <c r="D35" s="6" t="s">
        <v>80</v>
      </c>
      <c r="E35" s="6"/>
      <c r="F35" s="6" t="s">
        <v>91</v>
      </c>
      <c r="G35" s="6" t="s">
        <v>3549</v>
      </c>
      <c r="H35" s="6" t="s">
        <v>3550</v>
      </c>
      <c r="I35" s="6" t="n">
        <v>98</v>
      </c>
      <c r="J35" s="6" t="s">
        <v>83</v>
      </c>
      <c r="K35" s="6" t="s">
        <v>3588</v>
      </c>
      <c r="L35" s="7"/>
      <c r="M35" s="7"/>
    </row>
    <row r="36" customFormat="false" ht="23.85" hidden="false" customHeight="false" outlineLevel="0" collapsed="false">
      <c r="A36" s="6" t="s">
        <v>208</v>
      </c>
      <c r="B36" s="6" t="s">
        <v>110</v>
      </c>
      <c r="C36" s="6" t="s">
        <v>98</v>
      </c>
      <c r="D36" s="6" t="s">
        <v>80</v>
      </c>
      <c r="E36" s="6"/>
      <c r="F36" s="6" t="s">
        <v>91</v>
      </c>
      <c r="G36" s="6" t="s">
        <v>3552</v>
      </c>
      <c r="H36" s="6" t="s">
        <v>3553</v>
      </c>
      <c r="I36" s="6" t="n">
        <v>50</v>
      </c>
      <c r="J36" s="6"/>
      <c r="K36" s="6" t="s">
        <v>3589</v>
      </c>
      <c r="L36" s="7"/>
      <c r="M36" s="7"/>
    </row>
    <row r="37" customFormat="false" ht="23.85" hidden="false" customHeight="false" outlineLevel="0" collapsed="false">
      <c r="A37" s="6" t="s">
        <v>208</v>
      </c>
      <c r="B37" s="6" t="s">
        <v>110</v>
      </c>
      <c r="C37" s="6" t="s">
        <v>98</v>
      </c>
      <c r="D37" s="6" t="s">
        <v>80</v>
      </c>
      <c r="E37" s="6"/>
      <c r="F37" s="6" t="s">
        <v>91</v>
      </c>
      <c r="G37" s="6" t="s">
        <v>3555</v>
      </c>
      <c r="H37" s="6" t="s">
        <v>3556</v>
      </c>
      <c r="I37" s="6" t="n">
        <v>5</v>
      </c>
      <c r="J37" s="6"/>
      <c r="K37" s="6" t="s">
        <v>3590</v>
      </c>
      <c r="L37" s="7"/>
      <c r="M37" s="7"/>
    </row>
    <row r="38" customFormat="false" ht="23.85" hidden="false" customHeight="false" outlineLevel="0" collapsed="false">
      <c r="A38" s="6" t="s">
        <v>219</v>
      </c>
      <c r="B38" s="6" t="s">
        <v>77</v>
      </c>
      <c r="C38" s="6" t="s">
        <v>79</v>
      </c>
      <c r="D38" s="6" t="s">
        <v>80</v>
      </c>
      <c r="E38" s="6"/>
      <c r="F38" s="6" t="s">
        <v>91</v>
      </c>
      <c r="G38" s="6" t="s">
        <v>3549</v>
      </c>
      <c r="H38" s="6" t="s">
        <v>3550</v>
      </c>
      <c r="I38" s="6" t="n">
        <v>40</v>
      </c>
      <c r="J38" s="6"/>
      <c r="K38" s="6" t="s">
        <v>3591</v>
      </c>
      <c r="L38" s="7"/>
      <c r="M38" s="7"/>
    </row>
    <row r="39" customFormat="false" ht="23.85" hidden="false" customHeight="false" outlineLevel="0" collapsed="false">
      <c r="A39" s="6" t="s">
        <v>219</v>
      </c>
      <c r="B39" s="6" t="s">
        <v>77</v>
      </c>
      <c r="C39" s="6" t="s">
        <v>79</v>
      </c>
      <c r="D39" s="6" t="s">
        <v>80</v>
      </c>
      <c r="E39" s="6"/>
      <c r="F39" s="6" t="s">
        <v>91</v>
      </c>
      <c r="G39" s="6" t="s">
        <v>3552</v>
      </c>
      <c r="H39" s="6" t="s">
        <v>3553</v>
      </c>
      <c r="I39" s="6" t="n">
        <v>70</v>
      </c>
      <c r="J39" s="6"/>
      <c r="K39" s="6" t="s">
        <v>3592</v>
      </c>
      <c r="L39" s="7"/>
      <c r="M39" s="7"/>
    </row>
    <row r="40" customFormat="false" ht="23.85" hidden="false" customHeight="false" outlineLevel="0" collapsed="false">
      <c r="A40" s="6" t="s">
        <v>219</v>
      </c>
      <c r="B40" s="6" t="s">
        <v>77</v>
      </c>
      <c r="C40" s="6" t="s">
        <v>79</v>
      </c>
      <c r="D40" s="6" t="s">
        <v>80</v>
      </c>
      <c r="E40" s="6"/>
      <c r="F40" s="6" t="s">
        <v>91</v>
      </c>
      <c r="G40" s="6" t="s">
        <v>3555</v>
      </c>
      <c r="H40" s="6" t="s">
        <v>3556</v>
      </c>
      <c r="I40" s="6" t="n">
        <v>98</v>
      </c>
      <c r="J40" s="6" t="s">
        <v>83</v>
      </c>
      <c r="K40" s="6" t="s">
        <v>3593</v>
      </c>
      <c r="L40" s="7"/>
      <c r="M40" s="7"/>
    </row>
    <row r="41" customFormat="false" ht="23.85" hidden="false" customHeight="false" outlineLevel="0" collapsed="false">
      <c r="A41" s="6" t="s">
        <v>225</v>
      </c>
      <c r="B41" s="6" t="s">
        <v>77</v>
      </c>
      <c r="C41" s="6" t="s">
        <v>79</v>
      </c>
      <c r="D41" s="6" t="s">
        <v>80</v>
      </c>
      <c r="E41" s="6"/>
      <c r="F41" s="6" t="s">
        <v>91</v>
      </c>
      <c r="G41" s="6" t="s">
        <v>3549</v>
      </c>
      <c r="H41" s="6" t="s">
        <v>3550</v>
      </c>
      <c r="I41" s="6" t="n">
        <v>40</v>
      </c>
      <c r="J41" s="6"/>
      <c r="K41" s="6" t="s">
        <v>3594</v>
      </c>
      <c r="L41" s="7"/>
      <c r="M41" s="7"/>
    </row>
    <row r="42" customFormat="false" ht="23.85" hidden="false" customHeight="false" outlineLevel="0" collapsed="false">
      <c r="A42" s="6" t="s">
        <v>225</v>
      </c>
      <c r="B42" s="6" t="s">
        <v>77</v>
      </c>
      <c r="C42" s="6" t="s">
        <v>79</v>
      </c>
      <c r="D42" s="6" t="s">
        <v>80</v>
      </c>
      <c r="E42" s="6"/>
      <c r="F42" s="6" t="s">
        <v>91</v>
      </c>
      <c r="G42" s="6" t="s">
        <v>3552</v>
      </c>
      <c r="H42" s="6" t="s">
        <v>3553</v>
      </c>
      <c r="I42" s="6" t="n">
        <v>70</v>
      </c>
      <c r="J42" s="6"/>
      <c r="K42" s="6" t="s">
        <v>3595</v>
      </c>
      <c r="L42" s="7"/>
      <c r="M42" s="7"/>
    </row>
    <row r="43" customFormat="false" ht="23.85" hidden="false" customHeight="false" outlineLevel="0" collapsed="false">
      <c r="A43" s="6" t="s">
        <v>225</v>
      </c>
      <c r="B43" s="6" t="s">
        <v>77</v>
      </c>
      <c r="C43" s="6" t="s">
        <v>79</v>
      </c>
      <c r="D43" s="6" t="s">
        <v>80</v>
      </c>
      <c r="E43" s="6"/>
      <c r="F43" s="6" t="s">
        <v>91</v>
      </c>
      <c r="G43" s="6" t="s">
        <v>3555</v>
      </c>
      <c r="H43" s="6" t="s">
        <v>3556</v>
      </c>
      <c r="I43" s="6" t="n">
        <v>98</v>
      </c>
      <c r="J43" s="6" t="s">
        <v>83</v>
      </c>
      <c r="K43" s="6" t="s">
        <v>3596</v>
      </c>
      <c r="L43" s="7"/>
      <c r="M43" s="7"/>
    </row>
    <row r="44" customFormat="false" ht="57.45" hidden="false" customHeight="false" outlineLevel="0" collapsed="false">
      <c r="A44" s="6" t="s">
        <v>234</v>
      </c>
      <c r="B44" s="6" t="s">
        <v>96</v>
      </c>
      <c r="C44" s="6" t="s">
        <v>165</v>
      </c>
      <c r="D44" s="6" t="s">
        <v>80</v>
      </c>
      <c r="E44" s="6"/>
      <c r="F44" s="6" t="s">
        <v>91</v>
      </c>
      <c r="G44" s="6" t="s">
        <v>3549</v>
      </c>
      <c r="H44" s="6" t="s">
        <v>3550</v>
      </c>
      <c r="I44" s="6" t="n">
        <v>98</v>
      </c>
      <c r="J44" s="6" t="s">
        <v>83</v>
      </c>
      <c r="K44" s="6" t="s">
        <v>3597</v>
      </c>
      <c r="L44" s="7"/>
      <c r="M44" s="7"/>
    </row>
    <row r="45" customFormat="false" ht="23.85" hidden="false" customHeight="false" outlineLevel="0" collapsed="false">
      <c r="A45" s="6" t="s">
        <v>234</v>
      </c>
      <c r="B45" s="6" t="s">
        <v>96</v>
      </c>
      <c r="C45" s="6" t="s">
        <v>165</v>
      </c>
      <c r="D45" s="6" t="s">
        <v>80</v>
      </c>
      <c r="E45" s="6"/>
      <c r="F45" s="6" t="s">
        <v>91</v>
      </c>
      <c r="G45" s="6" t="s">
        <v>3552</v>
      </c>
      <c r="H45" s="6" t="s">
        <v>3553</v>
      </c>
      <c r="I45" s="6" t="n">
        <v>55</v>
      </c>
      <c r="J45" s="6"/>
      <c r="K45" s="6" t="s">
        <v>3598</v>
      </c>
      <c r="L45" s="7"/>
      <c r="M45" s="7"/>
    </row>
    <row r="46" customFormat="false" ht="23.85" hidden="false" customHeight="false" outlineLevel="0" collapsed="false">
      <c r="A46" s="6" t="s">
        <v>234</v>
      </c>
      <c r="B46" s="6" t="s">
        <v>96</v>
      </c>
      <c r="C46" s="6" t="s">
        <v>165</v>
      </c>
      <c r="D46" s="6" t="s">
        <v>80</v>
      </c>
      <c r="E46" s="6"/>
      <c r="F46" s="6" t="s">
        <v>91</v>
      </c>
      <c r="G46" s="6" t="s">
        <v>3555</v>
      </c>
      <c r="H46" s="6" t="s">
        <v>3556</v>
      </c>
      <c r="I46" s="6" t="n">
        <v>0</v>
      </c>
      <c r="J46" s="6"/>
      <c r="K46" s="6" t="s">
        <v>3599</v>
      </c>
      <c r="L46" s="7"/>
      <c r="M46" s="7"/>
    </row>
    <row r="47" customFormat="false" ht="23.85" hidden="false" customHeight="false" outlineLevel="0" collapsed="false">
      <c r="A47" s="6" t="s">
        <v>244</v>
      </c>
      <c r="B47" s="6" t="s">
        <v>77</v>
      </c>
      <c r="C47" s="6" t="s">
        <v>79</v>
      </c>
      <c r="D47" s="6" t="s">
        <v>80</v>
      </c>
      <c r="E47" s="6"/>
      <c r="F47" s="6" t="s">
        <v>91</v>
      </c>
      <c r="G47" s="6" t="s">
        <v>3549</v>
      </c>
      <c r="H47" s="6" t="s">
        <v>3550</v>
      </c>
      <c r="I47" s="6" t="n">
        <v>45</v>
      </c>
      <c r="J47" s="6"/>
      <c r="K47" s="6" t="s">
        <v>3600</v>
      </c>
      <c r="L47" s="7"/>
      <c r="M47" s="7"/>
    </row>
    <row r="48" customFormat="false" ht="23.85" hidden="false" customHeight="false" outlineLevel="0" collapsed="false">
      <c r="A48" s="6" t="s">
        <v>244</v>
      </c>
      <c r="B48" s="6" t="s">
        <v>77</v>
      </c>
      <c r="C48" s="6" t="s">
        <v>79</v>
      </c>
      <c r="D48" s="6" t="s">
        <v>80</v>
      </c>
      <c r="E48" s="6"/>
      <c r="F48" s="6" t="s">
        <v>91</v>
      </c>
      <c r="G48" s="6" t="s">
        <v>3552</v>
      </c>
      <c r="H48" s="6" t="s">
        <v>3553</v>
      </c>
      <c r="I48" s="6" t="n">
        <v>72</v>
      </c>
      <c r="J48" s="6"/>
      <c r="K48" s="6" t="s">
        <v>3601</v>
      </c>
      <c r="L48" s="7"/>
      <c r="M48" s="7"/>
    </row>
    <row r="49" customFormat="false" ht="23.85" hidden="false" customHeight="false" outlineLevel="0" collapsed="false">
      <c r="A49" s="6" t="s">
        <v>244</v>
      </c>
      <c r="B49" s="6" t="s">
        <v>77</v>
      </c>
      <c r="C49" s="6" t="s">
        <v>79</v>
      </c>
      <c r="D49" s="6" t="s">
        <v>80</v>
      </c>
      <c r="E49" s="6"/>
      <c r="F49" s="6" t="s">
        <v>91</v>
      </c>
      <c r="G49" s="6" t="s">
        <v>3555</v>
      </c>
      <c r="H49" s="6" t="s">
        <v>3556</v>
      </c>
      <c r="I49" s="6" t="n">
        <v>98</v>
      </c>
      <c r="J49" s="6" t="s">
        <v>83</v>
      </c>
      <c r="K49" s="6" t="s">
        <v>3602</v>
      </c>
      <c r="L49" s="7"/>
      <c r="M49" s="7"/>
    </row>
    <row r="50" customFormat="false" ht="23.85" hidden="false" customHeight="false" outlineLevel="0" collapsed="false">
      <c r="A50" s="6" t="s">
        <v>250</v>
      </c>
      <c r="B50" s="6" t="s">
        <v>96</v>
      </c>
      <c r="C50" s="6" t="s">
        <v>98</v>
      </c>
      <c r="D50" s="6" t="s">
        <v>80</v>
      </c>
      <c r="E50" s="6"/>
      <c r="F50" s="6" t="s">
        <v>91</v>
      </c>
      <c r="G50" s="6" t="s">
        <v>3549</v>
      </c>
      <c r="H50" s="6" t="s">
        <v>3550</v>
      </c>
      <c r="I50" s="6" t="n">
        <v>60</v>
      </c>
      <c r="J50" s="6"/>
      <c r="K50" s="6" t="s">
        <v>3603</v>
      </c>
      <c r="L50" s="7"/>
      <c r="M50" s="7"/>
    </row>
    <row r="51" customFormat="false" ht="35.05" hidden="false" customHeight="false" outlineLevel="0" collapsed="false">
      <c r="A51" s="6" t="s">
        <v>250</v>
      </c>
      <c r="B51" s="6" t="s">
        <v>96</v>
      </c>
      <c r="C51" s="6" t="s">
        <v>98</v>
      </c>
      <c r="D51" s="6" t="s">
        <v>80</v>
      </c>
      <c r="E51" s="6"/>
      <c r="F51" s="6" t="s">
        <v>91</v>
      </c>
      <c r="G51" s="6" t="s">
        <v>3552</v>
      </c>
      <c r="H51" s="6" t="s">
        <v>3553</v>
      </c>
      <c r="I51" s="6" t="n">
        <v>98</v>
      </c>
      <c r="J51" s="6" t="s">
        <v>83</v>
      </c>
      <c r="K51" s="6" t="s">
        <v>3604</v>
      </c>
      <c r="L51" s="7"/>
      <c r="M51" s="7"/>
    </row>
    <row r="52" customFormat="false" ht="23.85" hidden="false" customHeight="false" outlineLevel="0" collapsed="false">
      <c r="A52" s="6" t="s">
        <v>250</v>
      </c>
      <c r="B52" s="6" t="s">
        <v>96</v>
      </c>
      <c r="C52" s="6" t="s">
        <v>98</v>
      </c>
      <c r="D52" s="6" t="s">
        <v>80</v>
      </c>
      <c r="E52" s="6"/>
      <c r="F52" s="6" t="s">
        <v>91</v>
      </c>
      <c r="G52" s="6" t="s">
        <v>3555</v>
      </c>
      <c r="H52" s="6" t="s">
        <v>3556</v>
      </c>
      <c r="I52" s="6" t="n">
        <v>10</v>
      </c>
      <c r="J52" s="6"/>
      <c r="K52" s="6" t="s">
        <v>3605</v>
      </c>
      <c r="L52" s="7"/>
      <c r="M52" s="7"/>
    </row>
    <row r="53" customFormat="false" ht="23.85" hidden="false" customHeight="false" outlineLevel="0" collapsed="false">
      <c r="A53" s="6" t="s">
        <v>255</v>
      </c>
      <c r="B53" s="6" t="s">
        <v>77</v>
      </c>
      <c r="C53" s="6" t="s">
        <v>98</v>
      </c>
      <c r="D53" s="6" t="s">
        <v>80</v>
      </c>
      <c r="E53" s="6"/>
      <c r="F53" s="6" t="s">
        <v>91</v>
      </c>
      <c r="G53" s="6" t="s">
        <v>3549</v>
      </c>
      <c r="H53" s="6" t="s">
        <v>3550</v>
      </c>
      <c r="I53" s="6" t="n">
        <v>35</v>
      </c>
      <c r="J53" s="6"/>
      <c r="K53" s="6" t="s">
        <v>3606</v>
      </c>
      <c r="L53" s="7"/>
      <c r="M53" s="7"/>
    </row>
    <row r="54" customFormat="false" ht="23.85" hidden="false" customHeight="false" outlineLevel="0" collapsed="false">
      <c r="A54" s="6" t="s">
        <v>255</v>
      </c>
      <c r="B54" s="6" t="s">
        <v>77</v>
      </c>
      <c r="C54" s="6" t="s">
        <v>98</v>
      </c>
      <c r="D54" s="6" t="s">
        <v>80</v>
      </c>
      <c r="E54" s="6"/>
      <c r="F54" s="6" t="s">
        <v>91</v>
      </c>
      <c r="G54" s="6" t="s">
        <v>3552</v>
      </c>
      <c r="H54" s="6" t="s">
        <v>3553</v>
      </c>
      <c r="I54" s="6" t="n">
        <v>70</v>
      </c>
      <c r="J54" s="6"/>
      <c r="K54" s="6" t="s">
        <v>3607</v>
      </c>
      <c r="L54" s="7"/>
      <c r="M54" s="7"/>
    </row>
    <row r="55" customFormat="false" ht="57.45" hidden="false" customHeight="false" outlineLevel="0" collapsed="false">
      <c r="A55" s="6" t="s">
        <v>255</v>
      </c>
      <c r="B55" s="6" t="s">
        <v>77</v>
      </c>
      <c r="C55" s="6" t="s">
        <v>98</v>
      </c>
      <c r="D55" s="6" t="s">
        <v>80</v>
      </c>
      <c r="E55" s="6"/>
      <c r="F55" s="6" t="s">
        <v>91</v>
      </c>
      <c r="G55" s="6" t="s">
        <v>3555</v>
      </c>
      <c r="H55" s="6" t="s">
        <v>3556</v>
      </c>
      <c r="I55" s="6" t="n">
        <v>98</v>
      </c>
      <c r="J55" s="6" t="s">
        <v>83</v>
      </c>
      <c r="K55" s="6" t="s">
        <v>3608</v>
      </c>
      <c r="L55" s="7"/>
      <c r="M55" s="7"/>
    </row>
    <row r="56" customFormat="false" ht="23.85" hidden="false" customHeight="false" outlineLevel="0" collapsed="false">
      <c r="A56" s="6" t="s">
        <v>265</v>
      </c>
      <c r="B56" s="6" t="s">
        <v>132</v>
      </c>
      <c r="C56" s="6" t="s">
        <v>165</v>
      </c>
      <c r="D56" s="6" t="s">
        <v>80</v>
      </c>
      <c r="E56" s="6"/>
      <c r="F56" s="6" t="s">
        <v>91</v>
      </c>
      <c r="G56" s="6" t="s">
        <v>3549</v>
      </c>
      <c r="H56" s="6" t="s">
        <v>3550</v>
      </c>
      <c r="I56" s="6" t="n">
        <v>98</v>
      </c>
      <c r="J56" s="6" t="s">
        <v>83</v>
      </c>
      <c r="K56" s="6" t="s">
        <v>3609</v>
      </c>
      <c r="L56" s="7"/>
      <c r="M56" s="7"/>
    </row>
    <row r="57" customFormat="false" ht="23.85" hidden="false" customHeight="false" outlineLevel="0" collapsed="false">
      <c r="A57" s="6" t="s">
        <v>265</v>
      </c>
      <c r="B57" s="6" t="s">
        <v>132</v>
      </c>
      <c r="C57" s="6" t="s">
        <v>165</v>
      </c>
      <c r="D57" s="6" t="s">
        <v>80</v>
      </c>
      <c r="E57" s="6"/>
      <c r="F57" s="6" t="s">
        <v>91</v>
      </c>
      <c r="G57" s="6" t="s">
        <v>3552</v>
      </c>
      <c r="H57" s="6" t="s">
        <v>3553</v>
      </c>
      <c r="I57" s="6" t="n">
        <v>55</v>
      </c>
      <c r="J57" s="6"/>
      <c r="K57" s="6" t="s">
        <v>3610</v>
      </c>
      <c r="L57" s="7"/>
      <c r="M57" s="7"/>
    </row>
    <row r="58" customFormat="false" ht="23.85" hidden="false" customHeight="false" outlineLevel="0" collapsed="false">
      <c r="A58" s="6" t="s">
        <v>265</v>
      </c>
      <c r="B58" s="6" t="s">
        <v>132</v>
      </c>
      <c r="C58" s="6" t="s">
        <v>165</v>
      </c>
      <c r="D58" s="6" t="s">
        <v>80</v>
      </c>
      <c r="E58" s="6"/>
      <c r="F58" s="6" t="s">
        <v>91</v>
      </c>
      <c r="G58" s="6" t="s">
        <v>3555</v>
      </c>
      <c r="H58" s="6" t="s">
        <v>3556</v>
      </c>
      <c r="I58" s="6" t="n">
        <v>5</v>
      </c>
      <c r="J58" s="6"/>
      <c r="K58" s="6" t="s">
        <v>3611</v>
      </c>
      <c r="L58" s="7"/>
      <c r="M58" s="7"/>
    </row>
    <row r="59" customFormat="false" ht="23.85" hidden="false" customHeight="false" outlineLevel="0" collapsed="false">
      <c r="A59" s="6" t="s">
        <v>274</v>
      </c>
      <c r="B59" s="6" t="s">
        <v>77</v>
      </c>
      <c r="C59" s="6" t="s">
        <v>79</v>
      </c>
      <c r="D59" s="6" t="s">
        <v>80</v>
      </c>
      <c r="E59" s="6"/>
      <c r="F59" s="6" t="s">
        <v>91</v>
      </c>
      <c r="G59" s="6" t="s">
        <v>3549</v>
      </c>
      <c r="H59" s="6" t="s">
        <v>3550</v>
      </c>
      <c r="I59" s="6" t="n">
        <v>60</v>
      </c>
      <c r="J59" s="6"/>
      <c r="K59" s="6" t="s">
        <v>3612</v>
      </c>
      <c r="L59" s="7"/>
      <c r="M59" s="7"/>
    </row>
    <row r="60" customFormat="false" ht="23.85" hidden="false" customHeight="false" outlineLevel="0" collapsed="false">
      <c r="A60" s="6" t="s">
        <v>274</v>
      </c>
      <c r="B60" s="6" t="s">
        <v>77</v>
      </c>
      <c r="C60" s="6" t="s">
        <v>79</v>
      </c>
      <c r="D60" s="6" t="s">
        <v>80</v>
      </c>
      <c r="E60" s="6"/>
      <c r="F60" s="6" t="s">
        <v>91</v>
      </c>
      <c r="G60" s="6" t="s">
        <v>3552</v>
      </c>
      <c r="H60" s="6" t="s">
        <v>3553</v>
      </c>
      <c r="I60" s="6" t="n">
        <v>98</v>
      </c>
      <c r="J60" s="6" t="s">
        <v>83</v>
      </c>
      <c r="K60" s="6" t="s">
        <v>3613</v>
      </c>
      <c r="L60" s="7"/>
      <c r="M60" s="7"/>
    </row>
    <row r="61" customFormat="false" ht="15" hidden="false" customHeight="false" outlineLevel="0" collapsed="false">
      <c r="A61" s="6" t="s">
        <v>274</v>
      </c>
      <c r="B61" s="6" t="s">
        <v>77</v>
      </c>
      <c r="C61" s="6" t="s">
        <v>79</v>
      </c>
      <c r="D61" s="6" t="s">
        <v>80</v>
      </c>
      <c r="E61" s="6"/>
      <c r="F61" s="6" t="s">
        <v>91</v>
      </c>
      <c r="G61" s="6" t="s">
        <v>3555</v>
      </c>
      <c r="H61" s="6" t="s">
        <v>3556</v>
      </c>
      <c r="I61" s="6" t="n">
        <v>15</v>
      </c>
      <c r="J61" s="6"/>
      <c r="K61" s="6" t="s">
        <v>3614</v>
      </c>
      <c r="L61" s="7"/>
      <c r="M61" s="7"/>
    </row>
    <row r="62" customFormat="false" ht="23.85" hidden="false" customHeight="false" outlineLevel="0" collapsed="false">
      <c r="A62" s="6" t="s">
        <v>280</v>
      </c>
      <c r="B62" s="6" t="s">
        <v>110</v>
      </c>
      <c r="C62" s="6" t="s">
        <v>165</v>
      </c>
      <c r="D62" s="6" t="s">
        <v>80</v>
      </c>
      <c r="E62" s="6"/>
      <c r="F62" s="6" t="s">
        <v>91</v>
      </c>
      <c r="G62" s="6" t="s">
        <v>3549</v>
      </c>
      <c r="H62" s="6" t="s">
        <v>3550</v>
      </c>
      <c r="I62" s="6" t="n">
        <v>55</v>
      </c>
      <c r="J62" s="6"/>
      <c r="K62" s="6" t="s">
        <v>3615</v>
      </c>
      <c r="L62" s="7"/>
      <c r="M62" s="7"/>
    </row>
    <row r="63" customFormat="false" ht="35.05" hidden="false" customHeight="false" outlineLevel="0" collapsed="false">
      <c r="A63" s="6" t="s">
        <v>280</v>
      </c>
      <c r="B63" s="6" t="s">
        <v>110</v>
      </c>
      <c r="C63" s="6" t="s">
        <v>165</v>
      </c>
      <c r="D63" s="6" t="s">
        <v>80</v>
      </c>
      <c r="E63" s="6"/>
      <c r="F63" s="6" t="s">
        <v>91</v>
      </c>
      <c r="G63" s="6" t="s">
        <v>3552</v>
      </c>
      <c r="H63" s="6" t="s">
        <v>3553</v>
      </c>
      <c r="I63" s="6" t="n">
        <v>98</v>
      </c>
      <c r="J63" s="6" t="s">
        <v>83</v>
      </c>
      <c r="K63" s="6" t="s">
        <v>3616</v>
      </c>
      <c r="L63" s="7"/>
      <c r="M63" s="7"/>
    </row>
    <row r="64" customFormat="false" ht="23.85" hidden="false" customHeight="false" outlineLevel="0" collapsed="false">
      <c r="A64" s="6" t="s">
        <v>280</v>
      </c>
      <c r="B64" s="6" t="s">
        <v>110</v>
      </c>
      <c r="C64" s="6" t="s">
        <v>165</v>
      </c>
      <c r="D64" s="6" t="s">
        <v>80</v>
      </c>
      <c r="E64" s="6"/>
      <c r="F64" s="6" t="s">
        <v>91</v>
      </c>
      <c r="G64" s="6" t="s">
        <v>3555</v>
      </c>
      <c r="H64" s="6" t="s">
        <v>3556</v>
      </c>
      <c r="I64" s="6" t="n">
        <v>5</v>
      </c>
      <c r="J64" s="6"/>
      <c r="K64" s="6" t="s">
        <v>3617</v>
      </c>
      <c r="L64" s="7"/>
      <c r="M64" s="7"/>
    </row>
    <row r="65" customFormat="false" ht="23.85" hidden="false" customHeight="false" outlineLevel="0" collapsed="false">
      <c r="A65" s="6" t="s">
        <v>289</v>
      </c>
      <c r="B65" s="6" t="s">
        <v>77</v>
      </c>
      <c r="C65" s="6" t="s">
        <v>79</v>
      </c>
      <c r="D65" s="6" t="s">
        <v>80</v>
      </c>
      <c r="E65" s="6"/>
      <c r="F65" s="6" t="s">
        <v>91</v>
      </c>
      <c r="G65" s="6" t="s">
        <v>3549</v>
      </c>
      <c r="H65" s="6" t="s">
        <v>3550</v>
      </c>
      <c r="I65" s="6" t="n">
        <v>45</v>
      </c>
      <c r="J65" s="6"/>
      <c r="K65" s="6" t="s">
        <v>3618</v>
      </c>
      <c r="L65" s="7"/>
      <c r="M65" s="7"/>
    </row>
    <row r="66" customFormat="false" ht="15" hidden="false" customHeight="false" outlineLevel="0" collapsed="false">
      <c r="A66" s="6" t="s">
        <v>289</v>
      </c>
      <c r="B66" s="6" t="s">
        <v>77</v>
      </c>
      <c r="C66" s="6" t="s">
        <v>79</v>
      </c>
      <c r="D66" s="6" t="s">
        <v>80</v>
      </c>
      <c r="E66" s="6"/>
      <c r="F66" s="6" t="s">
        <v>91</v>
      </c>
      <c r="G66" s="6" t="s">
        <v>3552</v>
      </c>
      <c r="H66" s="6" t="s">
        <v>3553</v>
      </c>
      <c r="I66" s="6" t="n">
        <v>60</v>
      </c>
      <c r="J66" s="6"/>
      <c r="K66" s="6" t="s">
        <v>3619</v>
      </c>
      <c r="L66" s="7"/>
      <c r="M66" s="7"/>
    </row>
    <row r="67" customFormat="false" ht="23.85" hidden="false" customHeight="false" outlineLevel="0" collapsed="false">
      <c r="A67" s="6" t="s">
        <v>289</v>
      </c>
      <c r="B67" s="6" t="s">
        <v>77</v>
      </c>
      <c r="C67" s="6" t="s">
        <v>79</v>
      </c>
      <c r="D67" s="6" t="s">
        <v>80</v>
      </c>
      <c r="E67" s="6"/>
      <c r="F67" s="6" t="s">
        <v>91</v>
      </c>
      <c r="G67" s="6" t="s">
        <v>3555</v>
      </c>
      <c r="H67" s="6" t="s">
        <v>3556</v>
      </c>
      <c r="I67" s="6" t="n">
        <v>98</v>
      </c>
      <c r="J67" s="6" t="s">
        <v>83</v>
      </c>
      <c r="K67" s="6" t="s">
        <v>3620</v>
      </c>
      <c r="L67" s="7"/>
      <c r="M67" s="7"/>
    </row>
    <row r="68" customFormat="false" ht="23.85" hidden="false" customHeight="false" outlineLevel="0" collapsed="false">
      <c r="A68" s="6" t="s">
        <v>295</v>
      </c>
      <c r="B68" s="6" t="s">
        <v>145</v>
      </c>
      <c r="C68" s="6" t="s">
        <v>98</v>
      </c>
      <c r="D68" s="6" t="s">
        <v>80</v>
      </c>
      <c r="E68" s="6"/>
      <c r="F68" s="6" t="s">
        <v>91</v>
      </c>
      <c r="G68" s="6" t="s">
        <v>3549</v>
      </c>
      <c r="H68" s="6" t="s">
        <v>3550</v>
      </c>
      <c r="I68" s="6" t="n">
        <v>65</v>
      </c>
      <c r="J68" s="6"/>
      <c r="K68" s="6" t="s">
        <v>3621</v>
      </c>
      <c r="L68" s="7"/>
      <c r="M68" s="7"/>
    </row>
    <row r="69" customFormat="false" ht="23.85" hidden="false" customHeight="false" outlineLevel="0" collapsed="false">
      <c r="A69" s="6" t="s">
        <v>295</v>
      </c>
      <c r="B69" s="6" t="s">
        <v>145</v>
      </c>
      <c r="C69" s="6" t="s">
        <v>98</v>
      </c>
      <c r="D69" s="6" t="s">
        <v>80</v>
      </c>
      <c r="E69" s="6"/>
      <c r="F69" s="6" t="s">
        <v>91</v>
      </c>
      <c r="G69" s="6" t="s">
        <v>3552</v>
      </c>
      <c r="H69" s="6" t="s">
        <v>3553</v>
      </c>
      <c r="I69" s="6" t="n">
        <v>98</v>
      </c>
      <c r="J69" s="6" t="s">
        <v>83</v>
      </c>
      <c r="K69" s="6" t="s">
        <v>3622</v>
      </c>
      <c r="L69" s="7"/>
      <c r="M69" s="7"/>
    </row>
    <row r="70" customFormat="false" ht="23.85" hidden="false" customHeight="false" outlineLevel="0" collapsed="false">
      <c r="A70" s="6" t="s">
        <v>295</v>
      </c>
      <c r="B70" s="6" t="s">
        <v>145</v>
      </c>
      <c r="C70" s="6" t="s">
        <v>98</v>
      </c>
      <c r="D70" s="6" t="s">
        <v>80</v>
      </c>
      <c r="E70" s="6"/>
      <c r="F70" s="6" t="s">
        <v>91</v>
      </c>
      <c r="G70" s="6" t="s">
        <v>3555</v>
      </c>
      <c r="H70" s="6" t="s">
        <v>3556</v>
      </c>
      <c r="I70" s="6" t="n">
        <v>10</v>
      </c>
      <c r="J70" s="6"/>
      <c r="K70" s="6" t="s">
        <v>3623</v>
      </c>
      <c r="L70" s="7"/>
      <c r="M70" s="7"/>
    </row>
    <row r="71" customFormat="false" ht="35.05" hidden="false" customHeight="false" outlineLevel="0" collapsed="false">
      <c r="A71" s="6" t="s">
        <v>303</v>
      </c>
      <c r="B71" s="6" t="s">
        <v>145</v>
      </c>
      <c r="C71" s="6" t="s">
        <v>98</v>
      </c>
      <c r="D71" s="6" t="s">
        <v>80</v>
      </c>
      <c r="E71" s="6"/>
      <c r="F71" s="6" t="s">
        <v>91</v>
      </c>
      <c r="G71" s="6" t="s">
        <v>3549</v>
      </c>
      <c r="H71" s="6" t="s">
        <v>3550</v>
      </c>
      <c r="I71" s="6" t="n">
        <v>98</v>
      </c>
      <c r="J71" s="6" t="s">
        <v>83</v>
      </c>
      <c r="K71" s="6" t="s">
        <v>3624</v>
      </c>
      <c r="L71" s="7"/>
      <c r="M71" s="7"/>
    </row>
    <row r="72" customFormat="false" ht="23.85" hidden="false" customHeight="false" outlineLevel="0" collapsed="false">
      <c r="A72" s="6" t="s">
        <v>303</v>
      </c>
      <c r="B72" s="6" t="s">
        <v>145</v>
      </c>
      <c r="C72" s="6" t="s">
        <v>98</v>
      </c>
      <c r="D72" s="6" t="s">
        <v>80</v>
      </c>
      <c r="E72" s="6"/>
      <c r="F72" s="6" t="s">
        <v>91</v>
      </c>
      <c r="G72" s="6" t="s">
        <v>3552</v>
      </c>
      <c r="H72" s="6" t="s">
        <v>3553</v>
      </c>
      <c r="I72" s="6" t="n">
        <v>50</v>
      </c>
      <c r="J72" s="6"/>
      <c r="K72" s="6" t="s">
        <v>3625</v>
      </c>
      <c r="L72" s="7"/>
      <c r="M72" s="7"/>
    </row>
    <row r="73" customFormat="false" ht="15" hidden="false" customHeight="false" outlineLevel="0" collapsed="false">
      <c r="A73" s="6" t="s">
        <v>303</v>
      </c>
      <c r="B73" s="6" t="s">
        <v>145</v>
      </c>
      <c r="C73" s="6" t="s">
        <v>98</v>
      </c>
      <c r="D73" s="6" t="s">
        <v>80</v>
      </c>
      <c r="E73" s="6"/>
      <c r="F73" s="6" t="s">
        <v>91</v>
      </c>
      <c r="G73" s="6" t="s">
        <v>3555</v>
      </c>
      <c r="H73" s="6" t="s">
        <v>3556</v>
      </c>
      <c r="I73" s="6" t="n">
        <v>5</v>
      </c>
      <c r="J73" s="6"/>
      <c r="K73" s="6" t="s">
        <v>3626</v>
      </c>
      <c r="L73" s="7"/>
      <c r="M73" s="7"/>
    </row>
    <row r="74" customFormat="false" ht="23.85" hidden="false" customHeight="false" outlineLevel="0" collapsed="false">
      <c r="A74" s="6" t="s">
        <v>311</v>
      </c>
      <c r="B74" s="6" t="s">
        <v>110</v>
      </c>
      <c r="C74" s="6" t="s">
        <v>165</v>
      </c>
      <c r="D74" s="6" t="s">
        <v>80</v>
      </c>
      <c r="E74" s="6"/>
      <c r="F74" s="6" t="s">
        <v>91</v>
      </c>
      <c r="G74" s="6" t="s">
        <v>3549</v>
      </c>
      <c r="H74" s="6" t="s">
        <v>3550</v>
      </c>
      <c r="I74" s="6" t="n">
        <v>60</v>
      </c>
      <c r="J74" s="6"/>
      <c r="K74" s="6" t="s">
        <v>3627</v>
      </c>
      <c r="L74" s="7"/>
      <c r="M74" s="7"/>
    </row>
    <row r="75" customFormat="false" ht="23.85" hidden="false" customHeight="false" outlineLevel="0" collapsed="false">
      <c r="A75" s="6" t="s">
        <v>311</v>
      </c>
      <c r="B75" s="6" t="s">
        <v>110</v>
      </c>
      <c r="C75" s="6" t="s">
        <v>165</v>
      </c>
      <c r="D75" s="6" t="s">
        <v>80</v>
      </c>
      <c r="E75" s="6"/>
      <c r="F75" s="6" t="s">
        <v>91</v>
      </c>
      <c r="G75" s="6" t="s">
        <v>3552</v>
      </c>
      <c r="H75" s="6" t="s">
        <v>3553</v>
      </c>
      <c r="I75" s="6" t="n">
        <v>98</v>
      </c>
      <c r="J75" s="6" t="s">
        <v>83</v>
      </c>
      <c r="K75" s="6" t="s">
        <v>3628</v>
      </c>
      <c r="L75" s="7"/>
      <c r="M75" s="7"/>
    </row>
    <row r="76" customFormat="false" ht="23.85" hidden="false" customHeight="false" outlineLevel="0" collapsed="false">
      <c r="A76" s="6" t="s">
        <v>311</v>
      </c>
      <c r="B76" s="6" t="s">
        <v>110</v>
      </c>
      <c r="C76" s="6" t="s">
        <v>165</v>
      </c>
      <c r="D76" s="6" t="s">
        <v>80</v>
      </c>
      <c r="E76" s="6"/>
      <c r="F76" s="6" t="s">
        <v>91</v>
      </c>
      <c r="G76" s="6" t="s">
        <v>3555</v>
      </c>
      <c r="H76" s="6" t="s">
        <v>3556</v>
      </c>
      <c r="I76" s="6" t="n">
        <v>10</v>
      </c>
      <c r="J76" s="6"/>
      <c r="K76" s="6" t="s">
        <v>3629</v>
      </c>
      <c r="L76" s="7"/>
      <c r="M76" s="7"/>
    </row>
    <row r="77" customFormat="false" ht="23.85" hidden="false" customHeight="false" outlineLevel="0" collapsed="false">
      <c r="A77" s="6" t="s">
        <v>319</v>
      </c>
      <c r="B77" s="6" t="s">
        <v>145</v>
      </c>
      <c r="C77" s="6" t="s">
        <v>165</v>
      </c>
      <c r="D77" s="6" t="s">
        <v>80</v>
      </c>
      <c r="E77" s="6"/>
      <c r="F77" s="6" t="s">
        <v>91</v>
      </c>
      <c r="G77" s="6" t="s">
        <v>3549</v>
      </c>
      <c r="H77" s="6" t="s">
        <v>3550</v>
      </c>
      <c r="I77" s="6" t="n">
        <v>65</v>
      </c>
      <c r="J77" s="6"/>
      <c r="K77" s="6" t="s">
        <v>3630</v>
      </c>
      <c r="L77" s="7"/>
      <c r="M77" s="7"/>
    </row>
    <row r="78" customFormat="false" ht="23.85" hidden="false" customHeight="false" outlineLevel="0" collapsed="false">
      <c r="A78" s="6" t="s">
        <v>319</v>
      </c>
      <c r="B78" s="6" t="s">
        <v>145</v>
      </c>
      <c r="C78" s="6" t="s">
        <v>165</v>
      </c>
      <c r="D78" s="6" t="s">
        <v>80</v>
      </c>
      <c r="E78" s="6"/>
      <c r="F78" s="6" t="s">
        <v>91</v>
      </c>
      <c r="G78" s="6" t="s">
        <v>3552</v>
      </c>
      <c r="H78" s="6" t="s">
        <v>3553</v>
      </c>
      <c r="I78" s="6" t="n">
        <v>98</v>
      </c>
      <c r="J78" s="6" t="s">
        <v>83</v>
      </c>
      <c r="K78" s="6" t="s">
        <v>3631</v>
      </c>
      <c r="L78" s="7"/>
      <c r="M78" s="7"/>
    </row>
    <row r="79" customFormat="false" ht="23.85" hidden="false" customHeight="false" outlineLevel="0" collapsed="false">
      <c r="A79" s="6" t="s">
        <v>319</v>
      </c>
      <c r="B79" s="6" t="s">
        <v>145</v>
      </c>
      <c r="C79" s="6" t="s">
        <v>165</v>
      </c>
      <c r="D79" s="6" t="s">
        <v>80</v>
      </c>
      <c r="E79" s="6"/>
      <c r="F79" s="6" t="s">
        <v>91</v>
      </c>
      <c r="G79" s="6" t="s">
        <v>3555</v>
      </c>
      <c r="H79" s="6" t="s">
        <v>3556</v>
      </c>
      <c r="I79" s="6" t="n">
        <v>5</v>
      </c>
      <c r="J79" s="6"/>
      <c r="K79" s="6" t="s">
        <v>3632</v>
      </c>
      <c r="L79" s="7"/>
      <c r="M79" s="7"/>
    </row>
    <row r="80" customFormat="false" ht="23.85" hidden="false" customHeight="false" outlineLevel="0" collapsed="false">
      <c r="A80" s="6" t="s">
        <v>328</v>
      </c>
      <c r="B80" s="6" t="s">
        <v>77</v>
      </c>
      <c r="C80" s="6" t="s">
        <v>79</v>
      </c>
      <c r="D80" s="6" t="s">
        <v>80</v>
      </c>
      <c r="E80" s="6"/>
      <c r="F80" s="6" t="s">
        <v>91</v>
      </c>
      <c r="G80" s="6" t="s">
        <v>3549</v>
      </c>
      <c r="H80" s="6" t="s">
        <v>3550</v>
      </c>
      <c r="I80" s="6" t="n">
        <v>30</v>
      </c>
      <c r="J80" s="6"/>
      <c r="K80" s="6" t="s">
        <v>3633</v>
      </c>
      <c r="L80" s="7"/>
      <c r="M80" s="7"/>
    </row>
    <row r="81" customFormat="false" ht="23.85" hidden="false" customHeight="false" outlineLevel="0" collapsed="false">
      <c r="A81" s="6" t="s">
        <v>328</v>
      </c>
      <c r="B81" s="6" t="s">
        <v>77</v>
      </c>
      <c r="C81" s="6" t="s">
        <v>79</v>
      </c>
      <c r="D81" s="6" t="s">
        <v>80</v>
      </c>
      <c r="E81" s="6"/>
      <c r="F81" s="6" t="s">
        <v>91</v>
      </c>
      <c r="G81" s="6" t="s">
        <v>3552</v>
      </c>
      <c r="H81" s="6" t="s">
        <v>3553</v>
      </c>
      <c r="I81" s="6" t="n">
        <v>70</v>
      </c>
      <c r="J81" s="6"/>
      <c r="K81" s="6" t="s">
        <v>3634</v>
      </c>
      <c r="L81" s="7"/>
      <c r="M81" s="7"/>
    </row>
    <row r="82" customFormat="false" ht="23.85" hidden="false" customHeight="false" outlineLevel="0" collapsed="false">
      <c r="A82" s="6" t="s">
        <v>328</v>
      </c>
      <c r="B82" s="6" t="s">
        <v>77</v>
      </c>
      <c r="C82" s="6" t="s">
        <v>79</v>
      </c>
      <c r="D82" s="6" t="s">
        <v>80</v>
      </c>
      <c r="E82" s="6"/>
      <c r="F82" s="6" t="s">
        <v>91</v>
      </c>
      <c r="G82" s="6" t="s">
        <v>3555</v>
      </c>
      <c r="H82" s="6" t="s">
        <v>3556</v>
      </c>
      <c r="I82" s="6" t="n">
        <v>98</v>
      </c>
      <c r="J82" s="6" t="s">
        <v>83</v>
      </c>
      <c r="K82" s="6" t="s">
        <v>3635</v>
      </c>
      <c r="L82" s="7"/>
      <c r="M82" s="7"/>
    </row>
    <row r="83" customFormat="false" ht="35.05" hidden="false" customHeight="false" outlineLevel="0" collapsed="false">
      <c r="A83" s="6" t="s">
        <v>334</v>
      </c>
      <c r="B83" s="6" t="s">
        <v>96</v>
      </c>
      <c r="C83" s="6" t="s">
        <v>165</v>
      </c>
      <c r="D83" s="6" t="s">
        <v>80</v>
      </c>
      <c r="E83" s="6"/>
      <c r="F83" s="6" t="s">
        <v>91</v>
      </c>
      <c r="G83" s="6" t="s">
        <v>3549</v>
      </c>
      <c r="H83" s="6" t="s">
        <v>3550</v>
      </c>
      <c r="I83" s="6" t="n">
        <v>98</v>
      </c>
      <c r="J83" s="6" t="s">
        <v>83</v>
      </c>
      <c r="K83" s="6" t="s">
        <v>3636</v>
      </c>
      <c r="L83" s="7"/>
      <c r="M83" s="7"/>
    </row>
    <row r="84" customFormat="false" ht="23.85" hidden="false" customHeight="false" outlineLevel="0" collapsed="false">
      <c r="A84" s="6" t="s">
        <v>334</v>
      </c>
      <c r="B84" s="6" t="s">
        <v>96</v>
      </c>
      <c r="C84" s="6" t="s">
        <v>165</v>
      </c>
      <c r="D84" s="6" t="s">
        <v>80</v>
      </c>
      <c r="E84" s="6"/>
      <c r="F84" s="6" t="s">
        <v>91</v>
      </c>
      <c r="G84" s="6" t="s">
        <v>3552</v>
      </c>
      <c r="H84" s="6" t="s">
        <v>3553</v>
      </c>
      <c r="I84" s="6" t="n">
        <v>50</v>
      </c>
      <c r="J84" s="6"/>
      <c r="K84" s="6" t="s">
        <v>3637</v>
      </c>
      <c r="L84" s="7"/>
      <c r="M84" s="7"/>
    </row>
    <row r="85" customFormat="false" ht="23.85" hidden="false" customHeight="false" outlineLevel="0" collapsed="false">
      <c r="A85" s="6" t="s">
        <v>334</v>
      </c>
      <c r="B85" s="6" t="s">
        <v>96</v>
      </c>
      <c r="C85" s="6" t="s">
        <v>165</v>
      </c>
      <c r="D85" s="6" t="s">
        <v>80</v>
      </c>
      <c r="E85" s="6"/>
      <c r="F85" s="6" t="s">
        <v>91</v>
      </c>
      <c r="G85" s="6" t="s">
        <v>3555</v>
      </c>
      <c r="H85" s="6" t="s">
        <v>3556</v>
      </c>
      <c r="I85" s="6" t="n">
        <v>5</v>
      </c>
      <c r="J85" s="6"/>
      <c r="K85" s="6" t="s">
        <v>3638</v>
      </c>
      <c r="L85" s="7"/>
      <c r="M85" s="7"/>
    </row>
    <row r="86" customFormat="false" ht="23.85" hidden="false" customHeight="false" outlineLevel="0" collapsed="false">
      <c r="A86" s="6" t="s">
        <v>344</v>
      </c>
      <c r="B86" s="6" t="s">
        <v>77</v>
      </c>
      <c r="C86" s="6" t="s">
        <v>79</v>
      </c>
      <c r="D86" s="6" t="s">
        <v>80</v>
      </c>
      <c r="E86" s="6"/>
      <c r="F86" s="6" t="s">
        <v>91</v>
      </c>
      <c r="G86" s="6" t="s">
        <v>3549</v>
      </c>
      <c r="H86" s="6" t="s">
        <v>3550</v>
      </c>
      <c r="I86" s="6" t="n">
        <v>40</v>
      </c>
      <c r="J86" s="6"/>
      <c r="K86" s="6" t="s">
        <v>3639</v>
      </c>
      <c r="L86" s="7"/>
      <c r="M86" s="7"/>
    </row>
    <row r="87" customFormat="false" ht="23.85" hidden="false" customHeight="false" outlineLevel="0" collapsed="false">
      <c r="A87" s="6" t="s">
        <v>344</v>
      </c>
      <c r="B87" s="6" t="s">
        <v>77</v>
      </c>
      <c r="C87" s="6" t="s">
        <v>79</v>
      </c>
      <c r="D87" s="6" t="s">
        <v>80</v>
      </c>
      <c r="E87" s="6"/>
      <c r="F87" s="6" t="s">
        <v>91</v>
      </c>
      <c r="G87" s="6" t="s">
        <v>3552</v>
      </c>
      <c r="H87" s="6" t="s">
        <v>3553</v>
      </c>
      <c r="I87" s="6" t="n">
        <v>65</v>
      </c>
      <c r="J87" s="6"/>
      <c r="K87" s="6" t="s">
        <v>3640</v>
      </c>
      <c r="L87" s="7"/>
      <c r="M87" s="7"/>
    </row>
    <row r="88" customFormat="false" ht="23.85" hidden="false" customHeight="false" outlineLevel="0" collapsed="false">
      <c r="A88" s="6" t="s">
        <v>344</v>
      </c>
      <c r="B88" s="6" t="s">
        <v>77</v>
      </c>
      <c r="C88" s="6" t="s">
        <v>79</v>
      </c>
      <c r="D88" s="6" t="s">
        <v>80</v>
      </c>
      <c r="E88" s="6"/>
      <c r="F88" s="6" t="s">
        <v>91</v>
      </c>
      <c r="G88" s="6" t="s">
        <v>3555</v>
      </c>
      <c r="H88" s="6" t="s">
        <v>3556</v>
      </c>
      <c r="I88" s="6" t="n">
        <v>98</v>
      </c>
      <c r="J88" s="6" t="s">
        <v>83</v>
      </c>
      <c r="K88" s="6" t="s">
        <v>3641</v>
      </c>
      <c r="L88" s="7"/>
      <c r="M88" s="7"/>
    </row>
    <row r="89" customFormat="false" ht="23.85" hidden="false" customHeight="false" outlineLevel="0" collapsed="false">
      <c r="A89" s="6" t="s">
        <v>351</v>
      </c>
      <c r="B89" s="6" t="s">
        <v>110</v>
      </c>
      <c r="C89" s="6" t="s">
        <v>165</v>
      </c>
      <c r="D89" s="6" t="s">
        <v>80</v>
      </c>
      <c r="E89" s="6"/>
      <c r="F89" s="6" t="s">
        <v>91</v>
      </c>
      <c r="G89" s="6" t="s">
        <v>3549</v>
      </c>
      <c r="H89" s="6" t="s">
        <v>3550</v>
      </c>
      <c r="I89" s="6" t="n">
        <v>98</v>
      </c>
      <c r="J89" s="6" t="s">
        <v>83</v>
      </c>
      <c r="K89" s="6" t="s">
        <v>3642</v>
      </c>
      <c r="L89" s="7"/>
      <c r="M89" s="7"/>
    </row>
    <row r="90" customFormat="false" ht="23.85" hidden="false" customHeight="false" outlineLevel="0" collapsed="false">
      <c r="A90" s="6" t="s">
        <v>351</v>
      </c>
      <c r="B90" s="6" t="s">
        <v>110</v>
      </c>
      <c r="C90" s="6" t="s">
        <v>165</v>
      </c>
      <c r="D90" s="6" t="s">
        <v>80</v>
      </c>
      <c r="E90" s="6"/>
      <c r="F90" s="6" t="s">
        <v>91</v>
      </c>
      <c r="G90" s="6" t="s">
        <v>3552</v>
      </c>
      <c r="H90" s="6" t="s">
        <v>3553</v>
      </c>
      <c r="I90" s="6" t="n">
        <v>45</v>
      </c>
      <c r="J90" s="6"/>
      <c r="K90" s="6" t="s">
        <v>3643</v>
      </c>
      <c r="L90" s="7"/>
      <c r="M90" s="7"/>
    </row>
    <row r="91" customFormat="false" ht="15" hidden="false" customHeight="false" outlineLevel="0" collapsed="false">
      <c r="A91" s="6" t="s">
        <v>351</v>
      </c>
      <c r="B91" s="6" t="s">
        <v>110</v>
      </c>
      <c r="C91" s="6" t="s">
        <v>165</v>
      </c>
      <c r="D91" s="6" t="s">
        <v>80</v>
      </c>
      <c r="E91" s="6"/>
      <c r="F91" s="6" t="s">
        <v>91</v>
      </c>
      <c r="G91" s="6" t="s">
        <v>3555</v>
      </c>
      <c r="H91" s="6" t="s">
        <v>3556</v>
      </c>
      <c r="I91" s="6" t="n">
        <v>0</v>
      </c>
      <c r="J91" s="6"/>
      <c r="K91" s="6" t="s">
        <v>3644</v>
      </c>
      <c r="L91" s="7"/>
      <c r="M91" s="7"/>
    </row>
    <row r="92" customFormat="false" ht="23.85" hidden="false" customHeight="false" outlineLevel="0" collapsed="false">
      <c r="A92" s="6" t="s">
        <v>359</v>
      </c>
      <c r="B92" s="6" t="s">
        <v>77</v>
      </c>
      <c r="C92" s="6" t="s">
        <v>98</v>
      </c>
      <c r="D92" s="6" t="s">
        <v>80</v>
      </c>
      <c r="E92" s="6"/>
      <c r="F92" s="6" t="s">
        <v>91</v>
      </c>
      <c r="G92" s="6" t="s">
        <v>3549</v>
      </c>
      <c r="H92" s="6" t="s">
        <v>3550</v>
      </c>
      <c r="I92" s="6" t="n">
        <v>55</v>
      </c>
      <c r="J92" s="6"/>
      <c r="K92" s="6" t="s">
        <v>3645</v>
      </c>
      <c r="L92" s="7"/>
      <c r="M92" s="7"/>
    </row>
    <row r="93" customFormat="false" ht="23.85" hidden="false" customHeight="false" outlineLevel="0" collapsed="false">
      <c r="A93" s="6" t="s">
        <v>359</v>
      </c>
      <c r="B93" s="6" t="s">
        <v>77</v>
      </c>
      <c r="C93" s="6" t="s">
        <v>98</v>
      </c>
      <c r="D93" s="6" t="s">
        <v>80</v>
      </c>
      <c r="E93" s="6"/>
      <c r="F93" s="6" t="s">
        <v>91</v>
      </c>
      <c r="G93" s="6" t="s">
        <v>3552</v>
      </c>
      <c r="H93" s="6" t="s">
        <v>3553</v>
      </c>
      <c r="I93" s="6" t="n">
        <v>98</v>
      </c>
      <c r="J93" s="6" t="s">
        <v>83</v>
      </c>
      <c r="K93" s="6" t="s">
        <v>3646</v>
      </c>
      <c r="L93" s="7"/>
      <c r="M93" s="7"/>
    </row>
    <row r="94" customFormat="false" ht="23.85" hidden="false" customHeight="false" outlineLevel="0" collapsed="false">
      <c r="A94" s="6" t="s">
        <v>359</v>
      </c>
      <c r="B94" s="6" t="s">
        <v>77</v>
      </c>
      <c r="C94" s="6" t="s">
        <v>98</v>
      </c>
      <c r="D94" s="6" t="s">
        <v>80</v>
      </c>
      <c r="E94" s="6"/>
      <c r="F94" s="6" t="s">
        <v>91</v>
      </c>
      <c r="G94" s="6" t="s">
        <v>3555</v>
      </c>
      <c r="H94" s="6" t="s">
        <v>3556</v>
      </c>
      <c r="I94" s="6" t="n">
        <v>20</v>
      </c>
      <c r="J94" s="6"/>
      <c r="K94" s="6" t="s">
        <v>3647</v>
      </c>
      <c r="L94" s="7"/>
      <c r="M94" s="7"/>
    </row>
    <row r="95" customFormat="false" ht="23.85" hidden="false" customHeight="false" outlineLevel="0" collapsed="false">
      <c r="A95" s="6" t="s">
        <v>365</v>
      </c>
      <c r="B95" s="6" t="s">
        <v>96</v>
      </c>
      <c r="C95" s="6" t="s">
        <v>98</v>
      </c>
      <c r="D95" s="6" t="s">
        <v>80</v>
      </c>
      <c r="E95" s="6"/>
      <c r="F95" s="6" t="s">
        <v>91</v>
      </c>
      <c r="G95" s="6" t="s">
        <v>3549</v>
      </c>
      <c r="H95" s="6" t="s">
        <v>3550</v>
      </c>
      <c r="I95" s="6" t="n">
        <v>98</v>
      </c>
      <c r="J95" s="6" t="s">
        <v>83</v>
      </c>
      <c r="K95" s="6" t="s">
        <v>3648</v>
      </c>
      <c r="L95" s="7"/>
      <c r="M95" s="7"/>
    </row>
    <row r="96" customFormat="false" ht="23.85" hidden="false" customHeight="false" outlineLevel="0" collapsed="false">
      <c r="A96" s="6" t="s">
        <v>365</v>
      </c>
      <c r="B96" s="6" t="s">
        <v>96</v>
      </c>
      <c r="C96" s="6" t="s">
        <v>98</v>
      </c>
      <c r="D96" s="6" t="s">
        <v>80</v>
      </c>
      <c r="E96" s="6"/>
      <c r="F96" s="6" t="s">
        <v>91</v>
      </c>
      <c r="G96" s="6" t="s">
        <v>3552</v>
      </c>
      <c r="H96" s="6" t="s">
        <v>3553</v>
      </c>
      <c r="I96" s="6" t="n">
        <v>50</v>
      </c>
      <c r="J96" s="6"/>
      <c r="K96" s="6" t="s">
        <v>3649</v>
      </c>
      <c r="L96" s="7"/>
      <c r="M96" s="7"/>
    </row>
    <row r="97" customFormat="false" ht="15" hidden="false" customHeight="false" outlineLevel="0" collapsed="false">
      <c r="A97" s="6" t="s">
        <v>365</v>
      </c>
      <c r="B97" s="6" t="s">
        <v>96</v>
      </c>
      <c r="C97" s="6" t="s">
        <v>98</v>
      </c>
      <c r="D97" s="6" t="s">
        <v>80</v>
      </c>
      <c r="E97" s="6"/>
      <c r="F97" s="6" t="s">
        <v>91</v>
      </c>
      <c r="G97" s="6" t="s">
        <v>3555</v>
      </c>
      <c r="H97" s="6" t="s">
        <v>3556</v>
      </c>
      <c r="I97" s="6" t="n">
        <v>5</v>
      </c>
      <c r="J97" s="6"/>
      <c r="K97" s="6" t="s">
        <v>3650</v>
      </c>
      <c r="L97" s="7"/>
      <c r="M97" s="7"/>
    </row>
    <row r="98" customFormat="false" ht="23.85" hidden="false" customHeight="false" outlineLevel="0" collapsed="false">
      <c r="A98" s="6" t="s">
        <v>370</v>
      </c>
      <c r="B98" s="6" t="s">
        <v>110</v>
      </c>
      <c r="C98" s="6" t="s">
        <v>165</v>
      </c>
      <c r="D98" s="6" t="s">
        <v>372</v>
      </c>
      <c r="E98" s="6"/>
      <c r="F98" s="6" t="s">
        <v>380</v>
      </c>
      <c r="G98" s="6" t="s">
        <v>3651</v>
      </c>
      <c r="H98" s="6" t="s">
        <v>3652</v>
      </c>
      <c r="I98" s="6" t="n">
        <v>33</v>
      </c>
      <c r="J98" s="6" t="s">
        <v>83</v>
      </c>
      <c r="K98" s="6" t="s">
        <v>3653</v>
      </c>
      <c r="L98" s="7"/>
      <c r="M98" s="7"/>
    </row>
    <row r="99" customFormat="false" ht="23.85" hidden="false" customHeight="false" outlineLevel="0" collapsed="false">
      <c r="A99" s="6" t="s">
        <v>370</v>
      </c>
      <c r="B99" s="6" t="s">
        <v>110</v>
      </c>
      <c r="C99" s="6" t="s">
        <v>165</v>
      </c>
      <c r="D99" s="6" t="s">
        <v>372</v>
      </c>
      <c r="E99" s="6"/>
      <c r="F99" s="6" t="s">
        <v>380</v>
      </c>
      <c r="G99" s="6" t="s">
        <v>3654</v>
      </c>
      <c r="H99" s="6" t="s">
        <v>3655</v>
      </c>
      <c r="I99" s="6" t="n">
        <v>33</v>
      </c>
      <c r="J99" s="6" t="s">
        <v>83</v>
      </c>
      <c r="K99" s="6" t="s">
        <v>3656</v>
      </c>
      <c r="L99" s="7"/>
      <c r="M99" s="7"/>
    </row>
    <row r="100" customFormat="false" ht="23.85" hidden="false" customHeight="false" outlineLevel="0" collapsed="false">
      <c r="A100" s="6" t="s">
        <v>370</v>
      </c>
      <c r="B100" s="6" t="s">
        <v>110</v>
      </c>
      <c r="C100" s="6" t="s">
        <v>165</v>
      </c>
      <c r="D100" s="6" t="s">
        <v>372</v>
      </c>
      <c r="E100" s="6"/>
      <c r="F100" s="6" t="s">
        <v>380</v>
      </c>
      <c r="G100" s="6" t="s">
        <v>3657</v>
      </c>
      <c r="H100" s="6" t="s">
        <v>3658</v>
      </c>
      <c r="I100" s="6" t="n">
        <v>33</v>
      </c>
      <c r="J100" s="6" t="s">
        <v>83</v>
      </c>
      <c r="K100" s="6" t="s">
        <v>3659</v>
      </c>
      <c r="L100" s="7"/>
      <c r="M100" s="7"/>
    </row>
    <row r="101" customFormat="false" ht="23.85" hidden="false" customHeight="false" outlineLevel="0" collapsed="false">
      <c r="A101" s="6" t="s">
        <v>370</v>
      </c>
      <c r="B101" s="6" t="s">
        <v>110</v>
      </c>
      <c r="C101" s="6" t="s">
        <v>165</v>
      </c>
      <c r="D101" s="6" t="s">
        <v>372</v>
      </c>
      <c r="E101" s="6"/>
      <c r="F101" s="6" t="s">
        <v>380</v>
      </c>
      <c r="G101" s="6" t="s">
        <v>3660</v>
      </c>
      <c r="H101" s="6" t="s">
        <v>3661</v>
      </c>
      <c r="I101" s="6" t="n">
        <v>0</v>
      </c>
      <c r="J101" s="6"/>
      <c r="K101" s="6" t="s">
        <v>3662</v>
      </c>
      <c r="L101" s="7"/>
      <c r="M101" s="7"/>
    </row>
    <row r="102" customFormat="false" ht="23.85" hidden="false" customHeight="false" outlineLevel="0" collapsed="false">
      <c r="A102" s="6" t="s">
        <v>384</v>
      </c>
      <c r="B102" s="6" t="s">
        <v>96</v>
      </c>
      <c r="C102" s="6" t="s">
        <v>165</v>
      </c>
      <c r="D102" s="6" t="s">
        <v>372</v>
      </c>
      <c r="E102" s="6"/>
      <c r="F102" s="6" t="s">
        <v>391</v>
      </c>
      <c r="G102" s="6" t="s">
        <v>3651</v>
      </c>
      <c r="H102" s="6" t="s">
        <v>3663</v>
      </c>
      <c r="I102" s="6" t="n">
        <v>98</v>
      </c>
      <c r="J102" s="6" t="s">
        <v>83</v>
      </c>
      <c r="K102" s="6" t="s">
        <v>3664</v>
      </c>
      <c r="L102" s="7"/>
      <c r="M102" s="7"/>
    </row>
    <row r="103" customFormat="false" ht="15" hidden="false" customHeight="false" outlineLevel="0" collapsed="false">
      <c r="A103" s="6" t="s">
        <v>384</v>
      </c>
      <c r="B103" s="6" t="s">
        <v>96</v>
      </c>
      <c r="C103" s="6" t="s">
        <v>165</v>
      </c>
      <c r="D103" s="6" t="s">
        <v>372</v>
      </c>
      <c r="E103" s="6"/>
      <c r="F103" s="6" t="s">
        <v>391</v>
      </c>
      <c r="G103" s="6" t="s">
        <v>3654</v>
      </c>
      <c r="H103" s="6" t="s">
        <v>3665</v>
      </c>
      <c r="I103" s="6" t="n">
        <v>20</v>
      </c>
      <c r="J103" s="6"/>
      <c r="K103" s="6" t="s">
        <v>3666</v>
      </c>
      <c r="L103" s="7"/>
      <c r="M103" s="7"/>
    </row>
    <row r="104" customFormat="false" ht="15" hidden="false" customHeight="false" outlineLevel="0" collapsed="false">
      <c r="A104" s="6" t="s">
        <v>384</v>
      </c>
      <c r="B104" s="6" t="s">
        <v>96</v>
      </c>
      <c r="C104" s="6" t="s">
        <v>165</v>
      </c>
      <c r="D104" s="6" t="s">
        <v>372</v>
      </c>
      <c r="E104" s="6"/>
      <c r="F104" s="6" t="s">
        <v>391</v>
      </c>
      <c r="G104" s="6" t="s">
        <v>3657</v>
      </c>
      <c r="H104" s="6" t="s">
        <v>3667</v>
      </c>
      <c r="I104" s="6" t="n">
        <v>15</v>
      </c>
      <c r="J104" s="6"/>
      <c r="K104" s="6" t="s">
        <v>3668</v>
      </c>
      <c r="L104" s="7"/>
      <c r="M104" s="7"/>
    </row>
    <row r="105" customFormat="false" ht="15" hidden="false" customHeight="false" outlineLevel="0" collapsed="false">
      <c r="A105" s="6" t="s">
        <v>384</v>
      </c>
      <c r="B105" s="6" t="s">
        <v>96</v>
      </c>
      <c r="C105" s="6" t="s">
        <v>165</v>
      </c>
      <c r="D105" s="6" t="s">
        <v>372</v>
      </c>
      <c r="E105" s="6"/>
      <c r="F105" s="6" t="s">
        <v>391</v>
      </c>
      <c r="G105" s="6" t="s">
        <v>3660</v>
      </c>
      <c r="H105" s="6" t="s">
        <v>3669</v>
      </c>
      <c r="I105" s="6" t="n">
        <v>25</v>
      </c>
      <c r="J105" s="6"/>
      <c r="K105" s="6" t="s">
        <v>3670</v>
      </c>
      <c r="L105" s="7"/>
      <c r="M105" s="7"/>
    </row>
    <row r="106" customFormat="false" ht="15" hidden="false" customHeight="false" outlineLevel="0" collapsed="false">
      <c r="A106" s="6" t="s">
        <v>395</v>
      </c>
      <c r="B106" s="6" t="s">
        <v>96</v>
      </c>
      <c r="C106" s="6" t="s">
        <v>98</v>
      </c>
      <c r="D106" s="6" t="s">
        <v>396</v>
      </c>
      <c r="E106" s="6"/>
      <c r="F106" s="6" t="s">
        <v>403</v>
      </c>
      <c r="G106" s="6" t="s">
        <v>3651</v>
      </c>
      <c r="H106" s="6" t="s">
        <v>3671</v>
      </c>
      <c r="I106" s="6" t="n">
        <v>98</v>
      </c>
      <c r="J106" s="6" t="s">
        <v>83</v>
      </c>
      <c r="K106" s="6" t="s">
        <v>3672</v>
      </c>
      <c r="L106" s="7"/>
      <c r="M106" s="7"/>
    </row>
    <row r="107" customFormat="false" ht="15" hidden="false" customHeight="false" outlineLevel="0" collapsed="false">
      <c r="A107" s="6" t="s">
        <v>395</v>
      </c>
      <c r="B107" s="6" t="s">
        <v>96</v>
      </c>
      <c r="C107" s="6" t="s">
        <v>98</v>
      </c>
      <c r="D107" s="6" t="s">
        <v>396</v>
      </c>
      <c r="E107" s="6"/>
      <c r="F107" s="6" t="s">
        <v>403</v>
      </c>
      <c r="G107" s="6" t="s">
        <v>3654</v>
      </c>
      <c r="H107" s="6" t="s">
        <v>3673</v>
      </c>
      <c r="I107" s="6" t="n">
        <v>20</v>
      </c>
      <c r="J107" s="6"/>
      <c r="K107" s="6" t="s">
        <v>3674</v>
      </c>
      <c r="L107" s="7"/>
      <c r="M107" s="7"/>
    </row>
    <row r="108" customFormat="false" ht="15" hidden="false" customHeight="false" outlineLevel="0" collapsed="false">
      <c r="A108" s="6" t="s">
        <v>395</v>
      </c>
      <c r="B108" s="6" t="s">
        <v>96</v>
      </c>
      <c r="C108" s="6" t="s">
        <v>98</v>
      </c>
      <c r="D108" s="6" t="s">
        <v>396</v>
      </c>
      <c r="E108" s="6"/>
      <c r="F108" s="6" t="s">
        <v>403</v>
      </c>
      <c r="G108" s="6" t="s">
        <v>3657</v>
      </c>
      <c r="H108" s="6" t="s">
        <v>3675</v>
      </c>
      <c r="I108" s="6" t="n">
        <v>15</v>
      </c>
      <c r="J108" s="6"/>
      <c r="K108" s="6" t="s">
        <v>3676</v>
      </c>
      <c r="L108" s="7"/>
      <c r="M108" s="7"/>
    </row>
    <row r="109" customFormat="false" ht="23.85" hidden="false" customHeight="false" outlineLevel="0" collapsed="false">
      <c r="A109" s="6" t="s">
        <v>395</v>
      </c>
      <c r="B109" s="6" t="s">
        <v>96</v>
      </c>
      <c r="C109" s="6" t="s">
        <v>98</v>
      </c>
      <c r="D109" s="6" t="s">
        <v>396</v>
      </c>
      <c r="E109" s="6"/>
      <c r="F109" s="6" t="s">
        <v>403</v>
      </c>
      <c r="G109" s="6" t="s">
        <v>3660</v>
      </c>
      <c r="H109" s="6" t="s">
        <v>3677</v>
      </c>
      <c r="I109" s="6" t="n">
        <v>35</v>
      </c>
      <c r="J109" s="6"/>
      <c r="K109" s="6" t="s">
        <v>3678</v>
      </c>
      <c r="L109" s="7"/>
      <c r="M109" s="7"/>
    </row>
    <row r="110" customFormat="false" ht="23.85" hidden="false" customHeight="false" outlineLevel="0" collapsed="false">
      <c r="A110" s="6" t="s">
        <v>419</v>
      </c>
      <c r="B110" s="6" t="s">
        <v>110</v>
      </c>
      <c r="C110" s="6" t="s">
        <v>165</v>
      </c>
      <c r="D110" s="6" t="s">
        <v>372</v>
      </c>
      <c r="E110" s="6"/>
      <c r="F110" s="6" t="s">
        <v>426</v>
      </c>
      <c r="G110" s="6" t="s">
        <v>3651</v>
      </c>
      <c r="H110" s="6" t="s">
        <v>3679</v>
      </c>
      <c r="I110" s="6" t="n">
        <v>25</v>
      </c>
      <c r="J110" s="6" t="s">
        <v>83</v>
      </c>
      <c r="K110" s="6" t="s">
        <v>3680</v>
      </c>
      <c r="L110" s="7"/>
      <c r="M110" s="7"/>
    </row>
    <row r="111" customFormat="false" ht="23.85" hidden="false" customHeight="false" outlineLevel="0" collapsed="false">
      <c r="A111" s="6" t="s">
        <v>419</v>
      </c>
      <c r="B111" s="6" t="s">
        <v>110</v>
      </c>
      <c r="C111" s="6" t="s">
        <v>165</v>
      </c>
      <c r="D111" s="6" t="s">
        <v>372</v>
      </c>
      <c r="E111" s="6"/>
      <c r="F111" s="6" t="s">
        <v>426</v>
      </c>
      <c r="G111" s="6" t="s">
        <v>3654</v>
      </c>
      <c r="H111" s="6" t="s">
        <v>3681</v>
      </c>
      <c r="I111" s="6" t="n">
        <v>25</v>
      </c>
      <c r="J111" s="6" t="s">
        <v>83</v>
      </c>
      <c r="K111" s="6" t="s">
        <v>3682</v>
      </c>
      <c r="L111" s="7"/>
      <c r="M111" s="7"/>
    </row>
    <row r="112" customFormat="false" ht="23.85" hidden="false" customHeight="false" outlineLevel="0" collapsed="false">
      <c r="A112" s="6" t="s">
        <v>419</v>
      </c>
      <c r="B112" s="6" t="s">
        <v>110</v>
      </c>
      <c r="C112" s="6" t="s">
        <v>165</v>
      </c>
      <c r="D112" s="6" t="s">
        <v>372</v>
      </c>
      <c r="E112" s="6"/>
      <c r="F112" s="6" t="s">
        <v>426</v>
      </c>
      <c r="G112" s="6" t="s">
        <v>3657</v>
      </c>
      <c r="H112" s="6" t="s">
        <v>3683</v>
      </c>
      <c r="I112" s="6" t="n">
        <v>25</v>
      </c>
      <c r="J112" s="6" t="s">
        <v>83</v>
      </c>
      <c r="K112" s="6" t="s">
        <v>3684</v>
      </c>
      <c r="L112" s="7"/>
      <c r="M112" s="7"/>
    </row>
    <row r="113" customFormat="false" ht="23.85" hidden="false" customHeight="false" outlineLevel="0" collapsed="false">
      <c r="A113" s="6" t="s">
        <v>419</v>
      </c>
      <c r="B113" s="6" t="s">
        <v>110</v>
      </c>
      <c r="C113" s="6" t="s">
        <v>165</v>
      </c>
      <c r="D113" s="6" t="s">
        <v>372</v>
      </c>
      <c r="E113" s="6"/>
      <c r="F113" s="6" t="s">
        <v>426</v>
      </c>
      <c r="G113" s="6" t="s">
        <v>3660</v>
      </c>
      <c r="H113" s="6" t="s">
        <v>3685</v>
      </c>
      <c r="I113" s="6" t="n">
        <v>25</v>
      </c>
      <c r="J113" s="6" t="s">
        <v>83</v>
      </c>
      <c r="K113" s="6" t="s">
        <v>3686</v>
      </c>
      <c r="L113" s="7"/>
      <c r="M113" s="7"/>
    </row>
    <row r="114" customFormat="false" ht="23.85" hidden="false" customHeight="false" outlineLevel="0" collapsed="false">
      <c r="A114" s="6" t="s">
        <v>419</v>
      </c>
      <c r="B114" s="6" t="s">
        <v>110</v>
      </c>
      <c r="C114" s="6" t="s">
        <v>165</v>
      </c>
      <c r="D114" s="6" t="s">
        <v>372</v>
      </c>
      <c r="E114" s="6"/>
      <c r="F114" s="6" t="s">
        <v>426</v>
      </c>
      <c r="G114" s="6" t="s">
        <v>3687</v>
      </c>
      <c r="H114" s="6" t="s">
        <v>3688</v>
      </c>
      <c r="I114" s="6" t="n">
        <v>0</v>
      </c>
      <c r="J114" s="6"/>
      <c r="K114" s="6" t="s">
        <v>3689</v>
      </c>
      <c r="L114" s="7"/>
      <c r="M114" s="7"/>
    </row>
    <row r="115" customFormat="false" ht="23.85" hidden="false" customHeight="false" outlineLevel="0" collapsed="false">
      <c r="A115" s="6" t="s">
        <v>430</v>
      </c>
      <c r="B115" s="6" t="s">
        <v>132</v>
      </c>
      <c r="C115" s="6" t="s">
        <v>165</v>
      </c>
      <c r="D115" s="6" t="s">
        <v>431</v>
      </c>
      <c r="E115" s="6" t="s">
        <v>432</v>
      </c>
      <c r="F115" s="6" t="s">
        <v>437</v>
      </c>
      <c r="G115" s="6" t="s">
        <v>3690</v>
      </c>
      <c r="H115" s="6" t="s">
        <v>3691</v>
      </c>
      <c r="I115" s="6" t="n">
        <v>1</v>
      </c>
      <c r="J115" s="6" t="s">
        <v>3692</v>
      </c>
      <c r="K115" s="6"/>
      <c r="L115" s="7"/>
      <c r="M115" s="7"/>
    </row>
    <row r="116" customFormat="false" ht="23.85" hidden="false" customHeight="false" outlineLevel="0" collapsed="false">
      <c r="A116" s="6" t="s">
        <v>430</v>
      </c>
      <c r="B116" s="6" t="s">
        <v>132</v>
      </c>
      <c r="C116" s="6" t="s">
        <v>165</v>
      </c>
      <c r="D116" s="6" t="s">
        <v>431</v>
      </c>
      <c r="E116" s="6" t="s">
        <v>432</v>
      </c>
      <c r="F116" s="6" t="s">
        <v>437</v>
      </c>
      <c r="G116" s="6" t="s">
        <v>3693</v>
      </c>
      <c r="H116" s="6" t="s">
        <v>3694</v>
      </c>
      <c r="I116" s="6" t="n">
        <v>2</v>
      </c>
      <c r="J116" s="6" t="s">
        <v>3695</v>
      </c>
      <c r="K116" s="6"/>
      <c r="L116" s="7"/>
      <c r="M116" s="7"/>
    </row>
    <row r="117" customFormat="false" ht="23.85" hidden="false" customHeight="false" outlineLevel="0" collapsed="false">
      <c r="A117" s="6" t="s">
        <v>430</v>
      </c>
      <c r="B117" s="6" t="s">
        <v>132</v>
      </c>
      <c r="C117" s="6" t="s">
        <v>165</v>
      </c>
      <c r="D117" s="6" t="s">
        <v>431</v>
      </c>
      <c r="E117" s="6" t="s">
        <v>432</v>
      </c>
      <c r="F117" s="6" t="s">
        <v>437</v>
      </c>
      <c r="G117" s="6" t="s">
        <v>3696</v>
      </c>
      <c r="H117" s="6" t="s">
        <v>3697</v>
      </c>
      <c r="I117" s="6" t="n">
        <v>3</v>
      </c>
      <c r="J117" s="6" t="s">
        <v>3698</v>
      </c>
      <c r="K117" s="6"/>
      <c r="L117" s="7"/>
      <c r="M117" s="7"/>
    </row>
    <row r="118" customFormat="false" ht="23.85" hidden="false" customHeight="false" outlineLevel="0" collapsed="false">
      <c r="A118" s="6" t="s">
        <v>430</v>
      </c>
      <c r="B118" s="6" t="s">
        <v>132</v>
      </c>
      <c r="C118" s="6" t="s">
        <v>165</v>
      </c>
      <c r="D118" s="6" t="s">
        <v>431</v>
      </c>
      <c r="E118" s="6" t="s">
        <v>432</v>
      </c>
      <c r="F118" s="6" t="s">
        <v>437</v>
      </c>
      <c r="G118" s="6" t="s">
        <v>3699</v>
      </c>
      <c r="H118" s="6" t="s">
        <v>3700</v>
      </c>
      <c r="I118" s="6" t="n">
        <v>4</v>
      </c>
      <c r="J118" s="6" t="s">
        <v>3701</v>
      </c>
      <c r="K118" s="6"/>
      <c r="L118" s="7"/>
      <c r="M118" s="7"/>
    </row>
    <row r="119" customFormat="false" ht="23.85" hidden="false" customHeight="false" outlineLevel="0" collapsed="false">
      <c r="A119" s="6" t="s">
        <v>441</v>
      </c>
      <c r="B119" s="6" t="s">
        <v>96</v>
      </c>
      <c r="C119" s="6" t="s">
        <v>165</v>
      </c>
      <c r="D119" s="6" t="s">
        <v>372</v>
      </c>
      <c r="E119" s="6"/>
      <c r="F119" s="6" t="s">
        <v>447</v>
      </c>
      <c r="G119" s="6" t="s">
        <v>3651</v>
      </c>
      <c r="H119" s="6" t="s">
        <v>3702</v>
      </c>
      <c r="I119" s="6" t="n">
        <v>98</v>
      </c>
      <c r="J119" s="6" t="s">
        <v>83</v>
      </c>
      <c r="K119" s="6" t="s">
        <v>3703</v>
      </c>
      <c r="L119" s="7"/>
      <c r="M119" s="7"/>
    </row>
    <row r="120" customFormat="false" ht="23.85" hidden="false" customHeight="false" outlineLevel="0" collapsed="false">
      <c r="A120" s="6" t="s">
        <v>441</v>
      </c>
      <c r="B120" s="6" t="s">
        <v>96</v>
      </c>
      <c r="C120" s="6" t="s">
        <v>165</v>
      </c>
      <c r="D120" s="6" t="s">
        <v>372</v>
      </c>
      <c r="E120" s="6"/>
      <c r="F120" s="6" t="s">
        <v>447</v>
      </c>
      <c r="G120" s="6" t="s">
        <v>3654</v>
      </c>
      <c r="H120" s="6" t="s">
        <v>3704</v>
      </c>
      <c r="I120" s="6" t="n">
        <v>45</v>
      </c>
      <c r="J120" s="6"/>
      <c r="K120" s="6" t="s">
        <v>3705</v>
      </c>
      <c r="L120" s="7"/>
      <c r="M120" s="7"/>
    </row>
    <row r="121" customFormat="false" ht="23.85" hidden="false" customHeight="false" outlineLevel="0" collapsed="false">
      <c r="A121" s="6" t="s">
        <v>441</v>
      </c>
      <c r="B121" s="6" t="s">
        <v>96</v>
      </c>
      <c r="C121" s="6" t="s">
        <v>165</v>
      </c>
      <c r="D121" s="6" t="s">
        <v>372</v>
      </c>
      <c r="E121" s="6"/>
      <c r="F121" s="6" t="s">
        <v>447</v>
      </c>
      <c r="G121" s="6" t="s">
        <v>3657</v>
      </c>
      <c r="H121" s="6" t="s">
        <v>3706</v>
      </c>
      <c r="I121" s="6" t="n">
        <v>35</v>
      </c>
      <c r="J121" s="6"/>
      <c r="K121" s="6" t="s">
        <v>3707</v>
      </c>
      <c r="L121" s="7"/>
      <c r="M121" s="7"/>
    </row>
    <row r="122" customFormat="false" ht="23.85" hidden="false" customHeight="false" outlineLevel="0" collapsed="false">
      <c r="A122" s="6" t="s">
        <v>441</v>
      </c>
      <c r="B122" s="6" t="s">
        <v>96</v>
      </c>
      <c r="C122" s="6" t="s">
        <v>165</v>
      </c>
      <c r="D122" s="6" t="s">
        <v>372</v>
      </c>
      <c r="E122" s="6"/>
      <c r="F122" s="6" t="s">
        <v>447</v>
      </c>
      <c r="G122" s="6" t="s">
        <v>3660</v>
      </c>
      <c r="H122" s="6" t="s">
        <v>3708</v>
      </c>
      <c r="I122" s="6" t="n">
        <v>15</v>
      </c>
      <c r="J122" s="6"/>
      <c r="K122" s="6" t="s">
        <v>3709</v>
      </c>
      <c r="L122" s="7"/>
      <c r="M122" s="7"/>
    </row>
    <row r="123" customFormat="false" ht="23.85" hidden="false" customHeight="false" outlineLevel="0" collapsed="false">
      <c r="A123" s="6" t="s">
        <v>451</v>
      </c>
      <c r="B123" s="6" t="s">
        <v>110</v>
      </c>
      <c r="C123" s="6" t="s">
        <v>165</v>
      </c>
      <c r="D123" s="6" t="s">
        <v>452</v>
      </c>
      <c r="E123" s="6"/>
      <c r="F123" s="6" t="s">
        <v>457</v>
      </c>
      <c r="G123" s="6" t="s">
        <v>3651</v>
      </c>
      <c r="H123" s="6" t="s">
        <v>3710</v>
      </c>
      <c r="I123" s="6" t="n">
        <v>34</v>
      </c>
      <c r="J123" s="6" t="s">
        <v>83</v>
      </c>
      <c r="K123" s="6" t="s">
        <v>3711</v>
      </c>
      <c r="L123" s="7"/>
      <c r="M123" s="7"/>
    </row>
    <row r="124" customFormat="false" ht="23.85" hidden="false" customHeight="false" outlineLevel="0" collapsed="false">
      <c r="A124" s="6" t="s">
        <v>451</v>
      </c>
      <c r="B124" s="6" t="s">
        <v>110</v>
      </c>
      <c r="C124" s="6" t="s">
        <v>165</v>
      </c>
      <c r="D124" s="6" t="s">
        <v>452</v>
      </c>
      <c r="E124" s="6"/>
      <c r="F124" s="6" t="s">
        <v>457</v>
      </c>
      <c r="G124" s="6" t="s">
        <v>3654</v>
      </c>
      <c r="H124" s="6" t="s">
        <v>3712</v>
      </c>
      <c r="I124" s="6" t="n">
        <v>33</v>
      </c>
      <c r="J124" s="6" t="s">
        <v>83</v>
      </c>
      <c r="K124" s="6" t="s">
        <v>3713</v>
      </c>
      <c r="L124" s="7"/>
      <c r="M124" s="7"/>
    </row>
    <row r="125" customFormat="false" ht="23.85" hidden="false" customHeight="false" outlineLevel="0" collapsed="false">
      <c r="A125" s="6" t="s">
        <v>451</v>
      </c>
      <c r="B125" s="6" t="s">
        <v>110</v>
      </c>
      <c r="C125" s="6" t="s">
        <v>165</v>
      </c>
      <c r="D125" s="6" t="s">
        <v>452</v>
      </c>
      <c r="E125" s="6"/>
      <c r="F125" s="6" t="s">
        <v>457</v>
      </c>
      <c r="G125" s="6" t="s">
        <v>3657</v>
      </c>
      <c r="H125" s="6" t="s">
        <v>3714</v>
      </c>
      <c r="I125" s="6" t="n">
        <v>33</v>
      </c>
      <c r="J125" s="6" t="s">
        <v>83</v>
      </c>
      <c r="K125" s="6" t="s">
        <v>3715</v>
      </c>
      <c r="L125" s="7"/>
      <c r="M125" s="7"/>
    </row>
    <row r="126" customFormat="false" ht="23.85" hidden="false" customHeight="false" outlineLevel="0" collapsed="false">
      <c r="A126" s="6" t="s">
        <v>451</v>
      </c>
      <c r="B126" s="6" t="s">
        <v>110</v>
      </c>
      <c r="C126" s="6" t="s">
        <v>165</v>
      </c>
      <c r="D126" s="6" t="s">
        <v>452</v>
      </c>
      <c r="E126" s="6"/>
      <c r="F126" s="6" t="s">
        <v>457</v>
      </c>
      <c r="G126" s="6" t="s">
        <v>3660</v>
      </c>
      <c r="H126" s="6" t="s">
        <v>3716</v>
      </c>
      <c r="I126" s="6" t="n">
        <v>0</v>
      </c>
      <c r="J126" s="6"/>
      <c r="K126" s="6" t="s">
        <v>3717</v>
      </c>
      <c r="L126" s="7"/>
      <c r="M126" s="7"/>
    </row>
    <row r="127" customFormat="false" ht="23.85" hidden="false" customHeight="false" outlineLevel="0" collapsed="false">
      <c r="A127" s="6" t="s">
        <v>451</v>
      </c>
      <c r="B127" s="6" t="s">
        <v>110</v>
      </c>
      <c r="C127" s="6" t="s">
        <v>165</v>
      </c>
      <c r="D127" s="6" t="s">
        <v>452</v>
      </c>
      <c r="E127" s="6"/>
      <c r="F127" s="6" t="s">
        <v>457</v>
      </c>
      <c r="G127" s="6" t="s">
        <v>3687</v>
      </c>
      <c r="H127" s="6" t="s">
        <v>3718</v>
      </c>
      <c r="I127" s="6" t="n">
        <v>0</v>
      </c>
      <c r="J127" s="6"/>
      <c r="K127" s="6" t="s">
        <v>3719</v>
      </c>
      <c r="L127" s="7"/>
      <c r="M127" s="7"/>
    </row>
    <row r="128" customFormat="false" ht="23.85" hidden="false" customHeight="false" outlineLevel="0" collapsed="false">
      <c r="A128" s="6" t="s">
        <v>460</v>
      </c>
      <c r="B128" s="6" t="s">
        <v>96</v>
      </c>
      <c r="C128" s="6" t="s">
        <v>165</v>
      </c>
      <c r="D128" s="6" t="s">
        <v>372</v>
      </c>
      <c r="E128" s="6"/>
      <c r="F128" s="6" t="s">
        <v>466</v>
      </c>
      <c r="G128" s="6" t="s">
        <v>3651</v>
      </c>
      <c r="H128" s="6" t="s">
        <v>3720</v>
      </c>
      <c r="I128" s="6" t="n">
        <v>98</v>
      </c>
      <c r="J128" s="6" t="s">
        <v>83</v>
      </c>
      <c r="K128" s="6" t="s">
        <v>3721</v>
      </c>
      <c r="L128" s="7"/>
      <c r="M128" s="7"/>
    </row>
    <row r="129" customFormat="false" ht="23.85" hidden="false" customHeight="false" outlineLevel="0" collapsed="false">
      <c r="A129" s="6" t="s">
        <v>460</v>
      </c>
      <c r="B129" s="6" t="s">
        <v>96</v>
      </c>
      <c r="C129" s="6" t="s">
        <v>165</v>
      </c>
      <c r="D129" s="6" t="s">
        <v>372</v>
      </c>
      <c r="E129" s="6"/>
      <c r="F129" s="6" t="s">
        <v>466</v>
      </c>
      <c r="G129" s="6" t="s">
        <v>3654</v>
      </c>
      <c r="H129" s="6" t="s">
        <v>3722</v>
      </c>
      <c r="I129" s="6" t="n">
        <v>24</v>
      </c>
      <c r="J129" s="6"/>
      <c r="K129" s="6" t="s">
        <v>3723</v>
      </c>
      <c r="L129" s="7"/>
      <c r="M129" s="7"/>
    </row>
    <row r="130" customFormat="false" ht="23.85" hidden="false" customHeight="false" outlineLevel="0" collapsed="false">
      <c r="A130" s="6" t="s">
        <v>460</v>
      </c>
      <c r="B130" s="6" t="s">
        <v>96</v>
      </c>
      <c r="C130" s="6" t="s">
        <v>165</v>
      </c>
      <c r="D130" s="6" t="s">
        <v>372</v>
      </c>
      <c r="E130" s="6"/>
      <c r="F130" s="6" t="s">
        <v>466</v>
      </c>
      <c r="G130" s="6" t="s">
        <v>3657</v>
      </c>
      <c r="H130" s="6" t="s">
        <v>3724</v>
      </c>
      <c r="I130" s="6" t="n">
        <v>15</v>
      </c>
      <c r="J130" s="6"/>
      <c r="K130" s="6" t="s">
        <v>3725</v>
      </c>
      <c r="L130" s="7"/>
      <c r="M130" s="7"/>
    </row>
    <row r="131" customFormat="false" ht="23.85" hidden="false" customHeight="false" outlineLevel="0" collapsed="false">
      <c r="A131" s="6" t="s">
        <v>460</v>
      </c>
      <c r="B131" s="6" t="s">
        <v>96</v>
      </c>
      <c r="C131" s="6" t="s">
        <v>165</v>
      </c>
      <c r="D131" s="6" t="s">
        <v>372</v>
      </c>
      <c r="E131" s="6"/>
      <c r="F131" s="6" t="s">
        <v>466</v>
      </c>
      <c r="G131" s="6" t="s">
        <v>3660</v>
      </c>
      <c r="H131" s="6" t="s">
        <v>3726</v>
      </c>
      <c r="I131" s="6" t="n">
        <v>22</v>
      </c>
      <c r="J131" s="6"/>
      <c r="K131" s="6" t="s">
        <v>3727</v>
      </c>
      <c r="L131" s="7"/>
      <c r="M131" s="7"/>
    </row>
    <row r="132" customFormat="false" ht="23.85" hidden="false" customHeight="false" outlineLevel="0" collapsed="false">
      <c r="A132" s="6" t="s">
        <v>470</v>
      </c>
      <c r="B132" s="6" t="s">
        <v>132</v>
      </c>
      <c r="C132" s="6" t="s">
        <v>98</v>
      </c>
      <c r="D132" s="6" t="s">
        <v>431</v>
      </c>
      <c r="E132" s="6" t="s">
        <v>432</v>
      </c>
      <c r="F132" s="6" t="s">
        <v>476</v>
      </c>
      <c r="G132" s="6" t="s">
        <v>3693</v>
      </c>
      <c r="H132" s="6" t="s">
        <v>3728</v>
      </c>
      <c r="I132" s="6" t="n">
        <v>1</v>
      </c>
      <c r="J132" s="6" t="s">
        <v>3692</v>
      </c>
      <c r="K132" s="6"/>
      <c r="L132" s="7"/>
      <c r="M132" s="7"/>
    </row>
    <row r="133" customFormat="false" ht="23.85" hidden="false" customHeight="false" outlineLevel="0" collapsed="false">
      <c r="A133" s="6" t="s">
        <v>470</v>
      </c>
      <c r="B133" s="6" t="s">
        <v>132</v>
      </c>
      <c r="C133" s="6" t="s">
        <v>98</v>
      </c>
      <c r="D133" s="6" t="s">
        <v>431</v>
      </c>
      <c r="E133" s="6" t="s">
        <v>432</v>
      </c>
      <c r="F133" s="6" t="s">
        <v>476</v>
      </c>
      <c r="G133" s="6" t="s">
        <v>3729</v>
      </c>
      <c r="H133" s="6" t="s">
        <v>3730</v>
      </c>
      <c r="I133" s="6" t="n">
        <v>2</v>
      </c>
      <c r="J133" s="6" t="s">
        <v>3695</v>
      </c>
      <c r="K133" s="6"/>
      <c r="L133" s="7"/>
      <c r="M133" s="7"/>
    </row>
    <row r="134" customFormat="false" ht="23.85" hidden="false" customHeight="false" outlineLevel="0" collapsed="false">
      <c r="A134" s="6" t="s">
        <v>470</v>
      </c>
      <c r="B134" s="6" t="s">
        <v>132</v>
      </c>
      <c r="C134" s="6" t="s">
        <v>98</v>
      </c>
      <c r="D134" s="6" t="s">
        <v>431</v>
      </c>
      <c r="E134" s="6" t="s">
        <v>432</v>
      </c>
      <c r="F134" s="6" t="s">
        <v>476</v>
      </c>
      <c r="G134" s="6" t="s">
        <v>3731</v>
      </c>
      <c r="H134" s="6" t="s">
        <v>3732</v>
      </c>
      <c r="I134" s="6" t="n">
        <v>3</v>
      </c>
      <c r="J134" s="6" t="s">
        <v>3698</v>
      </c>
      <c r="K134" s="6"/>
      <c r="L134" s="7"/>
      <c r="M134" s="7"/>
    </row>
    <row r="135" customFormat="false" ht="23.85" hidden="false" customHeight="false" outlineLevel="0" collapsed="false">
      <c r="A135" s="6" t="s">
        <v>470</v>
      </c>
      <c r="B135" s="6" t="s">
        <v>132</v>
      </c>
      <c r="C135" s="6" t="s">
        <v>98</v>
      </c>
      <c r="D135" s="6" t="s">
        <v>431</v>
      </c>
      <c r="E135" s="6" t="s">
        <v>432</v>
      </c>
      <c r="F135" s="6" t="s">
        <v>476</v>
      </c>
      <c r="G135" s="6" t="s">
        <v>3733</v>
      </c>
      <c r="H135" s="6" t="s">
        <v>3734</v>
      </c>
      <c r="I135" s="6" t="n">
        <v>4</v>
      </c>
      <c r="J135" s="6" t="s">
        <v>3701</v>
      </c>
      <c r="K135" s="6"/>
      <c r="L135" s="7"/>
      <c r="M135" s="7"/>
    </row>
    <row r="136" customFormat="false" ht="23.85" hidden="false" customHeight="false" outlineLevel="0" collapsed="false">
      <c r="A136" s="6" t="s">
        <v>480</v>
      </c>
      <c r="B136" s="6" t="s">
        <v>96</v>
      </c>
      <c r="C136" s="6" t="s">
        <v>98</v>
      </c>
      <c r="D136" s="6" t="s">
        <v>372</v>
      </c>
      <c r="E136" s="6"/>
      <c r="F136" s="6" t="s">
        <v>486</v>
      </c>
      <c r="G136" s="6" t="s">
        <v>3651</v>
      </c>
      <c r="H136" s="6" t="s">
        <v>3735</v>
      </c>
      <c r="I136" s="6" t="n">
        <v>98</v>
      </c>
      <c r="J136" s="6" t="s">
        <v>83</v>
      </c>
      <c r="K136" s="6" t="s">
        <v>3736</v>
      </c>
      <c r="L136" s="7"/>
      <c r="M136" s="7"/>
    </row>
    <row r="137" customFormat="false" ht="23.85" hidden="false" customHeight="false" outlineLevel="0" collapsed="false">
      <c r="A137" s="6" t="s">
        <v>480</v>
      </c>
      <c r="B137" s="6" t="s">
        <v>96</v>
      </c>
      <c r="C137" s="6" t="s">
        <v>98</v>
      </c>
      <c r="D137" s="6" t="s">
        <v>372</v>
      </c>
      <c r="E137" s="6"/>
      <c r="F137" s="6" t="s">
        <v>486</v>
      </c>
      <c r="G137" s="6" t="s">
        <v>3654</v>
      </c>
      <c r="H137" s="6" t="s">
        <v>3737</v>
      </c>
      <c r="I137" s="6" t="n">
        <v>20</v>
      </c>
      <c r="J137" s="6"/>
      <c r="K137" s="6" t="s">
        <v>3738</v>
      </c>
      <c r="L137" s="7"/>
      <c r="M137" s="7"/>
    </row>
    <row r="138" customFormat="false" ht="23.85" hidden="false" customHeight="false" outlineLevel="0" collapsed="false">
      <c r="A138" s="6" t="s">
        <v>480</v>
      </c>
      <c r="B138" s="6" t="s">
        <v>96</v>
      </c>
      <c r="C138" s="6" t="s">
        <v>98</v>
      </c>
      <c r="D138" s="6" t="s">
        <v>372</v>
      </c>
      <c r="E138" s="6"/>
      <c r="F138" s="6" t="s">
        <v>486</v>
      </c>
      <c r="G138" s="6" t="s">
        <v>3657</v>
      </c>
      <c r="H138" s="6" t="s">
        <v>3739</v>
      </c>
      <c r="I138" s="6" t="n">
        <v>28</v>
      </c>
      <c r="J138" s="6"/>
      <c r="K138" s="6" t="s">
        <v>3740</v>
      </c>
      <c r="L138" s="7"/>
      <c r="M138" s="7"/>
    </row>
    <row r="139" customFormat="false" ht="23.85" hidden="false" customHeight="false" outlineLevel="0" collapsed="false">
      <c r="A139" s="6" t="s">
        <v>480</v>
      </c>
      <c r="B139" s="6" t="s">
        <v>96</v>
      </c>
      <c r="C139" s="6" t="s">
        <v>98</v>
      </c>
      <c r="D139" s="6" t="s">
        <v>372</v>
      </c>
      <c r="E139" s="6"/>
      <c r="F139" s="6" t="s">
        <v>486</v>
      </c>
      <c r="G139" s="6" t="s">
        <v>3660</v>
      </c>
      <c r="H139" s="6" t="s">
        <v>3741</v>
      </c>
      <c r="I139" s="6" t="n">
        <v>35</v>
      </c>
      <c r="J139" s="6"/>
      <c r="K139" s="6" t="s">
        <v>3742</v>
      </c>
      <c r="L139" s="7"/>
      <c r="M139" s="7"/>
    </row>
    <row r="140" customFormat="false" ht="23.85" hidden="false" customHeight="false" outlineLevel="0" collapsed="false">
      <c r="A140" s="6" t="s">
        <v>490</v>
      </c>
      <c r="B140" s="6" t="s">
        <v>110</v>
      </c>
      <c r="C140" s="6" t="s">
        <v>165</v>
      </c>
      <c r="D140" s="6" t="s">
        <v>491</v>
      </c>
      <c r="E140" s="6" t="s">
        <v>3743</v>
      </c>
      <c r="F140" s="6" t="s">
        <v>499</v>
      </c>
      <c r="G140" s="6"/>
      <c r="H140" s="6" t="s">
        <v>3744</v>
      </c>
      <c r="I140" s="6"/>
      <c r="J140" s="6" t="s">
        <v>83</v>
      </c>
      <c r="K140" s="6" t="s">
        <v>3745</v>
      </c>
      <c r="L140" s="7"/>
      <c r="M140" s="7"/>
    </row>
    <row r="141" customFormat="false" ht="35.05" hidden="false" customHeight="false" outlineLevel="0" collapsed="false">
      <c r="A141" s="6" t="s">
        <v>490</v>
      </c>
      <c r="B141" s="6" t="s">
        <v>110</v>
      </c>
      <c r="C141" s="6" t="s">
        <v>165</v>
      </c>
      <c r="D141" s="6" t="s">
        <v>491</v>
      </c>
      <c r="E141" s="6" t="s">
        <v>3746</v>
      </c>
      <c r="F141" s="6" t="s">
        <v>499</v>
      </c>
      <c r="G141" s="6"/>
      <c r="H141" s="6" t="s">
        <v>3747</v>
      </c>
      <c r="I141" s="6"/>
      <c r="J141" s="6" t="s">
        <v>83</v>
      </c>
      <c r="K141" s="6" t="s">
        <v>3748</v>
      </c>
      <c r="L141" s="7"/>
      <c r="M141" s="7"/>
    </row>
    <row r="142" customFormat="false" ht="23.85" hidden="false" customHeight="false" outlineLevel="0" collapsed="false">
      <c r="A142" s="6" t="s">
        <v>490</v>
      </c>
      <c r="B142" s="6" t="s">
        <v>110</v>
      </c>
      <c r="C142" s="6" t="s">
        <v>165</v>
      </c>
      <c r="D142" s="6" t="s">
        <v>491</v>
      </c>
      <c r="E142" s="6" t="s">
        <v>3749</v>
      </c>
      <c r="F142" s="6" t="s">
        <v>499</v>
      </c>
      <c r="G142" s="6"/>
      <c r="H142" s="6" t="s">
        <v>3750</v>
      </c>
      <c r="I142" s="6"/>
      <c r="J142" s="6" t="s">
        <v>83</v>
      </c>
      <c r="K142" s="6" t="s">
        <v>3751</v>
      </c>
      <c r="L142" s="7"/>
      <c r="M142" s="7"/>
    </row>
    <row r="143" customFormat="false" ht="23.85" hidden="false" customHeight="false" outlineLevel="0" collapsed="false">
      <c r="A143" s="6" t="s">
        <v>510</v>
      </c>
      <c r="B143" s="6" t="s">
        <v>96</v>
      </c>
      <c r="C143" s="6" t="s">
        <v>98</v>
      </c>
      <c r="D143" s="6" t="s">
        <v>372</v>
      </c>
      <c r="E143" s="6"/>
      <c r="F143" s="6" t="s">
        <v>517</v>
      </c>
      <c r="G143" s="6" t="s">
        <v>3651</v>
      </c>
      <c r="H143" s="6" t="s">
        <v>3752</v>
      </c>
      <c r="I143" s="6" t="n">
        <v>98</v>
      </c>
      <c r="J143" s="6" t="s">
        <v>83</v>
      </c>
      <c r="K143" s="6" t="s">
        <v>3753</v>
      </c>
      <c r="L143" s="7"/>
      <c r="M143" s="7"/>
    </row>
    <row r="144" customFormat="false" ht="15" hidden="false" customHeight="false" outlineLevel="0" collapsed="false">
      <c r="A144" s="6" t="s">
        <v>510</v>
      </c>
      <c r="B144" s="6" t="s">
        <v>96</v>
      </c>
      <c r="C144" s="6" t="s">
        <v>98</v>
      </c>
      <c r="D144" s="6" t="s">
        <v>372</v>
      </c>
      <c r="E144" s="6"/>
      <c r="F144" s="6" t="s">
        <v>517</v>
      </c>
      <c r="G144" s="6" t="s">
        <v>3654</v>
      </c>
      <c r="H144" s="6" t="s">
        <v>3754</v>
      </c>
      <c r="I144" s="6" t="n">
        <v>32</v>
      </c>
      <c r="J144" s="6"/>
      <c r="K144" s="6" t="s">
        <v>3755</v>
      </c>
      <c r="L144" s="7"/>
      <c r="M144" s="7"/>
    </row>
    <row r="145" customFormat="false" ht="15" hidden="false" customHeight="false" outlineLevel="0" collapsed="false">
      <c r="A145" s="6" t="s">
        <v>510</v>
      </c>
      <c r="B145" s="6" t="s">
        <v>96</v>
      </c>
      <c r="C145" s="6" t="s">
        <v>98</v>
      </c>
      <c r="D145" s="6" t="s">
        <v>372</v>
      </c>
      <c r="E145" s="6"/>
      <c r="F145" s="6" t="s">
        <v>517</v>
      </c>
      <c r="G145" s="6" t="s">
        <v>3657</v>
      </c>
      <c r="H145" s="6" t="s">
        <v>3756</v>
      </c>
      <c r="I145" s="6" t="n">
        <v>38</v>
      </c>
      <c r="J145" s="6"/>
      <c r="K145" s="6" t="s">
        <v>3757</v>
      </c>
      <c r="L145" s="7"/>
      <c r="M145" s="7"/>
    </row>
    <row r="146" customFormat="false" ht="15" hidden="false" customHeight="false" outlineLevel="0" collapsed="false">
      <c r="A146" s="6" t="s">
        <v>510</v>
      </c>
      <c r="B146" s="6" t="s">
        <v>96</v>
      </c>
      <c r="C146" s="6" t="s">
        <v>98</v>
      </c>
      <c r="D146" s="6" t="s">
        <v>372</v>
      </c>
      <c r="E146" s="6"/>
      <c r="F146" s="6" t="s">
        <v>517</v>
      </c>
      <c r="G146" s="6" t="s">
        <v>3660</v>
      </c>
      <c r="H146" s="6" t="s">
        <v>3758</v>
      </c>
      <c r="I146" s="6" t="n">
        <v>18</v>
      </c>
      <c r="J146" s="6"/>
      <c r="K146" s="6" t="s">
        <v>3759</v>
      </c>
      <c r="L146" s="7"/>
      <c r="M146" s="7"/>
    </row>
    <row r="147" customFormat="false" ht="23.85" hidden="false" customHeight="false" outlineLevel="0" collapsed="false">
      <c r="A147" s="6" t="s">
        <v>529</v>
      </c>
      <c r="B147" s="6" t="s">
        <v>132</v>
      </c>
      <c r="C147" s="6" t="s">
        <v>98</v>
      </c>
      <c r="D147" s="6" t="s">
        <v>452</v>
      </c>
      <c r="E147" s="6"/>
      <c r="F147" s="6" t="s">
        <v>535</v>
      </c>
      <c r="G147" s="6" t="s">
        <v>3651</v>
      </c>
      <c r="H147" s="6" t="s">
        <v>3760</v>
      </c>
      <c r="I147" s="6" t="n">
        <v>25</v>
      </c>
      <c r="J147" s="6" t="s">
        <v>83</v>
      </c>
      <c r="K147" s="6" t="s">
        <v>3761</v>
      </c>
      <c r="L147" s="7"/>
      <c r="M147" s="7"/>
    </row>
    <row r="148" customFormat="false" ht="23.85" hidden="false" customHeight="false" outlineLevel="0" collapsed="false">
      <c r="A148" s="6" t="s">
        <v>529</v>
      </c>
      <c r="B148" s="6" t="s">
        <v>132</v>
      </c>
      <c r="C148" s="6" t="s">
        <v>98</v>
      </c>
      <c r="D148" s="6" t="s">
        <v>452</v>
      </c>
      <c r="E148" s="6"/>
      <c r="F148" s="6" t="s">
        <v>535</v>
      </c>
      <c r="G148" s="6" t="s">
        <v>3654</v>
      </c>
      <c r="H148" s="6" t="s">
        <v>3762</v>
      </c>
      <c r="I148" s="6" t="n">
        <v>25</v>
      </c>
      <c r="J148" s="6" t="s">
        <v>83</v>
      </c>
      <c r="K148" s="6" t="s">
        <v>3763</v>
      </c>
      <c r="L148" s="7"/>
      <c r="M148" s="7"/>
    </row>
    <row r="149" customFormat="false" ht="23.85" hidden="false" customHeight="false" outlineLevel="0" collapsed="false">
      <c r="A149" s="6" t="s">
        <v>529</v>
      </c>
      <c r="B149" s="6" t="s">
        <v>132</v>
      </c>
      <c r="C149" s="6" t="s">
        <v>98</v>
      </c>
      <c r="D149" s="6" t="s">
        <v>452</v>
      </c>
      <c r="E149" s="6"/>
      <c r="F149" s="6" t="s">
        <v>535</v>
      </c>
      <c r="G149" s="6" t="s">
        <v>3657</v>
      </c>
      <c r="H149" s="6" t="s">
        <v>3764</v>
      </c>
      <c r="I149" s="6" t="n">
        <v>25</v>
      </c>
      <c r="J149" s="6" t="s">
        <v>83</v>
      </c>
      <c r="K149" s="6" t="s">
        <v>3765</v>
      </c>
      <c r="L149" s="7"/>
      <c r="M149" s="7"/>
    </row>
    <row r="150" customFormat="false" ht="23.85" hidden="false" customHeight="false" outlineLevel="0" collapsed="false">
      <c r="A150" s="6" t="s">
        <v>529</v>
      </c>
      <c r="B150" s="6" t="s">
        <v>132</v>
      </c>
      <c r="C150" s="6" t="s">
        <v>98</v>
      </c>
      <c r="D150" s="6" t="s">
        <v>452</v>
      </c>
      <c r="E150" s="6"/>
      <c r="F150" s="6" t="s">
        <v>535</v>
      </c>
      <c r="G150" s="6" t="s">
        <v>3660</v>
      </c>
      <c r="H150" s="6" t="s">
        <v>3766</v>
      </c>
      <c r="I150" s="6" t="n">
        <v>25</v>
      </c>
      <c r="J150" s="6" t="s">
        <v>83</v>
      </c>
      <c r="K150" s="6" t="s">
        <v>3767</v>
      </c>
      <c r="L150" s="7"/>
      <c r="M150" s="7"/>
    </row>
    <row r="151" customFormat="false" ht="23.85" hidden="false" customHeight="false" outlineLevel="0" collapsed="false">
      <c r="A151" s="6" t="s">
        <v>529</v>
      </c>
      <c r="B151" s="6" t="s">
        <v>132</v>
      </c>
      <c r="C151" s="6" t="s">
        <v>98</v>
      </c>
      <c r="D151" s="6" t="s">
        <v>452</v>
      </c>
      <c r="E151" s="6"/>
      <c r="F151" s="6" t="s">
        <v>535</v>
      </c>
      <c r="G151" s="6" t="s">
        <v>3687</v>
      </c>
      <c r="H151" s="6" t="s">
        <v>3768</v>
      </c>
      <c r="I151" s="6" t="n">
        <v>0</v>
      </c>
      <c r="J151" s="6"/>
      <c r="K151" s="6" t="s">
        <v>3769</v>
      </c>
      <c r="L151" s="7"/>
      <c r="M151" s="7"/>
    </row>
    <row r="152" customFormat="false" ht="23.85" hidden="false" customHeight="false" outlineLevel="0" collapsed="false">
      <c r="A152" s="6" t="s">
        <v>538</v>
      </c>
      <c r="B152" s="6" t="s">
        <v>96</v>
      </c>
      <c r="C152" s="6" t="s">
        <v>98</v>
      </c>
      <c r="D152" s="6" t="s">
        <v>372</v>
      </c>
      <c r="E152" s="6"/>
      <c r="F152" s="6" t="s">
        <v>545</v>
      </c>
      <c r="G152" s="6" t="s">
        <v>3651</v>
      </c>
      <c r="H152" s="6" t="s">
        <v>3770</v>
      </c>
      <c r="I152" s="6" t="n">
        <v>98</v>
      </c>
      <c r="J152" s="6" t="s">
        <v>83</v>
      </c>
      <c r="K152" s="6" t="s">
        <v>3771</v>
      </c>
      <c r="L152" s="7"/>
      <c r="M152" s="7"/>
    </row>
    <row r="153" customFormat="false" ht="15" hidden="false" customHeight="false" outlineLevel="0" collapsed="false">
      <c r="A153" s="6" t="s">
        <v>538</v>
      </c>
      <c r="B153" s="6" t="s">
        <v>96</v>
      </c>
      <c r="C153" s="6" t="s">
        <v>98</v>
      </c>
      <c r="D153" s="6" t="s">
        <v>372</v>
      </c>
      <c r="E153" s="6"/>
      <c r="F153" s="6" t="s">
        <v>545</v>
      </c>
      <c r="G153" s="6" t="s">
        <v>3654</v>
      </c>
      <c r="H153" s="6" t="s">
        <v>3772</v>
      </c>
      <c r="I153" s="6" t="n">
        <v>18</v>
      </c>
      <c r="J153" s="6"/>
      <c r="K153" s="6" t="s">
        <v>3773</v>
      </c>
      <c r="L153" s="7"/>
      <c r="M153" s="7"/>
    </row>
    <row r="154" customFormat="false" ht="15" hidden="false" customHeight="false" outlineLevel="0" collapsed="false">
      <c r="A154" s="6" t="s">
        <v>538</v>
      </c>
      <c r="B154" s="6" t="s">
        <v>96</v>
      </c>
      <c r="C154" s="6" t="s">
        <v>98</v>
      </c>
      <c r="D154" s="6" t="s">
        <v>372</v>
      </c>
      <c r="E154" s="6"/>
      <c r="F154" s="6" t="s">
        <v>545</v>
      </c>
      <c r="G154" s="6" t="s">
        <v>3657</v>
      </c>
      <c r="H154" s="6" t="s">
        <v>3774</v>
      </c>
      <c r="I154" s="6" t="n">
        <v>34</v>
      </c>
      <c r="J154" s="6"/>
      <c r="K154" s="6" t="s">
        <v>3775</v>
      </c>
      <c r="L154" s="7"/>
      <c r="M154" s="7"/>
    </row>
    <row r="155" customFormat="false" ht="15" hidden="false" customHeight="false" outlineLevel="0" collapsed="false">
      <c r="A155" s="6" t="s">
        <v>538</v>
      </c>
      <c r="B155" s="6" t="s">
        <v>96</v>
      </c>
      <c r="C155" s="6" t="s">
        <v>98</v>
      </c>
      <c r="D155" s="6" t="s">
        <v>372</v>
      </c>
      <c r="E155" s="6"/>
      <c r="F155" s="6" t="s">
        <v>545</v>
      </c>
      <c r="G155" s="6" t="s">
        <v>3660</v>
      </c>
      <c r="H155" s="6" t="s">
        <v>3776</v>
      </c>
      <c r="I155" s="6" t="n">
        <v>20</v>
      </c>
      <c r="J155" s="6"/>
      <c r="K155" s="6" t="s">
        <v>3777</v>
      </c>
      <c r="L155" s="7"/>
      <c r="M155" s="7"/>
    </row>
    <row r="156" customFormat="false" ht="23.85" hidden="false" customHeight="false" outlineLevel="0" collapsed="false">
      <c r="A156" s="6" t="s">
        <v>549</v>
      </c>
      <c r="B156" s="6" t="s">
        <v>77</v>
      </c>
      <c r="C156" s="6" t="s">
        <v>98</v>
      </c>
      <c r="D156" s="6" t="s">
        <v>431</v>
      </c>
      <c r="E156" s="6" t="s">
        <v>432</v>
      </c>
      <c r="F156" s="6" t="s">
        <v>554</v>
      </c>
      <c r="G156" s="6" t="s">
        <v>3778</v>
      </c>
      <c r="H156" s="6" t="s">
        <v>3779</v>
      </c>
      <c r="I156" s="6" t="n">
        <v>1</v>
      </c>
      <c r="J156" s="6" t="s">
        <v>3692</v>
      </c>
      <c r="K156" s="6"/>
      <c r="L156" s="7"/>
      <c r="M156" s="7"/>
    </row>
    <row r="157" customFormat="false" ht="23.85" hidden="false" customHeight="false" outlineLevel="0" collapsed="false">
      <c r="A157" s="6" t="s">
        <v>549</v>
      </c>
      <c r="B157" s="6" t="s">
        <v>77</v>
      </c>
      <c r="C157" s="6" t="s">
        <v>98</v>
      </c>
      <c r="D157" s="6" t="s">
        <v>431</v>
      </c>
      <c r="E157" s="6" t="s">
        <v>432</v>
      </c>
      <c r="F157" s="6" t="s">
        <v>554</v>
      </c>
      <c r="G157" s="6" t="s">
        <v>3780</v>
      </c>
      <c r="H157" s="6" t="s">
        <v>3781</v>
      </c>
      <c r="I157" s="6" t="n">
        <v>2</v>
      </c>
      <c r="J157" s="6" t="s">
        <v>3695</v>
      </c>
      <c r="K157" s="6"/>
      <c r="L157" s="7"/>
      <c r="M157" s="7"/>
    </row>
    <row r="158" customFormat="false" ht="23.85" hidden="false" customHeight="false" outlineLevel="0" collapsed="false">
      <c r="A158" s="6" t="s">
        <v>549</v>
      </c>
      <c r="B158" s="6" t="s">
        <v>77</v>
      </c>
      <c r="C158" s="6" t="s">
        <v>98</v>
      </c>
      <c r="D158" s="6" t="s">
        <v>431</v>
      </c>
      <c r="E158" s="6" t="s">
        <v>432</v>
      </c>
      <c r="F158" s="6" t="s">
        <v>554</v>
      </c>
      <c r="G158" s="6" t="s">
        <v>3731</v>
      </c>
      <c r="H158" s="6" t="s">
        <v>3782</v>
      </c>
      <c r="I158" s="6" t="n">
        <v>3</v>
      </c>
      <c r="J158" s="6" t="s">
        <v>3698</v>
      </c>
      <c r="K158" s="6"/>
      <c r="L158" s="7"/>
      <c r="M158" s="7"/>
    </row>
    <row r="159" customFormat="false" ht="23.85" hidden="false" customHeight="false" outlineLevel="0" collapsed="false">
      <c r="A159" s="6" t="s">
        <v>549</v>
      </c>
      <c r="B159" s="6" t="s">
        <v>77</v>
      </c>
      <c r="C159" s="6" t="s">
        <v>98</v>
      </c>
      <c r="D159" s="6" t="s">
        <v>431</v>
      </c>
      <c r="E159" s="6" t="s">
        <v>432</v>
      </c>
      <c r="F159" s="6" t="s">
        <v>554</v>
      </c>
      <c r="G159" s="6" t="s">
        <v>3783</v>
      </c>
      <c r="H159" s="6" t="s">
        <v>3784</v>
      </c>
      <c r="I159" s="6" t="n">
        <v>4</v>
      </c>
      <c r="J159" s="6" t="s">
        <v>3701</v>
      </c>
      <c r="K159" s="6"/>
      <c r="L159" s="7"/>
      <c r="M159" s="7"/>
    </row>
    <row r="160" customFormat="false" ht="23.85" hidden="false" customHeight="false" outlineLevel="0" collapsed="false">
      <c r="A160" s="6" t="s">
        <v>558</v>
      </c>
      <c r="B160" s="6" t="s">
        <v>132</v>
      </c>
      <c r="C160" s="6" t="s">
        <v>165</v>
      </c>
      <c r="D160" s="6" t="s">
        <v>452</v>
      </c>
      <c r="E160" s="6"/>
      <c r="F160" s="6" t="s">
        <v>563</v>
      </c>
      <c r="G160" s="6" t="s">
        <v>3651</v>
      </c>
      <c r="H160" s="6" t="s">
        <v>3785</v>
      </c>
      <c r="I160" s="6" t="n">
        <v>25</v>
      </c>
      <c r="J160" s="6" t="s">
        <v>83</v>
      </c>
      <c r="K160" s="6" t="s">
        <v>3786</v>
      </c>
      <c r="L160" s="7"/>
      <c r="M160" s="7"/>
    </row>
    <row r="161" customFormat="false" ht="23.85" hidden="false" customHeight="false" outlineLevel="0" collapsed="false">
      <c r="A161" s="6" t="s">
        <v>558</v>
      </c>
      <c r="B161" s="6" t="s">
        <v>132</v>
      </c>
      <c r="C161" s="6" t="s">
        <v>165</v>
      </c>
      <c r="D161" s="6" t="s">
        <v>452</v>
      </c>
      <c r="E161" s="6"/>
      <c r="F161" s="6" t="s">
        <v>563</v>
      </c>
      <c r="G161" s="6" t="s">
        <v>3654</v>
      </c>
      <c r="H161" s="6" t="s">
        <v>3787</v>
      </c>
      <c r="I161" s="6" t="n">
        <v>25</v>
      </c>
      <c r="J161" s="6" t="s">
        <v>83</v>
      </c>
      <c r="K161" s="6" t="s">
        <v>3788</v>
      </c>
      <c r="L161" s="7"/>
      <c r="M161" s="7"/>
    </row>
    <row r="162" customFormat="false" ht="23.85" hidden="false" customHeight="false" outlineLevel="0" collapsed="false">
      <c r="A162" s="6" t="s">
        <v>558</v>
      </c>
      <c r="B162" s="6" t="s">
        <v>132</v>
      </c>
      <c r="C162" s="6" t="s">
        <v>165</v>
      </c>
      <c r="D162" s="6" t="s">
        <v>452</v>
      </c>
      <c r="E162" s="6"/>
      <c r="F162" s="6" t="s">
        <v>563</v>
      </c>
      <c r="G162" s="6" t="s">
        <v>3657</v>
      </c>
      <c r="H162" s="6" t="s">
        <v>3789</v>
      </c>
      <c r="I162" s="6" t="n">
        <v>25</v>
      </c>
      <c r="J162" s="6" t="s">
        <v>83</v>
      </c>
      <c r="K162" s="6" t="s">
        <v>3790</v>
      </c>
      <c r="L162" s="7"/>
      <c r="M162" s="7"/>
    </row>
    <row r="163" customFormat="false" ht="23.85" hidden="false" customHeight="false" outlineLevel="0" collapsed="false">
      <c r="A163" s="6" t="s">
        <v>558</v>
      </c>
      <c r="B163" s="6" t="s">
        <v>132</v>
      </c>
      <c r="C163" s="6" t="s">
        <v>165</v>
      </c>
      <c r="D163" s="6" t="s">
        <v>452</v>
      </c>
      <c r="E163" s="6"/>
      <c r="F163" s="6" t="s">
        <v>563</v>
      </c>
      <c r="G163" s="6" t="s">
        <v>3660</v>
      </c>
      <c r="H163" s="6" t="s">
        <v>3791</v>
      </c>
      <c r="I163" s="6" t="n">
        <v>25</v>
      </c>
      <c r="J163" s="6" t="s">
        <v>83</v>
      </c>
      <c r="K163" s="6" t="s">
        <v>3792</v>
      </c>
      <c r="L163" s="7"/>
      <c r="M163" s="7"/>
    </row>
    <row r="164" customFormat="false" ht="23.85" hidden="false" customHeight="false" outlineLevel="0" collapsed="false">
      <c r="A164" s="6" t="s">
        <v>558</v>
      </c>
      <c r="B164" s="6" t="s">
        <v>132</v>
      </c>
      <c r="C164" s="6" t="s">
        <v>165</v>
      </c>
      <c r="D164" s="6" t="s">
        <v>452</v>
      </c>
      <c r="E164" s="6"/>
      <c r="F164" s="6" t="s">
        <v>563</v>
      </c>
      <c r="G164" s="6" t="s">
        <v>3687</v>
      </c>
      <c r="H164" s="6" t="s">
        <v>3793</v>
      </c>
      <c r="I164" s="6" t="n">
        <v>0</v>
      </c>
      <c r="J164" s="6"/>
      <c r="K164" s="6" t="s">
        <v>3794</v>
      </c>
      <c r="L164" s="7"/>
      <c r="M164" s="7"/>
    </row>
    <row r="165" customFormat="false" ht="23.85" hidden="false" customHeight="false" outlineLevel="0" collapsed="false">
      <c r="A165" s="6" t="s">
        <v>574</v>
      </c>
      <c r="B165" s="6" t="s">
        <v>145</v>
      </c>
      <c r="C165" s="6" t="s">
        <v>98</v>
      </c>
      <c r="D165" s="6" t="s">
        <v>491</v>
      </c>
      <c r="E165" s="6" t="s">
        <v>3795</v>
      </c>
      <c r="F165" s="6" t="s">
        <v>581</v>
      </c>
      <c r="G165" s="6"/>
      <c r="H165" s="6" t="s">
        <v>3796</v>
      </c>
      <c r="I165" s="6"/>
      <c r="J165" s="6" t="s">
        <v>83</v>
      </c>
      <c r="K165" s="6" t="s">
        <v>3797</v>
      </c>
      <c r="L165" s="7"/>
      <c r="M165" s="7"/>
    </row>
    <row r="166" customFormat="false" ht="23.85" hidden="false" customHeight="false" outlineLevel="0" collapsed="false">
      <c r="A166" s="6" t="s">
        <v>574</v>
      </c>
      <c r="B166" s="6" t="s">
        <v>145</v>
      </c>
      <c r="C166" s="6" t="s">
        <v>98</v>
      </c>
      <c r="D166" s="6" t="s">
        <v>491</v>
      </c>
      <c r="E166" s="6" t="s">
        <v>3798</v>
      </c>
      <c r="F166" s="6" t="s">
        <v>581</v>
      </c>
      <c r="G166" s="6"/>
      <c r="H166" s="6" t="s">
        <v>3799</v>
      </c>
      <c r="I166" s="6"/>
      <c r="J166" s="6" t="s">
        <v>83</v>
      </c>
      <c r="K166" s="6" t="s">
        <v>3800</v>
      </c>
      <c r="L166" s="7"/>
      <c r="M166" s="7"/>
    </row>
    <row r="167" customFormat="false" ht="23.85" hidden="false" customHeight="false" outlineLevel="0" collapsed="false">
      <c r="A167" s="6" t="s">
        <v>574</v>
      </c>
      <c r="B167" s="6" t="s">
        <v>145</v>
      </c>
      <c r="C167" s="6" t="s">
        <v>98</v>
      </c>
      <c r="D167" s="6" t="s">
        <v>491</v>
      </c>
      <c r="E167" s="6" t="s">
        <v>3801</v>
      </c>
      <c r="F167" s="6" t="s">
        <v>581</v>
      </c>
      <c r="G167" s="6"/>
      <c r="H167" s="6" t="s">
        <v>3802</v>
      </c>
      <c r="I167" s="6"/>
      <c r="J167" s="6" t="s">
        <v>83</v>
      </c>
      <c r="K167" s="6" t="s">
        <v>3803</v>
      </c>
      <c r="L167" s="7"/>
      <c r="M167" s="7"/>
    </row>
    <row r="168" customFormat="false" ht="23.85" hidden="false" customHeight="false" outlineLevel="0" collapsed="false">
      <c r="A168" s="6" t="s">
        <v>585</v>
      </c>
      <c r="B168" s="6" t="s">
        <v>132</v>
      </c>
      <c r="C168" s="6" t="s">
        <v>165</v>
      </c>
      <c r="D168" s="6" t="s">
        <v>452</v>
      </c>
      <c r="E168" s="6"/>
      <c r="F168" s="6" t="s">
        <v>590</v>
      </c>
      <c r="G168" s="6" t="s">
        <v>3651</v>
      </c>
      <c r="H168" s="6" t="s">
        <v>3804</v>
      </c>
      <c r="I168" s="6" t="n">
        <v>25</v>
      </c>
      <c r="J168" s="6" t="s">
        <v>83</v>
      </c>
      <c r="K168" s="6" t="s">
        <v>3805</v>
      </c>
      <c r="L168" s="7"/>
      <c r="M168" s="7"/>
    </row>
    <row r="169" customFormat="false" ht="23.85" hidden="false" customHeight="false" outlineLevel="0" collapsed="false">
      <c r="A169" s="6" t="s">
        <v>585</v>
      </c>
      <c r="B169" s="6" t="s">
        <v>132</v>
      </c>
      <c r="C169" s="6" t="s">
        <v>165</v>
      </c>
      <c r="D169" s="6" t="s">
        <v>452</v>
      </c>
      <c r="E169" s="6"/>
      <c r="F169" s="6" t="s">
        <v>590</v>
      </c>
      <c r="G169" s="6" t="s">
        <v>3654</v>
      </c>
      <c r="H169" s="6" t="s">
        <v>3806</v>
      </c>
      <c r="I169" s="6" t="n">
        <v>25</v>
      </c>
      <c r="J169" s="6" t="s">
        <v>83</v>
      </c>
      <c r="K169" s="6" t="s">
        <v>3807</v>
      </c>
      <c r="L169" s="7"/>
      <c r="M169" s="7"/>
    </row>
    <row r="170" customFormat="false" ht="23.85" hidden="false" customHeight="false" outlineLevel="0" collapsed="false">
      <c r="A170" s="6" t="s">
        <v>585</v>
      </c>
      <c r="B170" s="6" t="s">
        <v>132</v>
      </c>
      <c r="C170" s="6" t="s">
        <v>165</v>
      </c>
      <c r="D170" s="6" t="s">
        <v>452</v>
      </c>
      <c r="E170" s="6"/>
      <c r="F170" s="6" t="s">
        <v>590</v>
      </c>
      <c r="G170" s="6" t="s">
        <v>3657</v>
      </c>
      <c r="H170" s="6" t="s">
        <v>3808</v>
      </c>
      <c r="I170" s="6" t="n">
        <v>25</v>
      </c>
      <c r="J170" s="6" t="s">
        <v>83</v>
      </c>
      <c r="K170" s="6" t="s">
        <v>3809</v>
      </c>
      <c r="L170" s="7"/>
      <c r="M170" s="7"/>
    </row>
    <row r="171" customFormat="false" ht="23.85" hidden="false" customHeight="false" outlineLevel="0" collapsed="false">
      <c r="A171" s="6" t="s">
        <v>585</v>
      </c>
      <c r="B171" s="6" t="s">
        <v>132</v>
      </c>
      <c r="C171" s="6" t="s">
        <v>165</v>
      </c>
      <c r="D171" s="6" t="s">
        <v>452</v>
      </c>
      <c r="E171" s="6"/>
      <c r="F171" s="6" t="s">
        <v>590</v>
      </c>
      <c r="G171" s="6" t="s">
        <v>3660</v>
      </c>
      <c r="H171" s="6" t="s">
        <v>3810</v>
      </c>
      <c r="I171" s="6" t="n">
        <v>25</v>
      </c>
      <c r="J171" s="6" t="s">
        <v>83</v>
      </c>
      <c r="K171" s="6" t="s">
        <v>3811</v>
      </c>
      <c r="L171" s="7"/>
      <c r="M171" s="7"/>
    </row>
    <row r="172" customFormat="false" ht="23.85" hidden="false" customHeight="false" outlineLevel="0" collapsed="false">
      <c r="A172" s="6" t="s">
        <v>585</v>
      </c>
      <c r="B172" s="6" t="s">
        <v>132</v>
      </c>
      <c r="C172" s="6" t="s">
        <v>165</v>
      </c>
      <c r="D172" s="6" t="s">
        <v>452</v>
      </c>
      <c r="E172" s="6"/>
      <c r="F172" s="6" t="s">
        <v>590</v>
      </c>
      <c r="G172" s="6" t="s">
        <v>3687</v>
      </c>
      <c r="H172" s="6" t="s">
        <v>3812</v>
      </c>
      <c r="I172" s="6" t="n">
        <v>0</v>
      </c>
      <c r="J172" s="6"/>
      <c r="K172" s="6" t="s">
        <v>3813</v>
      </c>
      <c r="L172" s="7"/>
      <c r="M172" s="7"/>
    </row>
    <row r="173" customFormat="false" ht="23.85" hidden="false" customHeight="false" outlineLevel="0" collapsed="false">
      <c r="A173" s="6" t="s">
        <v>593</v>
      </c>
      <c r="B173" s="6" t="s">
        <v>123</v>
      </c>
      <c r="C173" s="6" t="s">
        <v>79</v>
      </c>
      <c r="D173" s="6" t="s">
        <v>372</v>
      </c>
      <c r="E173" s="6"/>
      <c r="F173" s="6" t="s">
        <v>606</v>
      </c>
      <c r="G173" s="6" t="s">
        <v>3651</v>
      </c>
      <c r="H173" s="6" t="s">
        <v>3814</v>
      </c>
      <c r="I173" s="6" t="n">
        <v>96</v>
      </c>
      <c r="J173" s="6" t="s">
        <v>83</v>
      </c>
      <c r="K173" s="6" t="s">
        <v>3815</v>
      </c>
      <c r="L173" s="7"/>
      <c r="M173" s="7"/>
    </row>
    <row r="174" customFormat="false" ht="23.85" hidden="false" customHeight="false" outlineLevel="0" collapsed="false">
      <c r="A174" s="6" t="s">
        <v>593</v>
      </c>
      <c r="B174" s="6" t="s">
        <v>123</v>
      </c>
      <c r="C174" s="6" t="s">
        <v>79</v>
      </c>
      <c r="D174" s="6" t="s">
        <v>372</v>
      </c>
      <c r="E174" s="6"/>
      <c r="F174" s="6" t="s">
        <v>606</v>
      </c>
      <c r="G174" s="6" t="s">
        <v>3654</v>
      </c>
      <c r="H174" s="6" t="s">
        <v>3816</v>
      </c>
      <c r="I174" s="6" t="n">
        <v>15</v>
      </c>
      <c r="J174" s="6"/>
      <c r="K174" s="6" t="s">
        <v>3817</v>
      </c>
      <c r="L174" s="7"/>
      <c r="M174" s="7"/>
    </row>
    <row r="175" customFormat="false" ht="23.85" hidden="false" customHeight="false" outlineLevel="0" collapsed="false">
      <c r="A175" s="6" t="s">
        <v>593</v>
      </c>
      <c r="B175" s="6" t="s">
        <v>123</v>
      </c>
      <c r="C175" s="6" t="s">
        <v>79</v>
      </c>
      <c r="D175" s="6" t="s">
        <v>372</v>
      </c>
      <c r="E175" s="6"/>
      <c r="F175" s="6" t="s">
        <v>606</v>
      </c>
      <c r="G175" s="6" t="s">
        <v>3657</v>
      </c>
      <c r="H175" s="6" t="s">
        <v>3818</v>
      </c>
      <c r="I175" s="6" t="n">
        <v>25</v>
      </c>
      <c r="J175" s="6"/>
      <c r="K175" s="6" t="s">
        <v>3819</v>
      </c>
      <c r="L175" s="7"/>
      <c r="M175" s="7"/>
    </row>
    <row r="176" customFormat="false" ht="23.85" hidden="false" customHeight="false" outlineLevel="0" collapsed="false">
      <c r="A176" s="6" t="s">
        <v>593</v>
      </c>
      <c r="B176" s="6" t="s">
        <v>123</v>
      </c>
      <c r="C176" s="6" t="s">
        <v>79</v>
      </c>
      <c r="D176" s="6" t="s">
        <v>372</v>
      </c>
      <c r="E176" s="6"/>
      <c r="F176" s="6" t="s">
        <v>606</v>
      </c>
      <c r="G176" s="6" t="s">
        <v>3660</v>
      </c>
      <c r="H176" s="6" t="s">
        <v>3820</v>
      </c>
      <c r="I176" s="6" t="n">
        <v>20</v>
      </c>
      <c r="J176" s="6"/>
      <c r="K176" s="6" t="s">
        <v>3821</v>
      </c>
      <c r="L176" s="7"/>
      <c r="M176" s="7"/>
    </row>
    <row r="177" customFormat="false" ht="23.85" hidden="false" customHeight="false" outlineLevel="0" collapsed="false">
      <c r="A177" s="6" t="s">
        <v>610</v>
      </c>
      <c r="B177" s="6" t="s">
        <v>123</v>
      </c>
      <c r="C177" s="6" t="s">
        <v>98</v>
      </c>
      <c r="D177" s="6" t="s">
        <v>491</v>
      </c>
      <c r="E177" s="6" t="s">
        <v>3822</v>
      </c>
      <c r="F177" s="6" t="s">
        <v>617</v>
      </c>
      <c r="G177" s="6"/>
      <c r="H177" s="6" t="s">
        <v>3823</v>
      </c>
      <c r="I177" s="6"/>
      <c r="J177" s="6" t="s">
        <v>83</v>
      </c>
      <c r="K177" s="6" t="s">
        <v>3824</v>
      </c>
      <c r="L177" s="7"/>
      <c r="M177" s="7"/>
    </row>
    <row r="178" customFormat="false" ht="23.85" hidden="false" customHeight="false" outlineLevel="0" collapsed="false">
      <c r="A178" s="6" t="s">
        <v>610</v>
      </c>
      <c r="B178" s="6" t="s">
        <v>123</v>
      </c>
      <c r="C178" s="6" t="s">
        <v>98</v>
      </c>
      <c r="D178" s="6" t="s">
        <v>491</v>
      </c>
      <c r="E178" s="6" t="s">
        <v>3825</v>
      </c>
      <c r="F178" s="6" t="s">
        <v>617</v>
      </c>
      <c r="G178" s="6"/>
      <c r="H178" s="6" t="s">
        <v>3826</v>
      </c>
      <c r="I178" s="6"/>
      <c r="J178" s="6" t="s">
        <v>83</v>
      </c>
      <c r="K178" s="6" t="s">
        <v>3827</v>
      </c>
      <c r="L178" s="7"/>
      <c r="M178" s="7"/>
    </row>
    <row r="179" customFormat="false" ht="23.85" hidden="false" customHeight="false" outlineLevel="0" collapsed="false">
      <c r="A179" s="6" t="s">
        <v>610</v>
      </c>
      <c r="B179" s="6" t="s">
        <v>123</v>
      </c>
      <c r="C179" s="6" t="s">
        <v>98</v>
      </c>
      <c r="D179" s="6" t="s">
        <v>491</v>
      </c>
      <c r="E179" s="6" t="s">
        <v>3828</v>
      </c>
      <c r="F179" s="6" t="s">
        <v>617</v>
      </c>
      <c r="G179" s="6"/>
      <c r="H179" s="6" t="s">
        <v>3829</v>
      </c>
      <c r="I179" s="6"/>
      <c r="J179" s="6" t="s">
        <v>83</v>
      </c>
      <c r="K179" s="6" t="s">
        <v>3830</v>
      </c>
      <c r="L179" s="7"/>
      <c r="M179" s="7"/>
    </row>
    <row r="180" customFormat="false" ht="23.85" hidden="false" customHeight="false" outlineLevel="0" collapsed="false">
      <c r="A180" s="6" t="s">
        <v>610</v>
      </c>
      <c r="B180" s="6" t="s">
        <v>123</v>
      </c>
      <c r="C180" s="6" t="s">
        <v>98</v>
      </c>
      <c r="D180" s="6" t="s">
        <v>491</v>
      </c>
      <c r="E180" s="6" t="s">
        <v>3831</v>
      </c>
      <c r="F180" s="6" t="s">
        <v>617</v>
      </c>
      <c r="G180" s="6"/>
      <c r="H180" s="6" t="s">
        <v>3832</v>
      </c>
      <c r="I180" s="6"/>
      <c r="J180" s="6" t="s">
        <v>83</v>
      </c>
      <c r="K180" s="6" t="s">
        <v>3833</v>
      </c>
      <c r="L180" s="7"/>
      <c r="M180" s="7"/>
    </row>
    <row r="181" customFormat="false" ht="23.85" hidden="false" customHeight="false" outlineLevel="0" collapsed="false">
      <c r="A181" s="6" t="s">
        <v>631</v>
      </c>
      <c r="B181" s="6" t="s">
        <v>123</v>
      </c>
      <c r="C181" s="6" t="s">
        <v>79</v>
      </c>
      <c r="D181" s="6" t="s">
        <v>372</v>
      </c>
      <c r="E181" s="6"/>
      <c r="F181" s="6" t="s">
        <v>642</v>
      </c>
      <c r="G181" s="6" t="s">
        <v>3651</v>
      </c>
      <c r="H181" s="6" t="s">
        <v>3834</v>
      </c>
      <c r="I181" s="6" t="n">
        <v>95</v>
      </c>
      <c r="J181" s="6" t="s">
        <v>83</v>
      </c>
      <c r="K181" s="6" t="s">
        <v>3835</v>
      </c>
      <c r="L181" s="7"/>
      <c r="M181" s="7"/>
    </row>
    <row r="182" customFormat="false" ht="23.85" hidden="false" customHeight="false" outlineLevel="0" collapsed="false">
      <c r="A182" s="6" t="s">
        <v>631</v>
      </c>
      <c r="B182" s="6" t="s">
        <v>123</v>
      </c>
      <c r="C182" s="6" t="s">
        <v>79</v>
      </c>
      <c r="D182" s="6" t="s">
        <v>372</v>
      </c>
      <c r="E182" s="6"/>
      <c r="F182" s="6" t="s">
        <v>642</v>
      </c>
      <c r="G182" s="6" t="s">
        <v>3654</v>
      </c>
      <c r="H182" s="6" t="s">
        <v>3836</v>
      </c>
      <c r="I182" s="6" t="n">
        <v>20</v>
      </c>
      <c r="J182" s="6"/>
      <c r="K182" s="6" t="s">
        <v>3837</v>
      </c>
      <c r="L182" s="7"/>
      <c r="M182" s="7"/>
    </row>
    <row r="183" customFormat="false" ht="23.85" hidden="false" customHeight="false" outlineLevel="0" collapsed="false">
      <c r="A183" s="6" t="s">
        <v>631</v>
      </c>
      <c r="B183" s="6" t="s">
        <v>123</v>
      </c>
      <c r="C183" s="6" t="s">
        <v>79</v>
      </c>
      <c r="D183" s="6" t="s">
        <v>372</v>
      </c>
      <c r="E183" s="6"/>
      <c r="F183" s="6" t="s">
        <v>642</v>
      </c>
      <c r="G183" s="6" t="s">
        <v>3657</v>
      </c>
      <c r="H183" s="6" t="s">
        <v>3838</v>
      </c>
      <c r="I183" s="6" t="n">
        <v>0</v>
      </c>
      <c r="J183" s="6"/>
      <c r="K183" s="6" t="s">
        <v>3839</v>
      </c>
      <c r="L183" s="7"/>
      <c r="M183" s="7"/>
    </row>
    <row r="184" customFormat="false" ht="23.85" hidden="false" customHeight="false" outlineLevel="0" collapsed="false">
      <c r="A184" s="6" t="s">
        <v>631</v>
      </c>
      <c r="B184" s="6" t="s">
        <v>123</v>
      </c>
      <c r="C184" s="6" t="s">
        <v>79</v>
      </c>
      <c r="D184" s="6" t="s">
        <v>372</v>
      </c>
      <c r="E184" s="6"/>
      <c r="F184" s="6" t="s">
        <v>642</v>
      </c>
      <c r="G184" s="6" t="s">
        <v>3660</v>
      </c>
      <c r="H184" s="6" t="s">
        <v>3840</v>
      </c>
      <c r="I184" s="6" t="n">
        <v>10</v>
      </c>
      <c r="J184" s="6"/>
      <c r="K184" s="6" t="s">
        <v>3841</v>
      </c>
      <c r="L184" s="7"/>
      <c r="M184" s="7"/>
    </row>
    <row r="185" customFormat="false" ht="23.85" hidden="false" customHeight="false" outlineLevel="0" collapsed="false">
      <c r="A185" s="6" t="s">
        <v>646</v>
      </c>
      <c r="B185" s="6" t="s">
        <v>123</v>
      </c>
      <c r="C185" s="6" t="s">
        <v>98</v>
      </c>
      <c r="D185" s="6" t="s">
        <v>372</v>
      </c>
      <c r="E185" s="6"/>
      <c r="F185" s="6" t="s">
        <v>655</v>
      </c>
      <c r="G185" s="6" t="s">
        <v>3842</v>
      </c>
      <c r="H185" s="6" t="s">
        <v>3843</v>
      </c>
      <c r="I185" s="6" t="n">
        <v>25</v>
      </c>
      <c r="J185" s="6" t="s">
        <v>83</v>
      </c>
      <c r="K185" s="6" t="s">
        <v>3844</v>
      </c>
      <c r="L185" s="7"/>
      <c r="M185" s="7"/>
    </row>
    <row r="186" customFormat="false" ht="23.85" hidden="false" customHeight="false" outlineLevel="0" collapsed="false">
      <c r="A186" s="6" t="s">
        <v>646</v>
      </c>
      <c r="B186" s="6" t="s">
        <v>123</v>
      </c>
      <c r="C186" s="6" t="s">
        <v>98</v>
      </c>
      <c r="D186" s="6" t="s">
        <v>372</v>
      </c>
      <c r="E186" s="6"/>
      <c r="F186" s="6" t="s">
        <v>655</v>
      </c>
      <c r="G186" s="6" t="s">
        <v>3845</v>
      </c>
      <c r="H186" s="6" t="s">
        <v>3846</v>
      </c>
      <c r="I186" s="6" t="n">
        <v>25</v>
      </c>
      <c r="J186" s="6" t="s">
        <v>83</v>
      </c>
      <c r="K186" s="6" t="s">
        <v>3847</v>
      </c>
      <c r="L186" s="7"/>
      <c r="M186" s="7"/>
    </row>
    <row r="187" customFormat="false" ht="23.85" hidden="false" customHeight="false" outlineLevel="0" collapsed="false">
      <c r="A187" s="6" t="s">
        <v>646</v>
      </c>
      <c r="B187" s="6" t="s">
        <v>123</v>
      </c>
      <c r="C187" s="6" t="s">
        <v>98</v>
      </c>
      <c r="D187" s="6" t="s">
        <v>372</v>
      </c>
      <c r="E187" s="6"/>
      <c r="F187" s="6" t="s">
        <v>655</v>
      </c>
      <c r="G187" s="6" t="s">
        <v>3848</v>
      </c>
      <c r="H187" s="6" t="s">
        <v>3849</v>
      </c>
      <c r="I187" s="6" t="n">
        <v>25</v>
      </c>
      <c r="J187" s="6" t="s">
        <v>83</v>
      </c>
      <c r="K187" s="6" t="s">
        <v>3850</v>
      </c>
      <c r="L187" s="7"/>
      <c r="M187" s="7"/>
    </row>
    <row r="188" customFormat="false" ht="23.85" hidden="false" customHeight="false" outlineLevel="0" collapsed="false">
      <c r="A188" s="6" t="s">
        <v>646</v>
      </c>
      <c r="B188" s="6" t="s">
        <v>123</v>
      </c>
      <c r="C188" s="6" t="s">
        <v>98</v>
      </c>
      <c r="D188" s="6" t="s">
        <v>372</v>
      </c>
      <c r="E188" s="6"/>
      <c r="F188" s="6" t="s">
        <v>655</v>
      </c>
      <c r="G188" s="6" t="s">
        <v>3851</v>
      </c>
      <c r="H188" s="6" t="s">
        <v>3852</v>
      </c>
      <c r="I188" s="6" t="n">
        <v>25</v>
      </c>
      <c r="J188" s="6" t="s">
        <v>83</v>
      </c>
      <c r="K188" s="6" t="s">
        <v>3853</v>
      </c>
      <c r="L188" s="7"/>
      <c r="M188" s="7"/>
    </row>
    <row r="189" customFormat="false" ht="23.85" hidden="false" customHeight="false" outlineLevel="0" collapsed="false">
      <c r="A189" s="6" t="s">
        <v>646</v>
      </c>
      <c r="B189" s="6" t="s">
        <v>123</v>
      </c>
      <c r="C189" s="6" t="s">
        <v>98</v>
      </c>
      <c r="D189" s="6" t="s">
        <v>372</v>
      </c>
      <c r="E189" s="6"/>
      <c r="F189" s="6" t="s">
        <v>655</v>
      </c>
      <c r="G189" s="6" t="s">
        <v>3854</v>
      </c>
      <c r="H189" s="6" t="s">
        <v>3855</v>
      </c>
      <c r="I189" s="6" t="n">
        <v>0</v>
      </c>
      <c r="J189" s="6"/>
      <c r="K189" s="6" t="s">
        <v>3856</v>
      </c>
      <c r="L189" s="7"/>
      <c r="M189" s="7"/>
    </row>
    <row r="190" customFormat="false" ht="23.85" hidden="false" customHeight="false" outlineLevel="0" collapsed="false">
      <c r="A190" s="6" t="s">
        <v>659</v>
      </c>
      <c r="B190" s="6" t="s">
        <v>123</v>
      </c>
      <c r="C190" s="6" t="s">
        <v>165</v>
      </c>
      <c r="D190" s="6" t="s">
        <v>431</v>
      </c>
      <c r="E190" s="6" t="s">
        <v>432</v>
      </c>
      <c r="F190" s="6" t="s">
        <v>666</v>
      </c>
      <c r="G190" s="6" t="s">
        <v>3857</v>
      </c>
      <c r="H190" s="6" t="s">
        <v>3858</v>
      </c>
      <c r="I190" s="6" t="n">
        <v>1</v>
      </c>
      <c r="J190" s="6" t="s">
        <v>3692</v>
      </c>
      <c r="K190" s="6"/>
      <c r="L190" s="7"/>
      <c r="M190" s="7"/>
    </row>
    <row r="191" customFormat="false" ht="23.85" hidden="false" customHeight="false" outlineLevel="0" collapsed="false">
      <c r="A191" s="6" t="s">
        <v>659</v>
      </c>
      <c r="B191" s="6" t="s">
        <v>123</v>
      </c>
      <c r="C191" s="6" t="s">
        <v>165</v>
      </c>
      <c r="D191" s="6" t="s">
        <v>431</v>
      </c>
      <c r="E191" s="6" t="s">
        <v>432</v>
      </c>
      <c r="F191" s="6" t="s">
        <v>666</v>
      </c>
      <c r="G191" s="6" t="s">
        <v>3842</v>
      </c>
      <c r="H191" s="6" t="s">
        <v>3859</v>
      </c>
      <c r="I191" s="6" t="n">
        <v>2</v>
      </c>
      <c r="J191" s="6" t="s">
        <v>3695</v>
      </c>
      <c r="K191" s="6"/>
      <c r="L191" s="7"/>
      <c r="M191" s="7"/>
    </row>
    <row r="192" customFormat="false" ht="23.85" hidden="false" customHeight="false" outlineLevel="0" collapsed="false">
      <c r="A192" s="6" t="s">
        <v>659</v>
      </c>
      <c r="B192" s="6" t="s">
        <v>123</v>
      </c>
      <c r="C192" s="6" t="s">
        <v>165</v>
      </c>
      <c r="D192" s="6" t="s">
        <v>431</v>
      </c>
      <c r="E192" s="6" t="s">
        <v>432</v>
      </c>
      <c r="F192" s="6" t="s">
        <v>666</v>
      </c>
      <c r="G192" s="6" t="s">
        <v>3860</v>
      </c>
      <c r="H192" s="6" t="s">
        <v>3861</v>
      </c>
      <c r="I192" s="6" t="n">
        <v>3</v>
      </c>
      <c r="J192" s="6" t="s">
        <v>3698</v>
      </c>
      <c r="K192" s="6"/>
      <c r="L192" s="7"/>
      <c r="M192" s="7"/>
    </row>
    <row r="193" customFormat="false" ht="23.85" hidden="false" customHeight="false" outlineLevel="0" collapsed="false">
      <c r="A193" s="6" t="s">
        <v>659</v>
      </c>
      <c r="B193" s="6" t="s">
        <v>123</v>
      </c>
      <c r="C193" s="6" t="s">
        <v>165</v>
      </c>
      <c r="D193" s="6" t="s">
        <v>431</v>
      </c>
      <c r="E193" s="6" t="s">
        <v>432</v>
      </c>
      <c r="F193" s="6" t="s">
        <v>666</v>
      </c>
      <c r="G193" s="6" t="s">
        <v>3862</v>
      </c>
      <c r="H193" s="6" t="s">
        <v>3863</v>
      </c>
      <c r="I193" s="6" t="n">
        <v>4</v>
      </c>
      <c r="J193" s="6" t="s">
        <v>3701</v>
      </c>
      <c r="K193" s="6"/>
      <c r="L193" s="7"/>
      <c r="M193" s="7"/>
    </row>
    <row r="194" customFormat="false" ht="23.85" hidden="false" customHeight="false" outlineLevel="0" collapsed="false">
      <c r="A194" s="6" t="s">
        <v>659</v>
      </c>
      <c r="B194" s="6" t="s">
        <v>123</v>
      </c>
      <c r="C194" s="6" t="s">
        <v>165</v>
      </c>
      <c r="D194" s="6" t="s">
        <v>431</v>
      </c>
      <c r="E194" s="6" t="s">
        <v>432</v>
      </c>
      <c r="F194" s="6" t="s">
        <v>666</v>
      </c>
      <c r="G194" s="6" t="s">
        <v>3864</v>
      </c>
      <c r="H194" s="6" t="s">
        <v>3865</v>
      </c>
      <c r="I194" s="6" t="n">
        <v>5</v>
      </c>
      <c r="J194" s="6" t="s">
        <v>3866</v>
      </c>
      <c r="K194" s="6"/>
      <c r="L194" s="7"/>
      <c r="M194" s="7"/>
    </row>
    <row r="195" customFormat="false" ht="23.85" hidden="false" customHeight="false" outlineLevel="0" collapsed="false">
      <c r="A195" s="6" t="s">
        <v>669</v>
      </c>
      <c r="B195" s="6" t="s">
        <v>77</v>
      </c>
      <c r="C195" s="6" t="s">
        <v>79</v>
      </c>
      <c r="D195" s="6" t="s">
        <v>372</v>
      </c>
      <c r="E195" s="6"/>
      <c r="F195" s="6" t="s">
        <v>677</v>
      </c>
      <c r="G195" s="6" t="s">
        <v>3651</v>
      </c>
      <c r="H195" s="6" t="s">
        <v>3867</v>
      </c>
      <c r="I195" s="6" t="n">
        <v>95</v>
      </c>
      <c r="J195" s="6" t="s">
        <v>83</v>
      </c>
      <c r="K195" s="6" t="s">
        <v>3868</v>
      </c>
      <c r="L195" s="7"/>
      <c r="M195" s="7"/>
    </row>
    <row r="196" customFormat="false" ht="23.85" hidden="false" customHeight="false" outlineLevel="0" collapsed="false">
      <c r="A196" s="6" t="s">
        <v>669</v>
      </c>
      <c r="B196" s="6" t="s">
        <v>77</v>
      </c>
      <c r="C196" s="6" t="s">
        <v>79</v>
      </c>
      <c r="D196" s="6" t="s">
        <v>372</v>
      </c>
      <c r="E196" s="6"/>
      <c r="F196" s="6" t="s">
        <v>677</v>
      </c>
      <c r="G196" s="6" t="s">
        <v>3654</v>
      </c>
      <c r="H196" s="6" t="s">
        <v>3869</v>
      </c>
      <c r="I196" s="6" t="n">
        <v>10</v>
      </c>
      <c r="J196" s="6"/>
      <c r="K196" s="6" t="s">
        <v>3870</v>
      </c>
      <c r="L196" s="7"/>
      <c r="M196" s="7"/>
    </row>
    <row r="197" customFormat="false" ht="23.85" hidden="false" customHeight="false" outlineLevel="0" collapsed="false">
      <c r="A197" s="6" t="s">
        <v>669</v>
      </c>
      <c r="B197" s="6" t="s">
        <v>77</v>
      </c>
      <c r="C197" s="6" t="s">
        <v>79</v>
      </c>
      <c r="D197" s="6" t="s">
        <v>372</v>
      </c>
      <c r="E197" s="6"/>
      <c r="F197" s="6" t="s">
        <v>677</v>
      </c>
      <c r="G197" s="6" t="s">
        <v>3657</v>
      </c>
      <c r="H197" s="6" t="s">
        <v>3871</v>
      </c>
      <c r="I197" s="6" t="n">
        <v>5</v>
      </c>
      <c r="J197" s="6"/>
      <c r="K197" s="6" t="s">
        <v>3872</v>
      </c>
      <c r="L197" s="7"/>
      <c r="M197" s="7"/>
    </row>
    <row r="198" customFormat="false" ht="23.85" hidden="false" customHeight="false" outlineLevel="0" collapsed="false">
      <c r="A198" s="6" t="s">
        <v>669</v>
      </c>
      <c r="B198" s="6" t="s">
        <v>77</v>
      </c>
      <c r="C198" s="6" t="s">
        <v>79</v>
      </c>
      <c r="D198" s="6" t="s">
        <v>372</v>
      </c>
      <c r="E198" s="6"/>
      <c r="F198" s="6" t="s">
        <v>677</v>
      </c>
      <c r="G198" s="6" t="s">
        <v>3660</v>
      </c>
      <c r="H198" s="6" t="s">
        <v>3873</v>
      </c>
      <c r="I198" s="6" t="n">
        <v>15</v>
      </c>
      <c r="J198" s="6"/>
      <c r="K198" s="6" t="s">
        <v>3874</v>
      </c>
      <c r="L198" s="7"/>
      <c r="M198" s="7"/>
    </row>
    <row r="199" customFormat="false" ht="15" hidden="false" customHeight="false" outlineLevel="0" collapsed="false">
      <c r="A199" s="6" t="s">
        <v>681</v>
      </c>
      <c r="B199" s="6" t="s">
        <v>77</v>
      </c>
      <c r="C199" s="6" t="s">
        <v>98</v>
      </c>
      <c r="D199" s="6" t="s">
        <v>491</v>
      </c>
      <c r="E199" s="6" t="s">
        <v>3875</v>
      </c>
      <c r="F199" s="6" t="s">
        <v>688</v>
      </c>
      <c r="G199" s="6"/>
      <c r="H199" s="6" t="s">
        <v>3876</v>
      </c>
      <c r="I199" s="6"/>
      <c r="J199" s="6" t="s">
        <v>83</v>
      </c>
      <c r="K199" s="6" t="s">
        <v>3877</v>
      </c>
      <c r="L199" s="7"/>
      <c r="M199" s="7"/>
    </row>
    <row r="200" customFormat="false" ht="15" hidden="false" customHeight="false" outlineLevel="0" collapsed="false">
      <c r="A200" s="6" t="s">
        <v>681</v>
      </c>
      <c r="B200" s="6" t="s">
        <v>77</v>
      </c>
      <c r="C200" s="6" t="s">
        <v>98</v>
      </c>
      <c r="D200" s="6" t="s">
        <v>491</v>
      </c>
      <c r="E200" s="6" t="s">
        <v>3878</v>
      </c>
      <c r="F200" s="6" t="s">
        <v>688</v>
      </c>
      <c r="G200" s="6"/>
      <c r="H200" s="6" t="s">
        <v>3879</v>
      </c>
      <c r="I200" s="6"/>
      <c r="J200" s="6" t="s">
        <v>83</v>
      </c>
      <c r="K200" s="6" t="s">
        <v>3880</v>
      </c>
      <c r="L200" s="7"/>
      <c r="M200" s="7"/>
    </row>
    <row r="201" customFormat="false" ht="15" hidden="false" customHeight="false" outlineLevel="0" collapsed="false">
      <c r="A201" s="6" t="s">
        <v>681</v>
      </c>
      <c r="B201" s="6" t="s">
        <v>77</v>
      </c>
      <c r="C201" s="6" t="s">
        <v>98</v>
      </c>
      <c r="D201" s="6" t="s">
        <v>491</v>
      </c>
      <c r="E201" s="6" t="s">
        <v>3881</v>
      </c>
      <c r="F201" s="6" t="s">
        <v>688</v>
      </c>
      <c r="G201" s="6"/>
      <c r="H201" s="6" t="s">
        <v>3882</v>
      </c>
      <c r="I201" s="6"/>
      <c r="J201" s="6" t="s">
        <v>83</v>
      </c>
      <c r="K201" s="6" t="s">
        <v>3883</v>
      </c>
      <c r="L201" s="7"/>
      <c r="M201" s="7"/>
    </row>
    <row r="202" customFormat="false" ht="15" hidden="false" customHeight="false" outlineLevel="0" collapsed="false">
      <c r="A202" s="6" t="s">
        <v>681</v>
      </c>
      <c r="B202" s="6" t="s">
        <v>77</v>
      </c>
      <c r="C202" s="6" t="s">
        <v>98</v>
      </c>
      <c r="D202" s="6" t="s">
        <v>491</v>
      </c>
      <c r="E202" s="6" t="s">
        <v>3884</v>
      </c>
      <c r="F202" s="6" t="s">
        <v>688</v>
      </c>
      <c r="G202" s="6"/>
      <c r="H202" s="6" t="s">
        <v>3885</v>
      </c>
      <c r="I202" s="6"/>
      <c r="J202" s="6" t="s">
        <v>83</v>
      </c>
      <c r="K202" s="6" t="s">
        <v>3886</v>
      </c>
      <c r="L202" s="7"/>
      <c r="M202" s="7"/>
    </row>
    <row r="203" customFormat="false" ht="23.85" hidden="false" customHeight="false" outlineLevel="0" collapsed="false">
      <c r="A203" s="6" t="s">
        <v>701</v>
      </c>
      <c r="B203" s="6" t="s">
        <v>77</v>
      </c>
      <c r="C203" s="6" t="s">
        <v>79</v>
      </c>
      <c r="D203" s="6" t="s">
        <v>372</v>
      </c>
      <c r="E203" s="6"/>
      <c r="F203" s="6" t="s">
        <v>709</v>
      </c>
      <c r="G203" s="6" t="s">
        <v>3651</v>
      </c>
      <c r="H203" s="6" t="s">
        <v>3887</v>
      </c>
      <c r="I203" s="6" t="n">
        <v>95</v>
      </c>
      <c r="J203" s="6" t="s">
        <v>83</v>
      </c>
      <c r="K203" s="6" t="s">
        <v>3888</v>
      </c>
      <c r="L203" s="7"/>
      <c r="M203" s="7"/>
    </row>
    <row r="204" customFormat="false" ht="23.85" hidden="false" customHeight="false" outlineLevel="0" collapsed="false">
      <c r="A204" s="6" t="s">
        <v>701</v>
      </c>
      <c r="B204" s="6" t="s">
        <v>77</v>
      </c>
      <c r="C204" s="6" t="s">
        <v>79</v>
      </c>
      <c r="D204" s="6" t="s">
        <v>372</v>
      </c>
      <c r="E204" s="6"/>
      <c r="F204" s="6" t="s">
        <v>709</v>
      </c>
      <c r="G204" s="6" t="s">
        <v>3654</v>
      </c>
      <c r="H204" s="6" t="s">
        <v>3889</v>
      </c>
      <c r="I204" s="6" t="n">
        <v>0</v>
      </c>
      <c r="J204" s="6"/>
      <c r="K204" s="6" t="s">
        <v>3890</v>
      </c>
      <c r="L204" s="7"/>
      <c r="M204" s="7"/>
    </row>
    <row r="205" customFormat="false" ht="23.85" hidden="false" customHeight="false" outlineLevel="0" collapsed="false">
      <c r="A205" s="6" t="s">
        <v>701</v>
      </c>
      <c r="B205" s="6" t="s">
        <v>77</v>
      </c>
      <c r="C205" s="6" t="s">
        <v>79</v>
      </c>
      <c r="D205" s="6" t="s">
        <v>372</v>
      </c>
      <c r="E205" s="6"/>
      <c r="F205" s="6" t="s">
        <v>709</v>
      </c>
      <c r="G205" s="6" t="s">
        <v>3657</v>
      </c>
      <c r="H205" s="6" t="s">
        <v>3891</v>
      </c>
      <c r="I205" s="6" t="n">
        <v>15</v>
      </c>
      <c r="J205" s="6"/>
      <c r="K205" s="6" t="s">
        <v>3892</v>
      </c>
      <c r="L205" s="7"/>
      <c r="M205" s="7"/>
    </row>
    <row r="206" customFormat="false" ht="23.85" hidden="false" customHeight="false" outlineLevel="0" collapsed="false">
      <c r="A206" s="6" t="s">
        <v>701</v>
      </c>
      <c r="B206" s="6" t="s">
        <v>77</v>
      </c>
      <c r="C206" s="6" t="s">
        <v>79</v>
      </c>
      <c r="D206" s="6" t="s">
        <v>372</v>
      </c>
      <c r="E206" s="6"/>
      <c r="F206" s="6" t="s">
        <v>709</v>
      </c>
      <c r="G206" s="6" t="s">
        <v>3660</v>
      </c>
      <c r="H206" s="6" t="s">
        <v>3893</v>
      </c>
      <c r="I206" s="6" t="n">
        <v>25</v>
      </c>
      <c r="J206" s="6"/>
      <c r="K206" s="6" t="s">
        <v>3894</v>
      </c>
      <c r="L206" s="7"/>
      <c r="M206" s="7"/>
    </row>
    <row r="207" customFormat="false" ht="23.85" hidden="false" customHeight="false" outlineLevel="0" collapsed="false">
      <c r="A207" s="6" t="s">
        <v>713</v>
      </c>
      <c r="B207" s="6" t="s">
        <v>77</v>
      </c>
      <c r="C207" s="6" t="s">
        <v>98</v>
      </c>
      <c r="D207" s="6" t="s">
        <v>372</v>
      </c>
      <c r="E207" s="6"/>
      <c r="F207" s="6" t="s">
        <v>721</v>
      </c>
      <c r="G207" s="6" t="s">
        <v>3895</v>
      </c>
      <c r="H207" s="6" t="s">
        <v>3896</v>
      </c>
      <c r="I207" s="6" t="n">
        <v>25</v>
      </c>
      <c r="J207" s="6" t="s">
        <v>83</v>
      </c>
      <c r="K207" s="6" t="s">
        <v>3897</v>
      </c>
      <c r="L207" s="7"/>
      <c r="M207" s="7"/>
    </row>
    <row r="208" customFormat="false" ht="23.85" hidden="false" customHeight="false" outlineLevel="0" collapsed="false">
      <c r="A208" s="6" t="s">
        <v>713</v>
      </c>
      <c r="B208" s="6" t="s">
        <v>77</v>
      </c>
      <c r="C208" s="6" t="s">
        <v>98</v>
      </c>
      <c r="D208" s="6" t="s">
        <v>372</v>
      </c>
      <c r="E208" s="6"/>
      <c r="F208" s="6" t="s">
        <v>721</v>
      </c>
      <c r="G208" s="6" t="s">
        <v>3898</v>
      </c>
      <c r="H208" s="6" t="s">
        <v>3899</v>
      </c>
      <c r="I208" s="6" t="n">
        <v>25</v>
      </c>
      <c r="J208" s="6" t="s">
        <v>83</v>
      </c>
      <c r="K208" s="6" t="s">
        <v>3900</v>
      </c>
      <c r="L208" s="7"/>
      <c r="M208" s="7"/>
    </row>
    <row r="209" customFormat="false" ht="23.85" hidden="false" customHeight="false" outlineLevel="0" collapsed="false">
      <c r="A209" s="6" t="s">
        <v>713</v>
      </c>
      <c r="B209" s="6" t="s">
        <v>77</v>
      </c>
      <c r="C209" s="6" t="s">
        <v>98</v>
      </c>
      <c r="D209" s="6" t="s">
        <v>372</v>
      </c>
      <c r="E209" s="6"/>
      <c r="F209" s="6" t="s">
        <v>721</v>
      </c>
      <c r="G209" s="6" t="s">
        <v>3731</v>
      </c>
      <c r="H209" s="6" t="s">
        <v>3901</v>
      </c>
      <c r="I209" s="6" t="n">
        <v>25</v>
      </c>
      <c r="J209" s="6" t="s">
        <v>83</v>
      </c>
      <c r="K209" s="6" t="s">
        <v>3902</v>
      </c>
      <c r="L209" s="7"/>
      <c r="M209" s="7"/>
    </row>
    <row r="210" customFormat="false" ht="23.85" hidden="false" customHeight="false" outlineLevel="0" collapsed="false">
      <c r="A210" s="6" t="s">
        <v>713</v>
      </c>
      <c r="B210" s="6" t="s">
        <v>77</v>
      </c>
      <c r="C210" s="6" t="s">
        <v>98</v>
      </c>
      <c r="D210" s="6" t="s">
        <v>372</v>
      </c>
      <c r="E210" s="6"/>
      <c r="F210" s="6" t="s">
        <v>721</v>
      </c>
      <c r="G210" s="6" t="s">
        <v>3733</v>
      </c>
      <c r="H210" s="6" t="s">
        <v>3903</v>
      </c>
      <c r="I210" s="6" t="n">
        <v>25</v>
      </c>
      <c r="J210" s="6" t="s">
        <v>83</v>
      </c>
      <c r="K210" s="6" t="s">
        <v>3904</v>
      </c>
      <c r="L210" s="7"/>
      <c r="M210" s="7"/>
    </row>
    <row r="211" customFormat="false" ht="23.85" hidden="false" customHeight="false" outlineLevel="0" collapsed="false">
      <c r="A211" s="6" t="s">
        <v>713</v>
      </c>
      <c r="B211" s="6" t="s">
        <v>77</v>
      </c>
      <c r="C211" s="6" t="s">
        <v>98</v>
      </c>
      <c r="D211" s="6" t="s">
        <v>372</v>
      </c>
      <c r="E211" s="6"/>
      <c r="F211" s="6" t="s">
        <v>721</v>
      </c>
      <c r="G211" s="6" t="s">
        <v>3905</v>
      </c>
      <c r="H211" s="6" t="s">
        <v>3906</v>
      </c>
      <c r="I211" s="6" t="n">
        <v>0</v>
      </c>
      <c r="J211" s="6"/>
      <c r="K211" s="6" t="s">
        <v>3907</v>
      </c>
      <c r="L211" s="7"/>
      <c r="M211" s="7"/>
    </row>
    <row r="212" customFormat="false" ht="23.85" hidden="false" customHeight="false" outlineLevel="0" collapsed="false">
      <c r="A212" s="6" t="s">
        <v>725</v>
      </c>
      <c r="B212" s="6" t="s">
        <v>77</v>
      </c>
      <c r="C212" s="6" t="s">
        <v>165</v>
      </c>
      <c r="D212" s="6" t="s">
        <v>491</v>
      </c>
      <c r="E212" s="6" t="s">
        <v>3898</v>
      </c>
      <c r="F212" s="6" t="s">
        <v>732</v>
      </c>
      <c r="G212" s="6"/>
      <c r="H212" s="6" t="s">
        <v>3908</v>
      </c>
      <c r="I212" s="6"/>
      <c r="J212" s="6" t="s">
        <v>83</v>
      </c>
      <c r="K212" s="6" t="s">
        <v>3909</v>
      </c>
      <c r="L212" s="7"/>
      <c r="M212" s="7"/>
    </row>
    <row r="213" customFormat="false" ht="23.85" hidden="false" customHeight="false" outlineLevel="0" collapsed="false">
      <c r="A213" s="6" t="s">
        <v>725</v>
      </c>
      <c r="B213" s="6" t="s">
        <v>77</v>
      </c>
      <c r="C213" s="6" t="s">
        <v>165</v>
      </c>
      <c r="D213" s="6" t="s">
        <v>491</v>
      </c>
      <c r="E213" s="6" t="s">
        <v>3878</v>
      </c>
      <c r="F213" s="6" t="s">
        <v>732</v>
      </c>
      <c r="G213" s="6"/>
      <c r="H213" s="6" t="s">
        <v>3910</v>
      </c>
      <c r="I213" s="6"/>
      <c r="J213" s="6" t="s">
        <v>83</v>
      </c>
      <c r="K213" s="6" t="s">
        <v>3911</v>
      </c>
      <c r="L213" s="7"/>
      <c r="M213" s="7"/>
    </row>
    <row r="214" customFormat="false" ht="23.85" hidden="false" customHeight="false" outlineLevel="0" collapsed="false">
      <c r="A214" s="6" t="s">
        <v>725</v>
      </c>
      <c r="B214" s="6" t="s">
        <v>77</v>
      </c>
      <c r="C214" s="6" t="s">
        <v>165</v>
      </c>
      <c r="D214" s="6" t="s">
        <v>491</v>
      </c>
      <c r="E214" s="6" t="s">
        <v>3912</v>
      </c>
      <c r="F214" s="6" t="s">
        <v>732</v>
      </c>
      <c r="G214" s="6"/>
      <c r="H214" s="6" t="s">
        <v>3913</v>
      </c>
      <c r="I214" s="6"/>
      <c r="J214" s="6" t="s">
        <v>83</v>
      </c>
      <c r="K214" s="6" t="s">
        <v>3914</v>
      </c>
      <c r="L214" s="7"/>
      <c r="M214" s="7"/>
    </row>
    <row r="215" customFormat="false" ht="23.85" hidden="false" customHeight="false" outlineLevel="0" collapsed="false">
      <c r="A215" s="6" t="s">
        <v>725</v>
      </c>
      <c r="B215" s="6" t="s">
        <v>77</v>
      </c>
      <c r="C215" s="6" t="s">
        <v>165</v>
      </c>
      <c r="D215" s="6" t="s">
        <v>491</v>
      </c>
      <c r="E215" s="6" t="s">
        <v>3915</v>
      </c>
      <c r="F215" s="6" t="s">
        <v>732</v>
      </c>
      <c r="G215" s="6"/>
      <c r="H215" s="6" t="s">
        <v>3916</v>
      </c>
      <c r="I215" s="6"/>
      <c r="J215" s="6" t="s">
        <v>83</v>
      </c>
      <c r="K215" s="6" t="s">
        <v>3917</v>
      </c>
      <c r="L215" s="7"/>
      <c r="M215" s="7"/>
    </row>
    <row r="216" customFormat="false" ht="15" hidden="false" customHeight="false" outlineLevel="0" collapsed="false">
      <c r="A216" s="6" t="s">
        <v>735</v>
      </c>
      <c r="B216" s="6" t="s">
        <v>96</v>
      </c>
      <c r="C216" s="6" t="s">
        <v>79</v>
      </c>
      <c r="D216" s="6" t="s">
        <v>372</v>
      </c>
      <c r="E216" s="6"/>
      <c r="F216" s="6" t="s">
        <v>744</v>
      </c>
      <c r="G216" s="6" t="s">
        <v>3651</v>
      </c>
      <c r="H216" s="6" t="s">
        <v>3918</v>
      </c>
      <c r="I216" s="6" t="n">
        <v>96</v>
      </c>
      <c r="J216" s="6" t="s">
        <v>83</v>
      </c>
      <c r="K216" s="6" t="s">
        <v>3919</v>
      </c>
      <c r="L216" s="7"/>
      <c r="M216" s="7"/>
    </row>
    <row r="217" customFormat="false" ht="15" hidden="false" customHeight="false" outlineLevel="0" collapsed="false">
      <c r="A217" s="6" t="s">
        <v>735</v>
      </c>
      <c r="B217" s="6" t="s">
        <v>96</v>
      </c>
      <c r="C217" s="6" t="s">
        <v>79</v>
      </c>
      <c r="D217" s="6" t="s">
        <v>372</v>
      </c>
      <c r="E217" s="6"/>
      <c r="F217" s="6" t="s">
        <v>744</v>
      </c>
      <c r="G217" s="6" t="s">
        <v>3654</v>
      </c>
      <c r="H217" s="6" t="s">
        <v>3920</v>
      </c>
      <c r="I217" s="6" t="n">
        <v>10</v>
      </c>
      <c r="J217" s="6"/>
      <c r="K217" s="6" t="s">
        <v>3921</v>
      </c>
      <c r="L217" s="7"/>
      <c r="M217" s="7"/>
    </row>
    <row r="218" customFormat="false" ht="15" hidden="false" customHeight="false" outlineLevel="0" collapsed="false">
      <c r="A218" s="6" t="s">
        <v>735</v>
      </c>
      <c r="B218" s="6" t="s">
        <v>96</v>
      </c>
      <c r="C218" s="6" t="s">
        <v>79</v>
      </c>
      <c r="D218" s="6" t="s">
        <v>372</v>
      </c>
      <c r="E218" s="6"/>
      <c r="F218" s="6" t="s">
        <v>744</v>
      </c>
      <c r="G218" s="6" t="s">
        <v>3657</v>
      </c>
      <c r="H218" s="6" t="s">
        <v>3922</v>
      </c>
      <c r="I218" s="6" t="n">
        <v>5</v>
      </c>
      <c r="J218" s="6"/>
      <c r="K218" s="6" t="s">
        <v>3923</v>
      </c>
      <c r="L218" s="7"/>
      <c r="M218" s="7"/>
    </row>
    <row r="219" customFormat="false" ht="15" hidden="false" customHeight="false" outlineLevel="0" collapsed="false">
      <c r="A219" s="6" t="s">
        <v>735</v>
      </c>
      <c r="B219" s="6" t="s">
        <v>96</v>
      </c>
      <c r="C219" s="6" t="s">
        <v>79</v>
      </c>
      <c r="D219" s="6" t="s">
        <v>372</v>
      </c>
      <c r="E219" s="6"/>
      <c r="F219" s="6" t="s">
        <v>744</v>
      </c>
      <c r="G219" s="6" t="s">
        <v>3660</v>
      </c>
      <c r="H219" s="6" t="s">
        <v>3924</v>
      </c>
      <c r="I219" s="6" t="n">
        <v>20</v>
      </c>
      <c r="J219" s="6"/>
      <c r="K219" s="6" t="s">
        <v>3925</v>
      </c>
      <c r="L219" s="7"/>
      <c r="M219" s="7"/>
    </row>
    <row r="220" customFormat="false" ht="23.85" hidden="false" customHeight="false" outlineLevel="0" collapsed="false">
      <c r="A220" s="6" t="s">
        <v>748</v>
      </c>
      <c r="B220" s="6" t="s">
        <v>96</v>
      </c>
      <c r="C220" s="6" t="s">
        <v>98</v>
      </c>
      <c r="D220" s="6" t="s">
        <v>491</v>
      </c>
      <c r="E220" s="6" t="s">
        <v>3926</v>
      </c>
      <c r="F220" s="6" t="s">
        <v>754</v>
      </c>
      <c r="G220" s="6"/>
      <c r="H220" s="6" t="s">
        <v>3927</v>
      </c>
      <c r="I220" s="6"/>
      <c r="J220" s="6" t="s">
        <v>83</v>
      </c>
      <c r="K220" s="6" t="s">
        <v>3928</v>
      </c>
      <c r="L220" s="7"/>
      <c r="M220" s="7"/>
    </row>
    <row r="221" customFormat="false" ht="23.85" hidden="false" customHeight="false" outlineLevel="0" collapsed="false">
      <c r="A221" s="6" t="s">
        <v>748</v>
      </c>
      <c r="B221" s="6" t="s">
        <v>96</v>
      </c>
      <c r="C221" s="6" t="s">
        <v>98</v>
      </c>
      <c r="D221" s="6" t="s">
        <v>491</v>
      </c>
      <c r="E221" s="6" t="s">
        <v>3929</v>
      </c>
      <c r="F221" s="6" t="s">
        <v>754</v>
      </c>
      <c r="G221" s="6"/>
      <c r="H221" s="6" t="s">
        <v>3930</v>
      </c>
      <c r="I221" s="6"/>
      <c r="J221" s="6" t="s">
        <v>83</v>
      </c>
      <c r="K221" s="6" t="s">
        <v>3931</v>
      </c>
      <c r="L221" s="7"/>
      <c r="M221" s="7"/>
    </row>
    <row r="222" customFormat="false" ht="23.85" hidden="false" customHeight="false" outlineLevel="0" collapsed="false">
      <c r="A222" s="6" t="s">
        <v>748</v>
      </c>
      <c r="B222" s="6" t="s">
        <v>96</v>
      </c>
      <c r="C222" s="6" t="s">
        <v>98</v>
      </c>
      <c r="D222" s="6" t="s">
        <v>491</v>
      </c>
      <c r="E222" s="6" t="s">
        <v>3932</v>
      </c>
      <c r="F222" s="6" t="s">
        <v>754</v>
      </c>
      <c r="G222" s="6"/>
      <c r="H222" s="6" t="s">
        <v>3933</v>
      </c>
      <c r="I222" s="6"/>
      <c r="J222" s="6" t="s">
        <v>83</v>
      </c>
      <c r="K222" s="6" t="s">
        <v>3934</v>
      </c>
      <c r="L222" s="7"/>
      <c r="M222" s="7"/>
    </row>
    <row r="223" customFormat="false" ht="23.85" hidden="false" customHeight="false" outlineLevel="0" collapsed="false">
      <c r="A223" s="6" t="s">
        <v>748</v>
      </c>
      <c r="B223" s="6" t="s">
        <v>96</v>
      </c>
      <c r="C223" s="6" t="s">
        <v>98</v>
      </c>
      <c r="D223" s="6" t="s">
        <v>491</v>
      </c>
      <c r="E223" s="6" t="s">
        <v>3935</v>
      </c>
      <c r="F223" s="6" t="s">
        <v>754</v>
      </c>
      <c r="G223" s="6"/>
      <c r="H223" s="6" t="s">
        <v>3936</v>
      </c>
      <c r="I223" s="6"/>
      <c r="J223" s="6" t="s">
        <v>83</v>
      </c>
      <c r="K223" s="6" t="s">
        <v>3937</v>
      </c>
      <c r="L223" s="7"/>
      <c r="M223" s="7"/>
    </row>
    <row r="224" customFormat="false" ht="15" hidden="false" customHeight="false" outlineLevel="0" collapsed="false">
      <c r="A224" s="6" t="s">
        <v>766</v>
      </c>
      <c r="B224" s="6" t="s">
        <v>96</v>
      </c>
      <c r="C224" s="6" t="s">
        <v>79</v>
      </c>
      <c r="D224" s="6" t="s">
        <v>396</v>
      </c>
      <c r="E224" s="6"/>
      <c r="F224" s="6" t="s">
        <v>776</v>
      </c>
      <c r="G224" s="6" t="s">
        <v>3651</v>
      </c>
      <c r="H224" s="6" t="s">
        <v>3938</v>
      </c>
      <c r="I224" s="6" t="n">
        <v>96</v>
      </c>
      <c r="J224" s="6" t="s">
        <v>83</v>
      </c>
      <c r="K224" s="6" t="s">
        <v>3939</v>
      </c>
      <c r="L224" s="7"/>
      <c r="M224" s="7"/>
    </row>
    <row r="225" customFormat="false" ht="15" hidden="false" customHeight="false" outlineLevel="0" collapsed="false">
      <c r="A225" s="6" t="s">
        <v>766</v>
      </c>
      <c r="B225" s="6" t="s">
        <v>96</v>
      </c>
      <c r="C225" s="6" t="s">
        <v>79</v>
      </c>
      <c r="D225" s="6" t="s">
        <v>396</v>
      </c>
      <c r="E225" s="6"/>
      <c r="F225" s="6" t="s">
        <v>776</v>
      </c>
      <c r="G225" s="6" t="s">
        <v>3654</v>
      </c>
      <c r="H225" s="6" t="s">
        <v>3940</v>
      </c>
      <c r="I225" s="6" t="n">
        <v>5</v>
      </c>
      <c r="J225" s="6"/>
      <c r="K225" s="6" t="s">
        <v>3941</v>
      </c>
      <c r="L225" s="7"/>
      <c r="M225" s="7"/>
    </row>
    <row r="226" customFormat="false" ht="15" hidden="false" customHeight="false" outlineLevel="0" collapsed="false">
      <c r="A226" s="6" t="s">
        <v>766</v>
      </c>
      <c r="B226" s="6" t="s">
        <v>96</v>
      </c>
      <c r="C226" s="6" t="s">
        <v>79</v>
      </c>
      <c r="D226" s="6" t="s">
        <v>396</v>
      </c>
      <c r="E226" s="6"/>
      <c r="F226" s="6" t="s">
        <v>776</v>
      </c>
      <c r="G226" s="6" t="s">
        <v>3657</v>
      </c>
      <c r="H226" s="6" t="s">
        <v>3942</v>
      </c>
      <c r="I226" s="6" t="n">
        <v>20</v>
      </c>
      <c r="J226" s="6"/>
      <c r="K226" s="6" t="s">
        <v>3943</v>
      </c>
      <c r="L226" s="7"/>
      <c r="M226" s="7"/>
    </row>
    <row r="227" customFormat="false" ht="15" hidden="false" customHeight="false" outlineLevel="0" collapsed="false">
      <c r="A227" s="6" t="s">
        <v>766</v>
      </c>
      <c r="B227" s="6" t="s">
        <v>96</v>
      </c>
      <c r="C227" s="6" t="s">
        <v>79</v>
      </c>
      <c r="D227" s="6" t="s">
        <v>396</v>
      </c>
      <c r="E227" s="6"/>
      <c r="F227" s="6" t="s">
        <v>776</v>
      </c>
      <c r="G227" s="6" t="s">
        <v>3660</v>
      </c>
      <c r="H227" s="6" t="s">
        <v>3944</v>
      </c>
      <c r="I227" s="6" t="n">
        <v>10</v>
      </c>
      <c r="J227" s="6"/>
      <c r="K227" s="6" t="s">
        <v>3945</v>
      </c>
      <c r="L227" s="7"/>
      <c r="M227" s="7"/>
    </row>
    <row r="228" customFormat="false" ht="15" hidden="false" customHeight="false" outlineLevel="0" collapsed="false">
      <c r="A228" s="6" t="s">
        <v>780</v>
      </c>
      <c r="B228" s="6" t="s">
        <v>96</v>
      </c>
      <c r="C228" s="6" t="s">
        <v>98</v>
      </c>
      <c r="D228" s="6" t="s">
        <v>781</v>
      </c>
      <c r="E228" s="6"/>
      <c r="F228" s="6" t="s">
        <v>788</v>
      </c>
      <c r="G228" s="6" t="s">
        <v>3946</v>
      </c>
      <c r="H228" s="6" t="s">
        <v>3947</v>
      </c>
      <c r="I228" s="6" t="n">
        <v>25</v>
      </c>
      <c r="J228" s="6" t="s">
        <v>83</v>
      </c>
      <c r="K228" s="6" t="s">
        <v>3948</v>
      </c>
      <c r="L228" s="7"/>
      <c r="M228" s="7"/>
    </row>
    <row r="229" customFormat="false" ht="15" hidden="false" customHeight="false" outlineLevel="0" collapsed="false">
      <c r="A229" s="6" t="s">
        <v>780</v>
      </c>
      <c r="B229" s="6" t="s">
        <v>96</v>
      </c>
      <c r="C229" s="6" t="s">
        <v>98</v>
      </c>
      <c r="D229" s="6" t="s">
        <v>781</v>
      </c>
      <c r="E229" s="6"/>
      <c r="F229" s="6" t="s">
        <v>788</v>
      </c>
      <c r="G229" s="6" t="s">
        <v>3949</v>
      </c>
      <c r="H229" s="6" t="s">
        <v>3950</v>
      </c>
      <c r="I229" s="6" t="n">
        <v>25</v>
      </c>
      <c r="J229" s="6" t="s">
        <v>83</v>
      </c>
      <c r="K229" s="6" t="s">
        <v>3951</v>
      </c>
      <c r="L229" s="7"/>
      <c r="M229" s="7"/>
    </row>
    <row r="230" customFormat="false" ht="15" hidden="false" customHeight="false" outlineLevel="0" collapsed="false">
      <c r="A230" s="6" t="s">
        <v>780</v>
      </c>
      <c r="B230" s="6" t="s">
        <v>96</v>
      </c>
      <c r="C230" s="6" t="s">
        <v>98</v>
      </c>
      <c r="D230" s="6" t="s">
        <v>781</v>
      </c>
      <c r="E230" s="6"/>
      <c r="F230" s="6" t="s">
        <v>788</v>
      </c>
      <c r="G230" s="6" t="s">
        <v>3952</v>
      </c>
      <c r="H230" s="6" t="s">
        <v>3953</v>
      </c>
      <c r="I230" s="6" t="n">
        <v>25</v>
      </c>
      <c r="J230" s="6" t="s">
        <v>83</v>
      </c>
      <c r="K230" s="6" t="s">
        <v>3954</v>
      </c>
      <c r="L230" s="7"/>
      <c r="M230" s="7"/>
    </row>
    <row r="231" customFormat="false" ht="15" hidden="false" customHeight="false" outlineLevel="0" collapsed="false">
      <c r="A231" s="6" t="s">
        <v>780</v>
      </c>
      <c r="B231" s="6" t="s">
        <v>96</v>
      </c>
      <c r="C231" s="6" t="s">
        <v>98</v>
      </c>
      <c r="D231" s="6" t="s">
        <v>781</v>
      </c>
      <c r="E231" s="6"/>
      <c r="F231" s="6" t="s">
        <v>788</v>
      </c>
      <c r="G231" s="6" t="s">
        <v>3955</v>
      </c>
      <c r="H231" s="6" t="s">
        <v>3956</v>
      </c>
      <c r="I231" s="6" t="n">
        <v>25</v>
      </c>
      <c r="J231" s="6" t="s">
        <v>83</v>
      </c>
      <c r="K231" s="6" t="s">
        <v>3957</v>
      </c>
      <c r="L231" s="7"/>
      <c r="M231" s="7"/>
    </row>
    <row r="232" customFormat="false" ht="15" hidden="false" customHeight="false" outlineLevel="0" collapsed="false">
      <c r="A232" s="6" t="s">
        <v>780</v>
      </c>
      <c r="B232" s="6" t="s">
        <v>96</v>
      </c>
      <c r="C232" s="6" t="s">
        <v>98</v>
      </c>
      <c r="D232" s="6" t="s">
        <v>781</v>
      </c>
      <c r="E232" s="6"/>
      <c r="F232" s="6" t="s">
        <v>788</v>
      </c>
      <c r="G232" s="6" t="s">
        <v>3958</v>
      </c>
      <c r="H232" s="6" t="s">
        <v>3959</v>
      </c>
      <c r="I232" s="6" t="n">
        <v>0</v>
      </c>
      <c r="J232" s="6"/>
      <c r="K232" s="6" t="s">
        <v>3960</v>
      </c>
      <c r="L232" s="7"/>
      <c r="M232" s="7"/>
    </row>
    <row r="233" customFormat="false" ht="15" hidden="false" customHeight="false" outlineLevel="0" collapsed="false">
      <c r="A233" s="6" t="s">
        <v>802</v>
      </c>
      <c r="B233" s="6" t="s">
        <v>110</v>
      </c>
      <c r="C233" s="6" t="s">
        <v>79</v>
      </c>
      <c r="D233" s="6" t="s">
        <v>372</v>
      </c>
      <c r="E233" s="6"/>
      <c r="F233" s="6" t="s">
        <v>810</v>
      </c>
      <c r="G233" s="6" t="s">
        <v>3651</v>
      </c>
      <c r="H233" s="6" t="s">
        <v>3961</v>
      </c>
      <c r="I233" s="6" t="n">
        <v>96</v>
      </c>
      <c r="J233" s="6" t="s">
        <v>83</v>
      </c>
      <c r="K233" s="6" t="s">
        <v>3962</v>
      </c>
      <c r="L233" s="7"/>
      <c r="M233" s="7"/>
    </row>
    <row r="234" customFormat="false" ht="15" hidden="false" customHeight="false" outlineLevel="0" collapsed="false">
      <c r="A234" s="6" t="s">
        <v>802</v>
      </c>
      <c r="B234" s="6" t="s">
        <v>110</v>
      </c>
      <c r="C234" s="6" t="s">
        <v>79</v>
      </c>
      <c r="D234" s="6" t="s">
        <v>372</v>
      </c>
      <c r="E234" s="6"/>
      <c r="F234" s="6" t="s">
        <v>810</v>
      </c>
      <c r="G234" s="6" t="s">
        <v>3654</v>
      </c>
      <c r="H234" s="6" t="s">
        <v>3963</v>
      </c>
      <c r="I234" s="6" t="n">
        <v>0</v>
      </c>
      <c r="J234" s="6"/>
      <c r="K234" s="6" t="s">
        <v>3964</v>
      </c>
      <c r="L234" s="7"/>
      <c r="M234" s="7"/>
    </row>
    <row r="235" customFormat="false" ht="15" hidden="false" customHeight="false" outlineLevel="0" collapsed="false">
      <c r="A235" s="6" t="s">
        <v>802</v>
      </c>
      <c r="B235" s="6" t="s">
        <v>110</v>
      </c>
      <c r="C235" s="6" t="s">
        <v>79</v>
      </c>
      <c r="D235" s="6" t="s">
        <v>372</v>
      </c>
      <c r="E235" s="6"/>
      <c r="F235" s="6" t="s">
        <v>810</v>
      </c>
      <c r="G235" s="6" t="s">
        <v>3657</v>
      </c>
      <c r="H235" s="6" t="s">
        <v>3965</v>
      </c>
      <c r="I235" s="6" t="n">
        <v>35</v>
      </c>
      <c r="J235" s="6"/>
      <c r="K235" s="6" t="s">
        <v>3966</v>
      </c>
      <c r="L235" s="7"/>
      <c r="M235" s="7"/>
    </row>
    <row r="236" customFormat="false" ht="15" hidden="false" customHeight="false" outlineLevel="0" collapsed="false">
      <c r="A236" s="6" t="s">
        <v>802</v>
      </c>
      <c r="B236" s="6" t="s">
        <v>110</v>
      </c>
      <c r="C236" s="6" t="s">
        <v>79</v>
      </c>
      <c r="D236" s="6" t="s">
        <v>372</v>
      </c>
      <c r="E236" s="6"/>
      <c r="F236" s="6" t="s">
        <v>810</v>
      </c>
      <c r="G236" s="6" t="s">
        <v>3660</v>
      </c>
      <c r="H236" s="6" t="s">
        <v>3967</v>
      </c>
      <c r="I236" s="6" t="n">
        <v>10</v>
      </c>
      <c r="J236" s="6"/>
      <c r="K236" s="6" t="s">
        <v>3968</v>
      </c>
      <c r="L236" s="7"/>
      <c r="M236" s="7"/>
    </row>
    <row r="237" customFormat="false" ht="23.85" hidden="false" customHeight="false" outlineLevel="0" collapsed="false">
      <c r="A237" s="6" t="s">
        <v>814</v>
      </c>
      <c r="B237" s="6" t="s">
        <v>110</v>
      </c>
      <c r="C237" s="6" t="s">
        <v>98</v>
      </c>
      <c r="D237" s="6" t="s">
        <v>491</v>
      </c>
      <c r="E237" s="6" t="s">
        <v>3969</v>
      </c>
      <c r="F237" s="6" t="s">
        <v>820</v>
      </c>
      <c r="G237" s="6"/>
      <c r="H237" s="6" t="s">
        <v>3970</v>
      </c>
      <c r="I237" s="6"/>
      <c r="J237" s="6" t="s">
        <v>83</v>
      </c>
      <c r="K237" s="6" t="s">
        <v>3971</v>
      </c>
      <c r="L237" s="7"/>
      <c r="M237" s="7"/>
    </row>
    <row r="238" customFormat="false" ht="23.85" hidden="false" customHeight="false" outlineLevel="0" collapsed="false">
      <c r="A238" s="6" t="s">
        <v>814</v>
      </c>
      <c r="B238" s="6" t="s">
        <v>110</v>
      </c>
      <c r="C238" s="6" t="s">
        <v>98</v>
      </c>
      <c r="D238" s="6" t="s">
        <v>491</v>
      </c>
      <c r="E238" s="6" t="s">
        <v>3972</v>
      </c>
      <c r="F238" s="6" t="s">
        <v>820</v>
      </c>
      <c r="G238" s="6"/>
      <c r="H238" s="6" t="s">
        <v>3973</v>
      </c>
      <c r="I238" s="6"/>
      <c r="J238" s="6" t="s">
        <v>83</v>
      </c>
      <c r="K238" s="6" t="s">
        <v>3974</v>
      </c>
      <c r="L238" s="7"/>
      <c r="M238" s="7"/>
    </row>
    <row r="239" customFormat="false" ht="23.85" hidden="false" customHeight="false" outlineLevel="0" collapsed="false">
      <c r="A239" s="6" t="s">
        <v>814</v>
      </c>
      <c r="B239" s="6" t="s">
        <v>110</v>
      </c>
      <c r="C239" s="6" t="s">
        <v>98</v>
      </c>
      <c r="D239" s="6" t="s">
        <v>491</v>
      </c>
      <c r="E239" s="6" t="s">
        <v>3975</v>
      </c>
      <c r="F239" s="6" t="s">
        <v>820</v>
      </c>
      <c r="G239" s="6"/>
      <c r="H239" s="6" t="s">
        <v>3976</v>
      </c>
      <c r="I239" s="6"/>
      <c r="J239" s="6" t="s">
        <v>83</v>
      </c>
      <c r="K239" s="6" t="s">
        <v>3977</v>
      </c>
      <c r="L239" s="7"/>
      <c r="M239" s="7"/>
    </row>
    <row r="240" customFormat="false" ht="23.85" hidden="false" customHeight="false" outlineLevel="0" collapsed="false">
      <c r="A240" s="6" t="s">
        <v>814</v>
      </c>
      <c r="B240" s="6" t="s">
        <v>110</v>
      </c>
      <c r="C240" s="6" t="s">
        <v>98</v>
      </c>
      <c r="D240" s="6" t="s">
        <v>491</v>
      </c>
      <c r="E240" s="6" t="s">
        <v>3978</v>
      </c>
      <c r="F240" s="6" t="s">
        <v>820</v>
      </c>
      <c r="G240" s="6"/>
      <c r="H240" s="6" t="s">
        <v>3979</v>
      </c>
      <c r="I240" s="6"/>
      <c r="J240" s="6" t="s">
        <v>83</v>
      </c>
      <c r="K240" s="6" t="s">
        <v>3980</v>
      </c>
      <c r="L240" s="7"/>
      <c r="M240" s="7"/>
    </row>
    <row r="241" customFormat="false" ht="15" hidden="false" customHeight="false" outlineLevel="0" collapsed="false">
      <c r="A241" s="6" t="s">
        <v>832</v>
      </c>
      <c r="B241" s="6" t="s">
        <v>110</v>
      </c>
      <c r="C241" s="6" t="s">
        <v>79</v>
      </c>
      <c r="D241" s="6" t="s">
        <v>372</v>
      </c>
      <c r="E241" s="6"/>
      <c r="F241" s="6" t="s">
        <v>841</v>
      </c>
      <c r="G241" s="6" t="s">
        <v>3651</v>
      </c>
      <c r="H241" s="6" t="s">
        <v>3981</v>
      </c>
      <c r="I241" s="6" t="n">
        <v>95</v>
      </c>
      <c r="J241" s="6" t="s">
        <v>83</v>
      </c>
      <c r="K241" s="6" t="s">
        <v>3982</v>
      </c>
      <c r="L241" s="7"/>
      <c r="M241" s="7"/>
    </row>
    <row r="242" customFormat="false" ht="15" hidden="false" customHeight="false" outlineLevel="0" collapsed="false">
      <c r="A242" s="6" t="s">
        <v>832</v>
      </c>
      <c r="B242" s="6" t="s">
        <v>110</v>
      </c>
      <c r="C242" s="6" t="s">
        <v>79</v>
      </c>
      <c r="D242" s="6" t="s">
        <v>372</v>
      </c>
      <c r="E242" s="6"/>
      <c r="F242" s="6" t="s">
        <v>841</v>
      </c>
      <c r="G242" s="6" t="s">
        <v>3654</v>
      </c>
      <c r="H242" s="6" t="s">
        <v>3983</v>
      </c>
      <c r="I242" s="6" t="n">
        <v>25</v>
      </c>
      <c r="J242" s="6"/>
      <c r="K242" s="6" t="s">
        <v>3984</v>
      </c>
      <c r="L242" s="7"/>
      <c r="M242" s="7"/>
    </row>
    <row r="243" customFormat="false" ht="15" hidden="false" customHeight="false" outlineLevel="0" collapsed="false">
      <c r="A243" s="6" t="s">
        <v>832</v>
      </c>
      <c r="B243" s="6" t="s">
        <v>110</v>
      </c>
      <c r="C243" s="6" t="s">
        <v>79</v>
      </c>
      <c r="D243" s="6" t="s">
        <v>372</v>
      </c>
      <c r="E243" s="6"/>
      <c r="F243" s="6" t="s">
        <v>841</v>
      </c>
      <c r="G243" s="6" t="s">
        <v>3657</v>
      </c>
      <c r="H243" s="6" t="s">
        <v>3985</v>
      </c>
      <c r="I243" s="6" t="n">
        <v>5</v>
      </c>
      <c r="J243" s="6"/>
      <c r="K243" s="6" t="s">
        <v>3986</v>
      </c>
      <c r="L243" s="7"/>
      <c r="M243" s="7"/>
    </row>
    <row r="244" customFormat="false" ht="15" hidden="false" customHeight="false" outlineLevel="0" collapsed="false">
      <c r="A244" s="6" t="s">
        <v>832</v>
      </c>
      <c r="B244" s="6" t="s">
        <v>110</v>
      </c>
      <c r="C244" s="6" t="s">
        <v>79</v>
      </c>
      <c r="D244" s="6" t="s">
        <v>372</v>
      </c>
      <c r="E244" s="6"/>
      <c r="F244" s="6" t="s">
        <v>841</v>
      </c>
      <c r="G244" s="6" t="s">
        <v>3660</v>
      </c>
      <c r="H244" s="6" t="s">
        <v>3987</v>
      </c>
      <c r="I244" s="6" t="n">
        <v>20</v>
      </c>
      <c r="J244" s="6"/>
      <c r="K244" s="6" t="s">
        <v>3988</v>
      </c>
      <c r="L244" s="7"/>
      <c r="M244" s="7"/>
    </row>
    <row r="245" customFormat="false" ht="23.85" hidden="false" customHeight="false" outlineLevel="0" collapsed="false">
      <c r="A245" s="6" t="s">
        <v>845</v>
      </c>
      <c r="B245" s="6" t="s">
        <v>110</v>
      </c>
      <c r="C245" s="6" t="s">
        <v>98</v>
      </c>
      <c r="D245" s="6" t="s">
        <v>372</v>
      </c>
      <c r="E245" s="6"/>
      <c r="F245" s="6" t="s">
        <v>851</v>
      </c>
      <c r="G245" s="6" t="s">
        <v>3989</v>
      </c>
      <c r="H245" s="6" t="s">
        <v>3990</v>
      </c>
      <c r="I245" s="6" t="n">
        <v>25</v>
      </c>
      <c r="J245" s="6" t="s">
        <v>83</v>
      </c>
      <c r="K245" s="6" t="s">
        <v>3991</v>
      </c>
      <c r="L245" s="7"/>
      <c r="M245" s="7"/>
    </row>
    <row r="246" customFormat="false" ht="23.85" hidden="false" customHeight="false" outlineLevel="0" collapsed="false">
      <c r="A246" s="6" t="s">
        <v>845</v>
      </c>
      <c r="B246" s="6" t="s">
        <v>110</v>
      </c>
      <c r="C246" s="6" t="s">
        <v>98</v>
      </c>
      <c r="D246" s="6" t="s">
        <v>372</v>
      </c>
      <c r="E246" s="6"/>
      <c r="F246" s="6" t="s">
        <v>851</v>
      </c>
      <c r="G246" s="6" t="s">
        <v>3878</v>
      </c>
      <c r="H246" s="6" t="s">
        <v>3992</v>
      </c>
      <c r="I246" s="6" t="n">
        <v>25</v>
      </c>
      <c r="J246" s="6" t="s">
        <v>83</v>
      </c>
      <c r="K246" s="6" t="s">
        <v>3993</v>
      </c>
      <c r="L246" s="7"/>
      <c r="M246" s="7"/>
    </row>
    <row r="247" customFormat="false" ht="23.85" hidden="false" customHeight="false" outlineLevel="0" collapsed="false">
      <c r="A247" s="6" t="s">
        <v>845</v>
      </c>
      <c r="B247" s="6" t="s">
        <v>110</v>
      </c>
      <c r="C247" s="6" t="s">
        <v>98</v>
      </c>
      <c r="D247" s="6" t="s">
        <v>372</v>
      </c>
      <c r="E247" s="6"/>
      <c r="F247" s="6" t="s">
        <v>851</v>
      </c>
      <c r="G247" s="6" t="s">
        <v>3994</v>
      </c>
      <c r="H247" s="6" t="s">
        <v>3995</v>
      </c>
      <c r="I247" s="6" t="n">
        <v>25</v>
      </c>
      <c r="J247" s="6" t="s">
        <v>83</v>
      </c>
      <c r="K247" s="6" t="s">
        <v>3996</v>
      </c>
      <c r="L247" s="7"/>
      <c r="M247" s="7"/>
    </row>
    <row r="248" customFormat="false" ht="23.85" hidden="false" customHeight="false" outlineLevel="0" collapsed="false">
      <c r="A248" s="6" t="s">
        <v>845</v>
      </c>
      <c r="B248" s="6" t="s">
        <v>110</v>
      </c>
      <c r="C248" s="6" t="s">
        <v>98</v>
      </c>
      <c r="D248" s="6" t="s">
        <v>372</v>
      </c>
      <c r="E248" s="6"/>
      <c r="F248" s="6" t="s">
        <v>851</v>
      </c>
      <c r="G248" s="6" t="s">
        <v>3997</v>
      </c>
      <c r="H248" s="6" t="s">
        <v>3998</v>
      </c>
      <c r="I248" s="6" t="n">
        <v>25</v>
      </c>
      <c r="J248" s="6" t="s">
        <v>83</v>
      </c>
      <c r="K248" s="6" t="s">
        <v>3999</v>
      </c>
      <c r="L248" s="7"/>
      <c r="M248" s="7"/>
    </row>
    <row r="249" customFormat="false" ht="23.85" hidden="false" customHeight="false" outlineLevel="0" collapsed="false">
      <c r="A249" s="6" t="s">
        <v>845</v>
      </c>
      <c r="B249" s="6" t="s">
        <v>110</v>
      </c>
      <c r="C249" s="6" t="s">
        <v>98</v>
      </c>
      <c r="D249" s="6" t="s">
        <v>372</v>
      </c>
      <c r="E249" s="6"/>
      <c r="F249" s="6" t="s">
        <v>851</v>
      </c>
      <c r="G249" s="6" t="s">
        <v>4000</v>
      </c>
      <c r="H249" s="6" t="s">
        <v>4001</v>
      </c>
      <c r="I249" s="6" t="n">
        <v>0</v>
      </c>
      <c r="J249" s="6"/>
      <c r="K249" s="6" t="s">
        <v>4002</v>
      </c>
      <c r="L249" s="7"/>
      <c r="M249" s="7"/>
    </row>
    <row r="250" customFormat="false" ht="15" hidden="false" customHeight="false" outlineLevel="0" collapsed="false">
      <c r="A250" s="6" t="s">
        <v>865</v>
      </c>
      <c r="B250" s="6" t="s">
        <v>132</v>
      </c>
      <c r="C250" s="6" t="s">
        <v>79</v>
      </c>
      <c r="D250" s="6" t="s">
        <v>372</v>
      </c>
      <c r="E250" s="6"/>
      <c r="F250" s="6" t="s">
        <v>874</v>
      </c>
      <c r="G250" s="6" t="s">
        <v>3651</v>
      </c>
      <c r="H250" s="6" t="s">
        <v>4003</v>
      </c>
      <c r="I250" s="6" t="n">
        <v>96</v>
      </c>
      <c r="J250" s="6" t="s">
        <v>83</v>
      </c>
      <c r="K250" s="6" t="s">
        <v>4004</v>
      </c>
      <c r="L250" s="7"/>
      <c r="M250" s="7"/>
    </row>
    <row r="251" customFormat="false" ht="15" hidden="false" customHeight="false" outlineLevel="0" collapsed="false">
      <c r="A251" s="6" t="s">
        <v>865</v>
      </c>
      <c r="B251" s="6" t="s">
        <v>132</v>
      </c>
      <c r="C251" s="6" t="s">
        <v>79</v>
      </c>
      <c r="D251" s="6" t="s">
        <v>372</v>
      </c>
      <c r="E251" s="6"/>
      <c r="F251" s="6" t="s">
        <v>874</v>
      </c>
      <c r="G251" s="6" t="s">
        <v>3654</v>
      </c>
      <c r="H251" s="6" t="s">
        <v>4005</v>
      </c>
      <c r="I251" s="6" t="n">
        <v>5</v>
      </c>
      <c r="J251" s="6"/>
      <c r="K251" s="6" t="s">
        <v>4006</v>
      </c>
      <c r="L251" s="7"/>
      <c r="M251" s="7"/>
    </row>
    <row r="252" customFormat="false" ht="15" hidden="false" customHeight="false" outlineLevel="0" collapsed="false">
      <c r="A252" s="6" t="s">
        <v>865</v>
      </c>
      <c r="B252" s="6" t="s">
        <v>132</v>
      </c>
      <c r="C252" s="6" t="s">
        <v>79</v>
      </c>
      <c r="D252" s="6" t="s">
        <v>372</v>
      </c>
      <c r="E252" s="6"/>
      <c r="F252" s="6" t="s">
        <v>874</v>
      </c>
      <c r="G252" s="6" t="s">
        <v>3657</v>
      </c>
      <c r="H252" s="6" t="s">
        <v>4007</v>
      </c>
      <c r="I252" s="6" t="n">
        <v>15</v>
      </c>
      <c r="J252" s="6"/>
      <c r="K252" s="6" t="s">
        <v>4008</v>
      </c>
      <c r="L252" s="7"/>
      <c r="M252" s="7"/>
    </row>
    <row r="253" customFormat="false" ht="15" hidden="false" customHeight="false" outlineLevel="0" collapsed="false">
      <c r="A253" s="6" t="s">
        <v>865</v>
      </c>
      <c r="B253" s="6" t="s">
        <v>132</v>
      </c>
      <c r="C253" s="6" t="s">
        <v>79</v>
      </c>
      <c r="D253" s="6" t="s">
        <v>372</v>
      </c>
      <c r="E253" s="6"/>
      <c r="F253" s="6" t="s">
        <v>874</v>
      </c>
      <c r="G253" s="6" t="s">
        <v>3660</v>
      </c>
      <c r="H253" s="6" t="s">
        <v>4009</v>
      </c>
      <c r="I253" s="6" t="n">
        <v>25</v>
      </c>
      <c r="J253" s="6"/>
      <c r="K253" s="6" t="s">
        <v>4010</v>
      </c>
      <c r="L253" s="7"/>
      <c r="M253" s="7"/>
    </row>
    <row r="254" customFormat="false" ht="23.85" hidden="false" customHeight="false" outlineLevel="0" collapsed="false">
      <c r="A254" s="6" t="s">
        <v>878</v>
      </c>
      <c r="B254" s="6" t="s">
        <v>132</v>
      </c>
      <c r="C254" s="6" t="s">
        <v>98</v>
      </c>
      <c r="D254" s="6" t="s">
        <v>491</v>
      </c>
      <c r="E254" s="6" t="s">
        <v>4011</v>
      </c>
      <c r="F254" s="6" t="s">
        <v>884</v>
      </c>
      <c r="G254" s="6"/>
      <c r="H254" s="6" t="s">
        <v>4012</v>
      </c>
      <c r="I254" s="6"/>
      <c r="J254" s="6" t="s">
        <v>83</v>
      </c>
      <c r="K254" s="6" t="s">
        <v>4013</v>
      </c>
      <c r="L254" s="7"/>
      <c r="M254" s="7"/>
    </row>
    <row r="255" customFormat="false" ht="23.85" hidden="false" customHeight="false" outlineLevel="0" collapsed="false">
      <c r="A255" s="6" t="s">
        <v>878</v>
      </c>
      <c r="B255" s="6" t="s">
        <v>132</v>
      </c>
      <c r="C255" s="6" t="s">
        <v>98</v>
      </c>
      <c r="D255" s="6" t="s">
        <v>491</v>
      </c>
      <c r="E255" s="6" t="s">
        <v>3860</v>
      </c>
      <c r="F255" s="6" t="s">
        <v>884</v>
      </c>
      <c r="G255" s="6"/>
      <c r="H255" s="6" t="s">
        <v>4014</v>
      </c>
      <c r="I255" s="6"/>
      <c r="J255" s="6" t="s">
        <v>83</v>
      </c>
      <c r="K255" s="6" t="s">
        <v>4015</v>
      </c>
      <c r="L255" s="7"/>
      <c r="M255" s="7"/>
    </row>
    <row r="256" customFormat="false" ht="23.85" hidden="false" customHeight="false" outlineLevel="0" collapsed="false">
      <c r="A256" s="6" t="s">
        <v>878</v>
      </c>
      <c r="B256" s="6" t="s">
        <v>132</v>
      </c>
      <c r="C256" s="6" t="s">
        <v>98</v>
      </c>
      <c r="D256" s="6" t="s">
        <v>491</v>
      </c>
      <c r="E256" s="6" t="s">
        <v>3845</v>
      </c>
      <c r="F256" s="6" t="s">
        <v>884</v>
      </c>
      <c r="G256" s="6"/>
      <c r="H256" s="6" t="s">
        <v>4016</v>
      </c>
      <c r="I256" s="6"/>
      <c r="J256" s="6" t="s">
        <v>83</v>
      </c>
      <c r="K256" s="6" t="s">
        <v>4017</v>
      </c>
      <c r="L256" s="7"/>
      <c r="M256" s="7"/>
    </row>
    <row r="257" customFormat="false" ht="23.85" hidden="false" customHeight="false" outlineLevel="0" collapsed="false">
      <c r="A257" s="6" t="s">
        <v>878</v>
      </c>
      <c r="B257" s="6" t="s">
        <v>132</v>
      </c>
      <c r="C257" s="6" t="s">
        <v>98</v>
      </c>
      <c r="D257" s="6" t="s">
        <v>491</v>
      </c>
      <c r="E257" s="6" t="s">
        <v>4018</v>
      </c>
      <c r="F257" s="6" t="s">
        <v>884</v>
      </c>
      <c r="G257" s="6"/>
      <c r="H257" s="6" t="s">
        <v>4019</v>
      </c>
      <c r="I257" s="6"/>
      <c r="J257" s="6" t="s">
        <v>83</v>
      </c>
      <c r="K257" s="6" t="s">
        <v>4020</v>
      </c>
      <c r="L257" s="7"/>
      <c r="M257" s="7"/>
    </row>
    <row r="258" customFormat="false" ht="23.85" hidden="false" customHeight="false" outlineLevel="0" collapsed="false">
      <c r="A258" s="6" t="s">
        <v>896</v>
      </c>
      <c r="B258" s="6" t="s">
        <v>132</v>
      </c>
      <c r="C258" s="6" t="s">
        <v>79</v>
      </c>
      <c r="D258" s="6" t="s">
        <v>372</v>
      </c>
      <c r="E258" s="6"/>
      <c r="F258" s="6" t="s">
        <v>642</v>
      </c>
      <c r="G258" s="6" t="s">
        <v>3651</v>
      </c>
      <c r="H258" s="6" t="s">
        <v>4021</v>
      </c>
      <c r="I258" s="6" t="n">
        <v>96</v>
      </c>
      <c r="J258" s="6" t="s">
        <v>83</v>
      </c>
      <c r="K258" s="6" t="s">
        <v>4022</v>
      </c>
      <c r="L258" s="7"/>
      <c r="M258" s="7"/>
    </row>
    <row r="259" customFormat="false" ht="23.85" hidden="false" customHeight="false" outlineLevel="0" collapsed="false">
      <c r="A259" s="6" t="s">
        <v>896</v>
      </c>
      <c r="B259" s="6" t="s">
        <v>132</v>
      </c>
      <c r="C259" s="6" t="s">
        <v>79</v>
      </c>
      <c r="D259" s="6" t="s">
        <v>372</v>
      </c>
      <c r="E259" s="6"/>
      <c r="F259" s="6" t="s">
        <v>642</v>
      </c>
      <c r="G259" s="6" t="s">
        <v>3654</v>
      </c>
      <c r="H259" s="6" t="s">
        <v>4023</v>
      </c>
      <c r="I259" s="6" t="n">
        <v>5</v>
      </c>
      <c r="J259" s="6"/>
      <c r="K259" s="6" t="s">
        <v>4024</v>
      </c>
      <c r="L259" s="7"/>
      <c r="M259" s="7"/>
    </row>
    <row r="260" customFormat="false" ht="23.85" hidden="false" customHeight="false" outlineLevel="0" collapsed="false">
      <c r="A260" s="6" t="s">
        <v>896</v>
      </c>
      <c r="B260" s="6" t="s">
        <v>132</v>
      </c>
      <c r="C260" s="6" t="s">
        <v>79</v>
      </c>
      <c r="D260" s="6" t="s">
        <v>372</v>
      </c>
      <c r="E260" s="6"/>
      <c r="F260" s="6" t="s">
        <v>642</v>
      </c>
      <c r="G260" s="6" t="s">
        <v>3657</v>
      </c>
      <c r="H260" s="6" t="s">
        <v>4025</v>
      </c>
      <c r="I260" s="6" t="n">
        <v>15</v>
      </c>
      <c r="J260" s="6"/>
      <c r="K260" s="6" t="s">
        <v>4026</v>
      </c>
      <c r="L260" s="7"/>
      <c r="M260" s="7"/>
    </row>
    <row r="261" customFormat="false" ht="23.85" hidden="false" customHeight="false" outlineLevel="0" collapsed="false">
      <c r="A261" s="6" t="s">
        <v>896</v>
      </c>
      <c r="B261" s="6" t="s">
        <v>132</v>
      </c>
      <c r="C261" s="6" t="s">
        <v>79</v>
      </c>
      <c r="D261" s="6" t="s">
        <v>372</v>
      </c>
      <c r="E261" s="6"/>
      <c r="F261" s="6" t="s">
        <v>642</v>
      </c>
      <c r="G261" s="6" t="s">
        <v>3660</v>
      </c>
      <c r="H261" s="6" t="s">
        <v>4027</v>
      </c>
      <c r="I261" s="6" t="n">
        <v>20</v>
      </c>
      <c r="J261" s="6"/>
      <c r="K261" s="6" t="s">
        <v>4028</v>
      </c>
      <c r="L261" s="7"/>
      <c r="M261" s="7"/>
    </row>
    <row r="262" customFormat="false" ht="23.85" hidden="false" customHeight="false" outlineLevel="0" collapsed="false">
      <c r="A262" s="6" t="s">
        <v>908</v>
      </c>
      <c r="B262" s="6" t="s">
        <v>132</v>
      </c>
      <c r="C262" s="6" t="s">
        <v>98</v>
      </c>
      <c r="D262" s="6" t="s">
        <v>372</v>
      </c>
      <c r="E262" s="6"/>
      <c r="F262" s="6" t="s">
        <v>915</v>
      </c>
      <c r="G262" s="6" t="s">
        <v>4029</v>
      </c>
      <c r="H262" s="6" t="s">
        <v>4030</v>
      </c>
      <c r="I262" s="6" t="n">
        <v>25</v>
      </c>
      <c r="J262" s="6" t="s">
        <v>83</v>
      </c>
      <c r="K262" s="6" t="s">
        <v>4031</v>
      </c>
      <c r="L262" s="7"/>
      <c r="M262" s="7"/>
    </row>
    <row r="263" customFormat="false" ht="23.85" hidden="false" customHeight="false" outlineLevel="0" collapsed="false">
      <c r="A263" s="6" t="s">
        <v>908</v>
      </c>
      <c r="B263" s="6" t="s">
        <v>132</v>
      </c>
      <c r="C263" s="6" t="s">
        <v>98</v>
      </c>
      <c r="D263" s="6" t="s">
        <v>372</v>
      </c>
      <c r="E263" s="6"/>
      <c r="F263" s="6" t="s">
        <v>915</v>
      </c>
      <c r="G263" s="6" t="s">
        <v>4032</v>
      </c>
      <c r="H263" s="6" t="s">
        <v>4033</v>
      </c>
      <c r="I263" s="6" t="n">
        <v>25</v>
      </c>
      <c r="J263" s="6" t="s">
        <v>83</v>
      </c>
      <c r="K263" s="6" t="s">
        <v>4034</v>
      </c>
      <c r="L263" s="7"/>
      <c r="M263" s="7"/>
    </row>
    <row r="264" customFormat="false" ht="23.85" hidden="false" customHeight="false" outlineLevel="0" collapsed="false">
      <c r="A264" s="6" t="s">
        <v>908</v>
      </c>
      <c r="B264" s="6" t="s">
        <v>132</v>
      </c>
      <c r="C264" s="6" t="s">
        <v>98</v>
      </c>
      <c r="D264" s="6" t="s">
        <v>372</v>
      </c>
      <c r="E264" s="6"/>
      <c r="F264" s="6" t="s">
        <v>915</v>
      </c>
      <c r="G264" s="6" t="s">
        <v>3860</v>
      </c>
      <c r="H264" s="6" t="s">
        <v>4035</v>
      </c>
      <c r="I264" s="6" t="n">
        <v>25</v>
      </c>
      <c r="J264" s="6" t="s">
        <v>83</v>
      </c>
      <c r="K264" s="6" t="s">
        <v>4036</v>
      </c>
      <c r="L264" s="7"/>
      <c r="M264" s="7"/>
    </row>
    <row r="265" customFormat="false" ht="23.85" hidden="false" customHeight="false" outlineLevel="0" collapsed="false">
      <c r="A265" s="6" t="s">
        <v>908</v>
      </c>
      <c r="B265" s="6" t="s">
        <v>132</v>
      </c>
      <c r="C265" s="6" t="s">
        <v>98</v>
      </c>
      <c r="D265" s="6" t="s">
        <v>372</v>
      </c>
      <c r="E265" s="6"/>
      <c r="F265" s="6" t="s">
        <v>915</v>
      </c>
      <c r="G265" s="6" t="s">
        <v>4037</v>
      </c>
      <c r="H265" s="6" t="s">
        <v>4038</v>
      </c>
      <c r="I265" s="6" t="n">
        <v>25</v>
      </c>
      <c r="J265" s="6" t="s">
        <v>83</v>
      </c>
      <c r="K265" s="6" t="s">
        <v>4039</v>
      </c>
      <c r="L265" s="7"/>
      <c r="M265" s="7"/>
    </row>
    <row r="266" customFormat="false" ht="23.85" hidden="false" customHeight="false" outlineLevel="0" collapsed="false">
      <c r="A266" s="6" t="s">
        <v>908</v>
      </c>
      <c r="B266" s="6" t="s">
        <v>132</v>
      </c>
      <c r="C266" s="6" t="s">
        <v>98</v>
      </c>
      <c r="D266" s="6" t="s">
        <v>372</v>
      </c>
      <c r="E266" s="6"/>
      <c r="F266" s="6" t="s">
        <v>915</v>
      </c>
      <c r="G266" s="6" t="s">
        <v>4040</v>
      </c>
      <c r="H266" s="6" t="s">
        <v>4041</v>
      </c>
      <c r="I266" s="6" t="n">
        <v>0</v>
      </c>
      <c r="J266" s="6"/>
      <c r="K266" s="6" t="s">
        <v>4042</v>
      </c>
      <c r="L266" s="7"/>
      <c r="M266" s="7"/>
    </row>
    <row r="267" customFormat="false" ht="15" hidden="false" customHeight="false" outlineLevel="0" collapsed="false">
      <c r="A267" s="6" t="s">
        <v>929</v>
      </c>
      <c r="B267" s="6" t="s">
        <v>145</v>
      </c>
      <c r="C267" s="6" t="s">
        <v>79</v>
      </c>
      <c r="D267" s="6" t="s">
        <v>372</v>
      </c>
      <c r="E267" s="6"/>
      <c r="F267" s="6" t="s">
        <v>938</v>
      </c>
      <c r="G267" s="6" t="s">
        <v>3651</v>
      </c>
      <c r="H267" s="6" t="s">
        <v>4043</v>
      </c>
      <c r="I267" s="6" t="n">
        <v>95</v>
      </c>
      <c r="J267" s="6" t="s">
        <v>83</v>
      </c>
      <c r="K267" s="6" t="s">
        <v>4044</v>
      </c>
      <c r="L267" s="7"/>
      <c r="M267" s="7"/>
    </row>
    <row r="268" customFormat="false" ht="15" hidden="false" customHeight="false" outlineLevel="0" collapsed="false">
      <c r="A268" s="6" t="s">
        <v>929</v>
      </c>
      <c r="B268" s="6" t="s">
        <v>145</v>
      </c>
      <c r="C268" s="6" t="s">
        <v>79</v>
      </c>
      <c r="D268" s="6" t="s">
        <v>372</v>
      </c>
      <c r="E268" s="6"/>
      <c r="F268" s="6" t="s">
        <v>938</v>
      </c>
      <c r="G268" s="6" t="s">
        <v>3654</v>
      </c>
      <c r="H268" s="6" t="s">
        <v>4045</v>
      </c>
      <c r="I268" s="6" t="n">
        <v>5</v>
      </c>
      <c r="J268" s="6"/>
      <c r="K268" s="6" t="s">
        <v>4046</v>
      </c>
      <c r="L268" s="7"/>
      <c r="M268" s="7"/>
    </row>
    <row r="269" customFormat="false" ht="15" hidden="false" customHeight="false" outlineLevel="0" collapsed="false">
      <c r="A269" s="6" t="s">
        <v>929</v>
      </c>
      <c r="B269" s="6" t="s">
        <v>145</v>
      </c>
      <c r="C269" s="6" t="s">
        <v>79</v>
      </c>
      <c r="D269" s="6" t="s">
        <v>372</v>
      </c>
      <c r="E269" s="6"/>
      <c r="F269" s="6" t="s">
        <v>938</v>
      </c>
      <c r="G269" s="6" t="s">
        <v>3657</v>
      </c>
      <c r="H269" s="6" t="s">
        <v>4047</v>
      </c>
      <c r="I269" s="6" t="n">
        <v>0</v>
      </c>
      <c r="J269" s="6"/>
      <c r="K269" s="6" t="s">
        <v>4048</v>
      </c>
      <c r="L269" s="7"/>
      <c r="M269" s="7"/>
    </row>
    <row r="270" customFormat="false" ht="15" hidden="false" customHeight="false" outlineLevel="0" collapsed="false">
      <c r="A270" s="6" t="s">
        <v>929</v>
      </c>
      <c r="B270" s="6" t="s">
        <v>145</v>
      </c>
      <c r="C270" s="6" t="s">
        <v>79</v>
      </c>
      <c r="D270" s="6" t="s">
        <v>372</v>
      </c>
      <c r="E270" s="6"/>
      <c r="F270" s="6" t="s">
        <v>938</v>
      </c>
      <c r="G270" s="6" t="s">
        <v>3660</v>
      </c>
      <c r="H270" s="6" t="s">
        <v>4049</v>
      </c>
      <c r="I270" s="6" t="n">
        <v>10</v>
      </c>
      <c r="J270" s="6"/>
      <c r="K270" s="6" t="s">
        <v>4050</v>
      </c>
      <c r="L270" s="7"/>
      <c r="M270" s="7"/>
    </row>
    <row r="271" customFormat="false" ht="15" hidden="false" customHeight="false" outlineLevel="0" collapsed="false">
      <c r="A271" s="6" t="s">
        <v>942</v>
      </c>
      <c r="B271" s="6" t="s">
        <v>145</v>
      </c>
      <c r="C271" s="6" t="s">
        <v>98</v>
      </c>
      <c r="D271" s="6" t="s">
        <v>372</v>
      </c>
      <c r="E271" s="6"/>
      <c r="F271" s="6" t="s">
        <v>948</v>
      </c>
      <c r="G271" s="6" t="s">
        <v>4051</v>
      </c>
      <c r="H271" s="6" t="s">
        <v>4052</v>
      </c>
      <c r="I271" s="6" t="n">
        <v>25</v>
      </c>
      <c r="J271" s="6" t="s">
        <v>83</v>
      </c>
      <c r="K271" s="6" t="s">
        <v>4053</v>
      </c>
      <c r="L271" s="7"/>
      <c r="M271" s="7"/>
    </row>
    <row r="272" customFormat="false" ht="15" hidden="false" customHeight="false" outlineLevel="0" collapsed="false">
      <c r="A272" s="6" t="s">
        <v>942</v>
      </c>
      <c r="B272" s="6" t="s">
        <v>145</v>
      </c>
      <c r="C272" s="6" t="s">
        <v>98</v>
      </c>
      <c r="D272" s="6" t="s">
        <v>372</v>
      </c>
      <c r="E272" s="6"/>
      <c r="F272" s="6" t="s">
        <v>948</v>
      </c>
      <c r="G272" s="6" t="s">
        <v>4054</v>
      </c>
      <c r="H272" s="6" t="s">
        <v>4055</v>
      </c>
      <c r="I272" s="6" t="n">
        <v>25</v>
      </c>
      <c r="J272" s="6" t="s">
        <v>83</v>
      </c>
      <c r="K272" s="6" t="s">
        <v>4056</v>
      </c>
      <c r="L272" s="7"/>
      <c r="M272" s="7"/>
    </row>
    <row r="273" customFormat="false" ht="15" hidden="false" customHeight="false" outlineLevel="0" collapsed="false">
      <c r="A273" s="6" t="s">
        <v>942</v>
      </c>
      <c r="B273" s="6" t="s">
        <v>145</v>
      </c>
      <c r="C273" s="6" t="s">
        <v>98</v>
      </c>
      <c r="D273" s="6" t="s">
        <v>372</v>
      </c>
      <c r="E273" s="6"/>
      <c r="F273" s="6" t="s">
        <v>948</v>
      </c>
      <c r="G273" s="6" t="s">
        <v>4057</v>
      </c>
      <c r="H273" s="6" t="s">
        <v>4058</v>
      </c>
      <c r="I273" s="6" t="n">
        <v>25</v>
      </c>
      <c r="J273" s="6" t="s">
        <v>83</v>
      </c>
      <c r="K273" s="6" t="s">
        <v>4059</v>
      </c>
      <c r="L273" s="7"/>
      <c r="M273" s="7"/>
    </row>
    <row r="274" customFormat="false" ht="15" hidden="false" customHeight="false" outlineLevel="0" collapsed="false">
      <c r="A274" s="6" t="s">
        <v>942</v>
      </c>
      <c r="B274" s="6" t="s">
        <v>145</v>
      </c>
      <c r="C274" s="6" t="s">
        <v>98</v>
      </c>
      <c r="D274" s="6" t="s">
        <v>372</v>
      </c>
      <c r="E274" s="6"/>
      <c r="F274" s="6" t="s">
        <v>948</v>
      </c>
      <c r="G274" s="6" t="s">
        <v>4060</v>
      </c>
      <c r="H274" s="6" t="s">
        <v>4061</v>
      </c>
      <c r="I274" s="6" t="n">
        <v>25</v>
      </c>
      <c r="J274" s="6" t="s">
        <v>83</v>
      </c>
      <c r="K274" s="6" t="s">
        <v>4062</v>
      </c>
      <c r="L274" s="7"/>
      <c r="M274" s="7"/>
    </row>
    <row r="275" customFormat="false" ht="15" hidden="false" customHeight="false" outlineLevel="0" collapsed="false">
      <c r="A275" s="6" t="s">
        <v>942</v>
      </c>
      <c r="B275" s="6" t="s">
        <v>145</v>
      </c>
      <c r="C275" s="6" t="s">
        <v>98</v>
      </c>
      <c r="D275" s="6" t="s">
        <v>372</v>
      </c>
      <c r="E275" s="6"/>
      <c r="F275" s="6" t="s">
        <v>948</v>
      </c>
      <c r="G275" s="6" t="s">
        <v>4063</v>
      </c>
      <c r="H275" s="6" t="s">
        <v>4064</v>
      </c>
      <c r="I275" s="6" t="n">
        <v>0</v>
      </c>
      <c r="J275" s="6"/>
      <c r="K275" s="6" t="s">
        <v>4065</v>
      </c>
      <c r="L275" s="7"/>
      <c r="M275" s="7"/>
    </row>
    <row r="276" customFormat="false" ht="23.85" hidden="false" customHeight="false" outlineLevel="0" collapsed="false">
      <c r="A276" s="6" t="s">
        <v>952</v>
      </c>
      <c r="B276" s="6" t="s">
        <v>145</v>
      </c>
      <c r="C276" s="6" t="s">
        <v>165</v>
      </c>
      <c r="D276" s="6" t="s">
        <v>431</v>
      </c>
      <c r="E276" s="6" t="s">
        <v>432</v>
      </c>
      <c r="F276" s="6" t="s">
        <v>958</v>
      </c>
      <c r="G276" s="6" t="s">
        <v>4066</v>
      </c>
      <c r="H276" s="6" t="s">
        <v>4067</v>
      </c>
      <c r="I276" s="6" t="n">
        <v>1</v>
      </c>
      <c r="J276" s="6" t="s">
        <v>3692</v>
      </c>
      <c r="K276" s="6"/>
      <c r="L276" s="7"/>
      <c r="M276" s="7"/>
    </row>
    <row r="277" customFormat="false" ht="23.85" hidden="false" customHeight="false" outlineLevel="0" collapsed="false">
      <c r="A277" s="6" t="s">
        <v>952</v>
      </c>
      <c r="B277" s="6" t="s">
        <v>145</v>
      </c>
      <c r="C277" s="6" t="s">
        <v>165</v>
      </c>
      <c r="D277" s="6" t="s">
        <v>431</v>
      </c>
      <c r="E277" s="6" t="s">
        <v>432</v>
      </c>
      <c r="F277" s="6" t="s">
        <v>958</v>
      </c>
      <c r="G277" s="6" t="s">
        <v>4068</v>
      </c>
      <c r="H277" s="6" t="s">
        <v>4069</v>
      </c>
      <c r="I277" s="6" t="n">
        <v>2</v>
      </c>
      <c r="J277" s="6" t="s">
        <v>3695</v>
      </c>
      <c r="K277" s="6"/>
      <c r="L277" s="7"/>
      <c r="M277" s="7"/>
    </row>
    <row r="278" customFormat="false" ht="23.85" hidden="false" customHeight="false" outlineLevel="0" collapsed="false">
      <c r="A278" s="6" t="s">
        <v>952</v>
      </c>
      <c r="B278" s="6" t="s">
        <v>145</v>
      </c>
      <c r="C278" s="6" t="s">
        <v>165</v>
      </c>
      <c r="D278" s="6" t="s">
        <v>431</v>
      </c>
      <c r="E278" s="6" t="s">
        <v>432</v>
      </c>
      <c r="F278" s="6" t="s">
        <v>958</v>
      </c>
      <c r="G278" s="6" t="s">
        <v>4070</v>
      </c>
      <c r="H278" s="6" t="s">
        <v>4071</v>
      </c>
      <c r="I278" s="6" t="n">
        <v>3</v>
      </c>
      <c r="J278" s="6" t="s">
        <v>3698</v>
      </c>
      <c r="K278" s="6"/>
      <c r="L278" s="7"/>
      <c r="M278" s="7"/>
    </row>
    <row r="279" customFormat="false" ht="23.85" hidden="false" customHeight="false" outlineLevel="0" collapsed="false">
      <c r="A279" s="6" t="s">
        <v>952</v>
      </c>
      <c r="B279" s="6" t="s">
        <v>145</v>
      </c>
      <c r="C279" s="6" t="s">
        <v>165</v>
      </c>
      <c r="D279" s="6" t="s">
        <v>431</v>
      </c>
      <c r="E279" s="6" t="s">
        <v>432</v>
      </c>
      <c r="F279" s="6" t="s">
        <v>958</v>
      </c>
      <c r="G279" s="6" t="s">
        <v>4072</v>
      </c>
      <c r="H279" s="6" t="s">
        <v>4073</v>
      </c>
      <c r="I279" s="6" t="n">
        <v>4</v>
      </c>
      <c r="J279" s="6" t="s">
        <v>3701</v>
      </c>
      <c r="K279" s="6"/>
      <c r="L279" s="7"/>
      <c r="M279" s="7"/>
    </row>
    <row r="280" customFormat="false" ht="23.85" hidden="false" customHeight="false" outlineLevel="0" collapsed="false">
      <c r="A280" s="6" t="s">
        <v>952</v>
      </c>
      <c r="B280" s="6" t="s">
        <v>145</v>
      </c>
      <c r="C280" s="6" t="s">
        <v>165</v>
      </c>
      <c r="D280" s="6" t="s">
        <v>431</v>
      </c>
      <c r="E280" s="6" t="s">
        <v>432</v>
      </c>
      <c r="F280" s="6" t="s">
        <v>958</v>
      </c>
      <c r="G280" s="6" t="s">
        <v>3733</v>
      </c>
      <c r="H280" s="6" t="s">
        <v>4074</v>
      </c>
      <c r="I280" s="6" t="n">
        <v>5</v>
      </c>
      <c r="J280" s="6" t="s">
        <v>3866</v>
      </c>
      <c r="K280" s="6"/>
      <c r="L280" s="7"/>
      <c r="M280" s="7"/>
    </row>
    <row r="281" customFormat="false" ht="15" hidden="false" customHeight="false" outlineLevel="0" collapsed="false">
      <c r="A281" s="6" t="s">
        <v>961</v>
      </c>
      <c r="B281" s="6" t="s">
        <v>145</v>
      </c>
      <c r="C281" s="6" t="s">
        <v>79</v>
      </c>
      <c r="D281" s="6" t="s">
        <v>372</v>
      </c>
      <c r="E281" s="6"/>
      <c r="F281" s="6" t="s">
        <v>971</v>
      </c>
      <c r="G281" s="6" t="s">
        <v>3651</v>
      </c>
      <c r="H281" s="6" t="s">
        <v>4075</v>
      </c>
      <c r="I281" s="6" t="n">
        <v>95</v>
      </c>
      <c r="J281" s="6" t="s">
        <v>83</v>
      </c>
      <c r="K281" s="6" t="s">
        <v>4076</v>
      </c>
      <c r="L281" s="7"/>
      <c r="M281" s="7"/>
    </row>
    <row r="282" customFormat="false" ht="15" hidden="false" customHeight="false" outlineLevel="0" collapsed="false">
      <c r="A282" s="6" t="s">
        <v>961</v>
      </c>
      <c r="B282" s="6" t="s">
        <v>145</v>
      </c>
      <c r="C282" s="6" t="s">
        <v>79</v>
      </c>
      <c r="D282" s="6" t="s">
        <v>372</v>
      </c>
      <c r="E282" s="6"/>
      <c r="F282" s="6" t="s">
        <v>971</v>
      </c>
      <c r="G282" s="6" t="s">
        <v>3654</v>
      </c>
      <c r="H282" s="6" t="s">
        <v>4077</v>
      </c>
      <c r="I282" s="6" t="n">
        <v>20</v>
      </c>
      <c r="J282" s="6"/>
      <c r="K282" s="6" t="s">
        <v>4078</v>
      </c>
      <c r="L282" s="7"/>
      <c r="M282" s="7"/>
    </row>
    <row r="283" customFormat="false" ht="15" hidden="false" customHeight="false" outlineLevel="0" collapsed="false">
      <c r="A283" s="6" t="s">
        <v>961</v>
      </c>
      <c r="B283" s="6" t="s">
        <v>145</v>
      </c>
      <c r="C283" s="6" t="s">
        <v>79</v>
      </c>
      <c r="D283" s="6" t="s">
        <v>372</v>
      </c>
      <c r="E283" s="6"/>
      <c r="F283" s="6" t="s">
        <v>971</v>
      </c>
      <c r="G283" s="6" t="s">
        <v>3657</v>
      </c>
      <c r="H283" s="6" t="s">
        <v>4079</v>
      </c>
      <c r="I283" s="6" t="n">
        <v>15</v>
      </c>
      <c r="J283" s="6"/>
      <c r="K283" s="6" t="s">
        <v>4080</v>
      </c>
      <c r="L283" s="7"/>
      <c r="M283" s="7"/>
    </row>
    <row r="284" customFormat="false" ht="15" hidden="false" customHeight="false" outlineLevel="0" collapsed="false">
      <c r="A284" s="6" t="s">
        <v>961</v>
      </c>
      <c r="B284" s="6" t="s">
        <v>145</v>
      </c>
      <c r="C284" s="6" t="s">
        <v>79</v>
      </c>
      <c r="D284" s="6" t="s">
        <v>372</v>
      </c>
      <c r="E284" s="6"/>
      <c r="F284" s="6" t="s">
        <v>971</v>
      </c>
      <c r="G284" s="6" t="s">
        <v>3660</v>
      </c>
      <c r="H284" s="6" t="s">
        <v>4081</v>
      </c>
      <c r="I284" s="6" t="n">
        <v>25</v>
      </c>
      <c r="J284" s="6"/>
      <c r="K284" s="6" t="s">
        <v>4082</v>
      </c>
      <c r="L284" s="7"/>
      <c r="M284" s="7"/>
    </row>
    <row r="285" customFormat="false" ht="23.85" hidden="false" customHeight="false" outlineLevel="0" collapsed="false">
      <c r="A285" s="6" t="s">
        <v>975</v>
      </c>
      <c r="B285" s="6" t="s">
        <v>145</v>
      </c>
      <c r="C285" s="6" t="s">
        <v>98</v>
      </c>
      <c r="D285" s="6" t="s">
        <v>491</v>
      </c>
      <c r="E285" s="6" t="s">
        <v>4083</v>
      </c>
      <c r="F285" s="6" t="s">
        <v>982</v>
      </c>
      <c r="G285" s="6"/>
      <c r="H285" s="6" t="s">
        <v>4084</v>
      </c>
      <c r="I285" s="6"/>
      <c r="J285" s="6" t="s">
        <v>83</v>
      </c>
      <c r="K285" s="6" t="s">
        <v>4085</v>
      </c>
      <c r="L285" s="7"/>
      <c r="M285" s="7"/>
    </row>
    <row r="286" customFormat="false" ht="23.85" hidden="false" customHeight="false" outlineLevel="0" collapsed="false">
      <c r="A286" s="6" t="s">
        <v>975</v>
      </c>
      <c r="B286" s="6" t="s">
        <v>145</v>
      </c>
      <c r="C286" s="6" t="s">
        <v>98</v>
      </c>
      <c r="D286" s="6" t="s">
        <v>491</v>
      </c>
      <c r="E286" s="6" t="s">
        <v>4086</v>
      </c>
      <c r="F286" s="6" t="s">
        <v>982</v>
      </c>
      <c r="G286" s="6"/>
      <c r="H286" s="6" t="s">
        <v>4087</v>
      </c>
      <c r="I286" s="6"/>
      <c r="J286" s="6" t="s">
        <v>83</v>
      </c>
      <c r="K286" s="6" t="s">
        <v>4088</v>
      </c>
      <c r="L286" s="7"/>
      <c r="M286" s="7"/>
    </row>
    <row r="287" customFormat="false" ht="23.85" hidden="false" customHeight="false" outlineLevel="0" collapsed="false">
      <c r="A287" s="6" t="s">
        <v>975</v>
      </c>
      <c r="B287" s="6" t="s">
        <v>145</v>
      </c>
      <c r="C287" s="6" t="s">
        <v>98</v>
      </c>
      <c r="D287" s="6" t="s">
        <v>491</v>
      </c>
      <c r="E287" s="6" t="s">
        <v>4089</v>
      </c>
      <c r="F287" s="6" t="s">
        <v>982</v>
      </c>
      <c r="G287" s="6"/>
      <c r="H287" s="6" t="s">
        <v>4090</v>
      </c>
      <c r="I287" s="6"/>
      <c r="J287" s="6" t="s">
        <v>83</v>
      </c>
      <c r="K287" s="6" t="s">
        <v>4091</v>
      </c>
      <c r="L287" s="7"/>
      <c r="M287" s="7"/>
    </row>
    <row r="288" customFormat="false" ht="23.85" hidden="false" customHeight="false" outlineLevel="0" collapsed="false">
      <c r="A288" s="6" t="s">
        <v>975</v>
      </c>
      <c r="B288" s="6" t="s">
        <v>145</v>
      </c>
      <c r="C288" s="6" t="s">
        <v>98</v>
      </c>
      <c r="D288" s="6" t="s">
        <v>491</v>
      </c>
      <c r="E288" s="6" t="s">
        <v>4092</v>
      </c>
      <c r="F288" s="6" t="s">
        <v>982</v>
      </c>
      <c r="G288" s="6"/>
      <c r="H288" s="6" t="s">
        <v>4093</v>
      </c>
      <c r="I288" s="6"/>
      <c r="J288" s="6" t="s">
        <v>83</v>
      </c>
      <c r="K288" s="6" t="s">
        <v>4094</v>
      </c>
      <c r="L288" s="7"/>
      <c r="M288" s="7"/>
    </row>
    <row r="289" customFormat="false" ht="23.85" hidden="false" customHeight="false" outlineLevel="0" collapsed="false">
      <c r="A289" s="6" t="s">
        <v>994</v>
      </c>
      <c r="B289" s="6" t="s">
        <v>123</v>
      </c>
      <c r="C289" s="6" t="s">
        <v>79</v>
      </c>
      <c r="D289" s="6" t="s">
        <v>491</v>
      </c>
      <c r="E289" s="6" t="s">
        <v>4095</v>
      </c>
      <c r="F289" s="6" t="s">
        <v>1003</v>
      </c>
      <c r="G289" s="6"/>
      <c r="H289" s="6" t="s">
        <v>4096</v>
      </c>
      <c r="I289" s="6"/>
      <c r="J289" s="6" t="s">
        <v>83</v>
      </c>
      <c r="K289" s="6" t="s">
        <v>4097</v>
      </c>
      <c r="L289" s="7"/>
      <c r="M289" s="7"/>
    </row>
    <row r="290" customFormat="false" ht="23.85" hidden="false" customHeight="false" outlineLevel="0" collapsed="false">
      <c r="A290" s="6" t="s">
        <v>994</v>
      </c>
      <c r="B290" s="6" t="s">
        <v>123</v>
      </c>
      <c r="C290" s="6" t="s">
        <v>79</v>
      </c>
      <c r="D290" s="6" t="s">
        <v>491</v>
      </c>
      <c r="E290" s="6" t="s">
        <v>4098</v>
      </c>
      <c r="F290" s="6" t="s">
        <v>1003</v>
      </c>
      <c r="G290" s="6"/>
      <c r="H290" s="6" t="s">
        <v>4099</v>
      </c>
      <c r="I290" s="6"/>
      <c r="J290" s="6" t="s">
        <v>83</v>
      </c>
      <c r="K290" s="6" t="s">
        <v>4100</v>
      </c>
      <c r="L290" s="7"/>
      <c r="M290" s="7"/>
    </row>
    <row r="291" customFormat="false" ht="23.85" hidden="false" customHeight="false" outlineLevel="0" collapsed="false">
      <c r="A291" s="6" t="s">
        <v>994</v>
      </c>
      <c r="B291" s="6" t="s">
        <v>123</v>
      </c>
      <c r="C291" s="6" t="s">
        <v>79</v>
      </c>
      <c r="D291" s="6" t="s">
        <v>491</v>
      </c>
      <c r="E291" s="6" t="s">
        <v>3780</v>
      </c>
      <c r="F291" s="6" t="s">
        <v>1003</v>
      </c>
      <c r="G291" s="6"/>
      <c r="H291" s="6" t="s">
        <v>4101</v>
      </c>
      <c r="I291" s="6"/>
      <c r="J291" s="6" t="s">
        <v>83</v>
      </c>
      <c r="K291" s="6" t="s">
        <v>4102</v>
      </c>
      <c r="L291" s="7"/>
      <c r="M291" s="7"/>
    </row>
    <row r="292" customFormat="false" ht="23.85" hidden="false" customHeight="false" outlineLevel="0" collapsed="false">
      <c r="A292" s="6" t="s">
        <v>994</v>
      </c>
      <c r="B292" s="6" t="s">
        <v>123</v>
      </c>
      <c r="C292" s="6" t="s">
        <v>79</v>
      </c>
      <c r="D292" s="6" t="s">
        <v>491</v>
      </c>
      <c r="E292" s="6" t="s">
        <v>4103</v>
      </c>
      <c r="F292" s="6" t="s">
        <v>1003</v>
      </c>
      <c r="G292" s="6"/>
      <c r="H292" s="6" t="s">
        <v>4104</v>
      </c>
      <c r="I292" s="6"/>
      <c r="J292" s="6" t="s">
        <v>83</v>
      </c>
      <c r="K292" s="6" t="s">
        <v>4105</v>
      </c>
      <c r="L292" s="7"/>
      <c r="M292" s="7"/>
    </row>
    <row r="293" customFormat="false" ht="23.85" hidden="false" customHeight="false" outlineLevel="0" collapsed="false">
      <c r="A293" s="6" t="s">
        <v>1006</v>
      </c>
      <c r="B293" s="6" t="s">
        <v>123</v>
      </c>
      <c r="C293" s="6" t="s">
        <v>98</v>
      </c>
      <c r="D293" s="6" t="s">
        <v>491</v>
      </c>
      <c r="E293" s="6" t="s">
        <v>4106</v>
      </c>
      <c r="F293" s="6" t="s">
        <v>1013</v>
      </c>
      <c r="G293" s="6"/>
      <c r="H293" s="6" t="s">
        <v>4107</v>
      </c>
      <c r="I293" s="6"/>
      <c r="J293" s="6" t="s">
        <v>83</v>
      </c>
      <c r="K293" s="6" t="s">
        <v>4108</v>
      </c>
      <c r="L293" s="7"/>
      <c r="M293" s="7"/>
    </row>
    <row r="294" customFormat="false" ht="23.85" hidden="false" customHeight="false" outlineLevel="0" collapsed="false">
      <c r="A294" s="6" t="s">
        <v>1006</v>
      </c>
      <c r="B294" s="6" t="s">
        <v>123</v>
      </c>
      <c r="C294" s="6" t="s">
        <v>98</v>
      </c>
      <c r="D294" s="6" t="s">
        <v>491</v>
      </c>
      <c r="E294" s="6" t="s">
        <v>4109</v>
      </c>
      <c r="F294" s="6" t="s">
        <v>1013</v>
      </c>
      <c r="G294" s="6"/>
      <c r="H294" s="6" t="s">
        <v>4110</v>
      </c>
      <c r="I294" s="6"/>
      <c r="J294" s="6" t="s">
        <v>83</v>
      </c>
      <c r="K294" s="6" t="s">
        <v>4111</v>
      </c>
      <c r="L294" s="7"/>
      <c r="M294" s="7"/>
    </row>
    <row r="295" customFormat="false" ht="23.85" hidden="false" customHeight="false" outlineLevel="0" collapsed="false">
      <c r="A295" s="6" t="s">
        <v>1006</v>
      </c>
      <c r="B295" s="6" t="s">
        <v>123</v>
      </c>
      <c r="C295" s="6" t="s">
        <v>98</v>
      </c>
      <c r="D295" s="6" t="s">
        <v>491</v>
      </c>
      <c r="E295" s="6" t="s">
        <v>4112</v>
      </c>
      <c r="F295" s="6" t="s">
        <v>1013</v>
      </c>
      <c r="G295" s="6"/>
      <c r="H295" s="6" t="s">
        <v>4113</v>
      </c>
      <c r="I295" s="6"/>
      <c r="J295" s="6" t="s">
        <v>83</v>
      </c>
      <c r="K295" s="6" t="s">
        <v>4114</v>
      </c>
      <c r="L295" s="7"/>
      <c r="M295" s="7"/>
    </row>
    <row r="296" customFormat="false" ht="23.85" hidden="false" customHeight="false" outlineLevel="0" collapsed="false">
      <c r="A296" s="6" t="s">
        <v>1006</v>
      </c>
      <c r="B296" s="6" t="s">
        <v>123</v>
      </c>
      <c r="C296" s="6" t="s">
        <v>98</v>
      </c>
      <c r="D296" s="6" t="s">
        <v>491</v>
      </c>
      <c r="E296" s="6" t="s">
        <v>4115</v>
      </c>
      <c r="F296" s="6" t="s">
        <v>1013</v>
      </c>
      <c r="G296" s="6"/>
      <c r="H296" s="6" t="s">
        <v>4116</v>
      </c>
      <c r="I296" s="6"/>
      <c r="J296" s="6" t="s">
        <v>83</v>
      </c>
      <c r="K296" s="6" t="s">
        <v>4117</v>
      </c>
      <c r="L296" s="7"/>
      <c r="M296" s="7"/>
    </row>
    <row r="297" customFormat="false" ht="23.85" hidden="false" customHeight="false" outlineLevel="0" collapsed="false">
      <c r="A297" s="6" t="s">
        <v>1016</v>
      </c>
      <c r="B297" s="6" t="s">
        <v>96</v>
      </c>
      <c r="C297" s="6" t="s">
        <v>98</v>
      </c>
      <c r="D297" s="6" t="s">
        <v>491</v>
      </c>
      <c r="E297" s="6" t="s">
        <v>4118</v>
      </c>
      <c r="F297" s="6" t="s">
        <v>1024</v>
      </c>
      <c r="G297" s="6"/>
      <c r="H297" s="6" t="s">
        <v>4119</v>
      </c>
      <c r="I297" s="6"/>
      <c r="J297" s="6" t="s">
        <v>83</v>
      </c>
      <c r="K297" s="6" t="s">
        <v>4120</v>
      </c>
      <c r="L297" s="7"/>
      <c r="M297" s="7"/>
    </row>
    <row r="298" customFormat="false" ht="35.05" hidden="false" customHeight="false" outlineLevel="0" collapsed="false">
      <c r="A298" s="6" t="s">
        <v>1016</v>
      </c>
      <c r="B298" s="6" t="s">
        <v>96</v>
      </c>
      <c r="C298" s="6" t="s">
        <v>98</v>
      </c>
      <c r="D298" s="6" t="s">
        <v>491</v>
      </c>
      <c r="E298" s="6" t="s">
        <v>3842</v>
      </c>
      <c r="F298" s="6" t="s">
        <v>1024</v>
      </c>
      <c r="G298" s="6"/>
      <c r="H298" s="6" t="s">
        <v>4121</v>
      </c>
      <c r="I298" s="6"/>
      <c r="J298" s="6" t="s">
        <v>83</v>
      </c>
      <c r="K298" s="6" t="s">
        <v>4122</v>
      </c>
      <c r="L298" s="7"/>
      <c r="M298" s="7"/>
    </row>
    <row r="299" customFormat="false" ht="35.05" hidden="false" customHeight="false" outlineLevel="0" collapsed="false">
      <c r="A299" s="6" t="s">
        <v>1016</v>
      </c>
      <c r="B299" s="6" t="s">
        <v>96</v>
      </c>
      <c r="C299" s="6" t="s">
        <v>98</v>
      </c>
      <c r="D299" s="6" t="s">
        <v>491</v>
      </c>
      <c r="E299" s="6" t="s">
        <v>4123</v>
      </c>
      <c r="F299" s="6" t="s">
        <v>1024</v>
      </c>
      <c r="G299" s="6"/>
      <c r="H299" s="6" t="s">
        <v>4124</v>
      </c>
      <c r="I299" s="6"/>
      <c r="J299" s="6" t="s">
        <v>83</v>
      </c>
      <c r="K299" s="6" t="s">
        <v>4125</v>
      </c>
      <c r="L299" s="7"/>
      <c r="M299" s="7"/>
    </row>
    <row r="300" customFormat="false" ht="23.85" hidden="false" customHeight="false" outlineLevel="0" collapsed="false">
      <c r="A300" s="6" t="s">
        <v>1016</v>
      </c>
      <c r="B300" s="6" t="s">
        <v>96</v>
      </c>
      <c r="C300" s="6" t="s">
        <v>98</v>
      </c>
      <c r="D300" s="6" t="s">
        <v>491</v>
      </c>
      <c r="E300" s="6" t="s">
        <v>3851</v>
      </c>
      <c r="F300" s="6" t="s">
        <v>1024</v>
      </c>
      <c r="G300" s="6"/>
      <c r="H300" s="6" t="s">
        <v>4126</v>
      </c>
      <c r="I300" s="6"/>
      <c r="J300" s="6" t="s">
        <v>83</v>
      </c>
      <c r="K300" s="6" t="s">
        <v>4127</v>
      </c>
      <c r="L300" s="7"/>
      <c r="M300" s="7"/>
    </row>
    <row r="301" customFormat="false" ht="23.85" hidden="false" customHeight="false" outlineLevel="0" collapsed="false">
      <c r="A301" s="6" t="s">
        <v>1027</v>
      </c>
      <c r="B301" s="6" t="s">
        <v>77</v>
      </c>
      <c r="C301" s="6" t="s">
        <v>165</v>
      </c>
      <c r="D301" s="6" t="s">
        <v>491</v>
      </c>
      <c r="E301" s="6" t="s">
        <v>4128</v>
      </c>
      <c r="F301" s="6" t="s">
        <v>1035</v>
      </c>
      <c r="G301" s="6"/>
      <c r="H301" s="6" t="s">
        <v>4129</v>
      </c>
      <c r="I301" s="6"/>
      <c r="J301" s="6" t="s">
        <v>83</v>
      </c>
      <c r="K301" s="6" t="s">
        <v>4130</v>
      </c>
      <c r="L301" s="7"/>
      <c r="M301" s="7"/>
    </row>
    <row r="302" customFormat="false" ht="23.85" hidden="false" customHeight="false" outlineLevel="0" collapsed="false">
      <c r="A302" s="6" t="s">
        <v>1027</v>
      </c>
      <c r="B302" s="6" t="s">
        <v>77</v>
      </c>
      <c r="C302" s="6" t="s">
        <v>165</v>
      </c>
      <c r="D302" s="6" t="s">
        <v>491</v>
      </c>
      <c r="E302" s="6" t="s">
        <v>4131</v>
      </c>
      <c r="F302" s="6" t="s">
        <v>1035</v>
      </c>
      <c r="G302" s="6"/>
      <c r="H302" s="6" t="s">
        <v>4132</v>
      </c>
      <c r="I302" s="6"/>
      <c r="J302" s="6" t="s">
        <v>83</v>
      </c>
      <c r="K302" s="6" t="s">
        <v>4133</v>
      </c>
      <c r="L302" s="7"/>
      <c r="M302" s="7"/>
    </row>
    <row r="303" customFormat="false" ht="23.85" hidden="false" customHeight="false" outlineLevel="0" collapsed="false">
      <c r="A303" s="6" t="s">
        <v>1027</v>
      </c>
      <c r="B303" s="6" t="s">
        <v>77</v>
      </c>
      <c r="C303" s="6" t="s">
        <v>165</v>
      </c>
      <c r="D303" s="6" t="s">
        <v>491</v>
      </c>
      <c r="E303" s="6" t="s">
        <v>4134</v>
      </c>
      <c r="F303" s="6" t="s">
        <v>1035</v>
      </c>
      <c r="G303" s="6"/>
      <c r="H303" s="6" t="s">
        <v>4135</v>
      </c>
      <c r="I303" s="6"/>
      <c r="J303" s="6" t="s">
        <v>83</v>
      </c>
      <c r="K303" s="6" t="s">
        <v>4136</v>
      </c>
      <c r="L303" s="7"/>
      <c r="M303" s="7"/>
    </row>
    <row r="304" customFormat="false" ht="23.85" hidden="false" customHeight="false" outlineLevel="0" collapsed="false">
      <c r="A304" s="6" t="s">
        <v>1027</v>
      </c>
      <c r="B304" s="6" t="s">
        <v>77</v>
      </c>
      <c r="C304" s="6" t="s">
        <v>165</v>
      </c>
      <c r="D304" s="6" t="s">
        <v>491</v>
      </c>
      <c r="E304" s="6" t="s">
        <v>3842</v>
      </c>
      <c r="F304" s="6" t="s">
        <v>1035</v>
      </c>
      <c r="G304" s="6"/>
      <c r="H304" s="6" t="s">
        <v>4137</v>
      </c>
      <c r="I304" s="6"/>
      <c r="J304" s="6" t="s">
        <v>83</v>
      </c>
      <c r="K304" s="6" t="s">
        <v>4138</v>
      </c>
      <c r="L304" s="7"/>
      <c r="M304" s="7"/>
    </row>
    <row r="305" customFormat="false" ht="23.85" hidden="false" customHeight="false" outlineLevel="0" collapsed="false">
      <c r="A305" s="6" t="s">
        <v>1038</v>
      </c>
      <c r="B305" s="6" t="s">
        <v>96</v>
      </c>
      <c r="C305" s="6" t="s">
        <v>165</v>
      </c>
      <c r="D305" s="6" t="s">
        <v>491</v>
      </c>
      <c r="E305" s="6" t="s">
        <v>4139</v>
      </c>
      <c r="F305" s="6" t="s">
        <v>1047</v>
      </c>
      <c r="G305" s="6"/>
      <c r="H305" s="6" t="s">
        <v>4140</v>
      </c>
      <c r="I305" s="6"/>
      <c r="J305" s="6" t="s">
        <v>83</v>
      </c>
      <c r="K305" s="6" t="s">
        <v>4141</v>
      </c>
      <c r="L305" s="7"/>
      <c r="M305" s="7"/>
    </row>
    <row r="306" customFormat="false" ht="23.85" hidden="false" customHeight="false" outlineLevel="0" collapsed="false">
      <c r="A306" s="6" t="s">
        <v>1038</v>
      </c>
      <c r="B306" s="6" t="s">
        <v>96</v>
      </c>
      <c r="C306" s="6" t="s">
        <v>165</v>
      </c>
      <c r="D306" s="6" t="s">
        <v>491</v>
      </c>
      <c r="E306" s="6" t="s">
        <v>4142</v>
      </c>
      <c r="F306" s="6" t="s">
        <v>1047</v>
      </c>
      <c r="G306" s="6"/>
      <c r="H306" s="6" t="s">
        <v>4143</v>
      </c>
      <c r="I306" s="6"/>
      <c r="J306" s="6" t="s">
        <v>83</v>
      </c>
      <c r="K306" s="6" t="s">
        <v>4144</v>
      </c>
      <c r="L306" s="7"/>
      <c r="M306" s="7"/>
    </row>
    <row r="307" customFormat="false" ht="23.85" hidden="false" customHeight="false" outlineLevel="0" collapsed="false">
      <c r="A307" s="6" t="s">
        <v>1038</v>
      </c>
      <c r="B307" s="6" t="s">
        <v>96</v>
      </c>
      <c r="C307" s="6" t="s">
        <v>165</v>
      </c>
      <c r="D307" s="6" t="s">
        <v>491</v>
      </c>
      <c r="E307" s="6" t="s">
        <v>4145</v>
      </c>
      <c r="F307" s="6" t="s">
        <v>1047</v>
      </c>
      <c r="G307" s="6"/>
      <c r="H307" s="6" t="s">
        <v>4146</v>
      </c>
      <c r="I307" s="6"/>
      <c r="J307" s="6" t="s">
        <v>83</v>
      </c>
      <c r="K307" s="6" t="s">
        <v>4147</v>
      </c>
      <c r="L307" s="7"/>
      <c r="M307" s="7"/>
    </row>
    <row r="308" customFormat="false" ht="23.85" hidden="false" customHeight="false" outlineLevel="0" collapsed="false">
      <c r="A308" s="6" t="s">
        <v>1038</v>
      </c>
      <c r="B308" s="6" t="s">
        <v>96</v>
      </c>
      <c r="C308" s="6" t="s">
        <v>165</v>
      </c>
      <c r="D308" s="6" t="s">
        <v>491</v>
      </c>
      <c r="E308" s="6" t="s">
        <v>4115</v>
      </c>
      <c r="F308" s="6" t="s">
        <v>1047</v>
      </c>
      <c r="G308" s="6"/>
      <c r="H308" s="6" t="s">
        <v>4148</v>
      </c>
      <c r="I308" s="6"/>
      <c r="J308" s="6" t="s">
        <v>83</v>
      </c>
      <c r="K308" s="6" t="s">
        <v>4149</v>
      </c>
      <c r="L308" s="7"/>
      <c r="M308" s="7"/>
    </row>
    <row r="309" customFormat="false" ht="23.85" hidden="false" customHeight="false" outlineLevel="0" collapsed="false">
      <c r="A309" s="6" t="s">
        <v>1050</v>
      </c>
      <c r="B309" s="6" t="s">
        <v>110</v>
      </c>
      <c r="C309" s="6" t="s">
        <v>98</v>
      </c>
      <c r="D309" s="6" t="s">
        <v>491</v>
      </c>
      <c r="E309" s="6" t="s">
        <v>3915</v>
      </c>
      <c r="F309" s="6" t="s">
        <v>1058</v>
      </c>
      <c r="G309" s="6"/>
      <c r="H309" s="6" t="s">
        <v>4150</v>
      </c>
      <c r="I309" s="6"/>
      <c r="J309" s="6" t="s">
        <v>83</v>
      </c>
      <c r="K309" s="6" t="s">
        <v>4151</v>
      </c>
      <c r="L309" s="7"/>
      <c r="M309" s="7"/>
    </row>
    <row r="310" customFormat="false" ht="35.05" hidden="false" customHeight="false" outlineLevel="0" collapsed="false">
      <c r="A310" s="6" t="s">
        <v>1050</v>
      </c>
      <c r="B310" s="6" t="s">
        <v>110</v>
      </c>
      <c r="C310" s="6" t="s">
        <v>98</v>
      </c>
      <c r="D310" s="6" t="s">
        <v>491</v>
      </c>
      <c r="E310" s="6" t="s">
        <v>4152</v>
      </c>
      <c r="F310" s="6" t="s">
        <v>1058</v>
      </c>
      <c r="G310" s="6"/>
      <c r="H310" s="6" t="s">
        <v>4153</v>
      </c>
      <c r="I310" s="6"/>
      <c r="J310" s="6" t="s">
        <v>83</v>
      </c>
      <c r="K310" s="6" t="s">
        <v>4154</v>
      </c>
      <c r="L310" s="7"/>
      <c r="M310" s="7"/>
    </row>
    <row r="311" customFormat="false" ht="23.85" hidden="false" customHeight="false" outlineLevel="0" collapsed="false">
      <c r="A311" s="6" t="s">
        <v>1050</v>
      </c>
      <c r="B311" s="6" t="s">
        <v>110</v>
      </c>
      <c r="C311" s="6" t="s">
        <v>98</v>
      </c>
      <c r="D311" s="6" t="s">
        <v>491</v>
      </c>
      <c r="E311" s="6" t="s">
        <v>3878</v>
      </c>
      <c r="F311" s="6" t="s">
        <v>1058</v>
      </c>
      <c r="G311" s="6"/>
      <c r="H311" s="6" t="s">
        <v>4155</v>
      </c>
      <c r="I311" s="6"/>
      <c r="J311" s="6" t="s">
        <v>83</v>
      </c>
      <c r="K311" s="6" t="s">
        <v>4156</v>
      </c>
      <c r="L311" s="7"/>
      <c r="M311" s="7"/>
    </row>
    <row r="312" customFormat="false" ht="23.85" hidden="false" customHeight="false" outlineLevel="0" collapsed="false">
      <c r="A312" s="6" t="s">
        <v>1050</v>
      </c>
      <c r="B312" s="6" t="s">
        <v>110</v>
      </c>
      <c r="C312" s="6" t="s">
        <v>98</v>
      </c>
      <c r="D312" s="6" t="s">
        <v>491</v>
      </c>
      <c r="E312" s="6" t="s">
        <v>4157</v>
      </c>
      <c r="F312" s="6" t="s">
        <v>1058</v>
      </c>
      <c r="G312" s="6"/>
      <c r="H312" s="6" t="s">
        <v>4158</v>
      </c>
      <c r="I312" s="6"/>
      <c r="J312" s="6" t="s">
        <v>83</v>
      </c>
      <c r="K312" s="6" t="s">
        <v>4159</v>
      </c>
      <c r="L312" s="7"/>
      <c r="M312" s="7"/>
    </row>
    <row r="313" customFormat="false" ht="23.85" hidden="false" customHeight="false" outlineLevel="0" collapsed="false">
      <c r="A313" s="6" t="s">
        <v>1061</v>
      </c>
      <c r="B313" s="6" t="s">
        <v>123</v>
      </c>
      <c r="C313" s="6" t="s">
        <v>98</v>
      </c>
      <c r="D313" s="6" t="s">
        <v>1062</v>
      </c>
      <c r="E313" s="6" t="s">
        <v>4160</v>
      </c>
      <c r="F313" s="6" t="s">
        <v>4161</v>
      </c>
      <c r="G313" s="6" t="s">
        <v>3651</v>
      </c>
      <c r="H313" s="6" t="s">
        <v>4162</v>
      </c>
      <c r="I313" s="6" t="n">
        <v>25</v>
      </c>
      <c r="J313" s="6"/>
      <c r="K313" s="6" t="s">
        <v>4163</v>
      </c>
      <c r="L313" s="7"/>
      <c r="M313" s="7"/>
    </row>
    <row r="314" customFormat="false" ht="23.85" hidden="false" customHeight="false" outlineLevel="0" collapsed="false">
      <c r="A314" s="6" t="s">
        <v>1061</v>
      </c>
      <c r="B314" s="6" t="s">
        <v>123</v>
      </c>
      <c r="C314" s="6" t="s">
        <v>98</v>
      </c>
      <c r="D314" s="6" t="s">
        <v>1062</v>
      </c>
      <c r="E314" s="6" t="s">
        <v>4160</v>
      </c>
      <c r="F314" s="6" t="s">
        <v>4161</v>
      </c>
      <c r="G314" s="6" t="s">
        <v>3654</v>
      </c>
      <c r="H314" s="6" t="s">
        <v>4164</v>
      </c>
      <c r="I314" s="6" t="n">
        <v>98</v>
      </c>
      <c r="J314" s="6" t="s">
        <v>83</v>
      </c>
      <c r="K314" s="6" t="s">
        <v>4165</v>
      </c>
      <c r="L314" s="7"/>
      <c r="M314" s="7"/>
    </row>
    <row r="315" customFormat="false" ht="23.85" hidden="false" customHeight="false" outlineLevel="0" collapsed="false">
      <c r="A315" s="6" t="s">
        <v>1061</v>
      </c>
      <c r="B315" s="6" t="s">
        <v>123</v>
      </c>
      <c r="C315" s="6" t="s">
        <v>98</v>
      </c>
      <c r="D315" s="6" t="s">
        <v>1062</v>
      </c>
      <c r="E315" s="6" t="s">
        <v>4160</v>
      </c>
      <c r="F315" s="6" t="s">
        <v>4161</v>
      </c>
      <c r="G315" s="6" t="s">
        <v>3657</v>
      </c>
      <c r="H315" s="6" t="s">
        <v>4166</v>
      </c>
      <c r="I315" s="6" t="n">
        <v>10</v>
      </c>
      <c r="J315" s="6"/>
      <c r="K315" s="6" t="s">
        <v>4167</v>
      </c>
      <c r="L315" s="7"/>
      <c r="M315" s="7"/>
    </row>
    <row r="316" customFormat="false" ht="23.85" hidden="false" customHeight="false" outlineLevel="0" collapsed="false">
      <c r="A316" s="6" t="s">
        <v>1061</v>
      </c>
      <c r="B316" s="6" t="s">
        <v>123</v>
      </c>
      <c r="C316" s="6" t="s">
        <v>98</v>
      </c>
      <c r="D316" s="6" t="s">
        <v>1062</v>
      </c>
      <c r="E316" s="6" t="s">
        <v>4168</v>
      </c>
      <c r="F316" s="6" t="s">
        <v>4169</v>
      </c>
      <c r="G316" s="6" t="s">
        <v>3651</v>
      </c>
      <c r="H316" s="6" t="s">
        <v>4170</v>
      </c>
      <c r="I316" s="6" t="n">
        <v>98</v>
      </c>
      <c r="J316" s="6" t="s">
        <v>83</v>
      </c>
      <c r="K316" s="6" t="s">
        <v>4171</v>
      </c>
      <c r="L316" s="7"/>
      <c r="M316" s="7"/>
    </row>
    <row r="317" customFormat="false" ht="23.85" hidden="false" customHeight="false" outlineLevel="0" collapsed="false">
      <c r="A317" s="6" t="s">
        <v>1061</v>
      </c>
      <c r="B317" s="6" t="s">
        <v>123</v>
      </c>
      <c r="C317" s="6" t="s">
        <v>98</v>
      </c>
      <c r="D317" s="6" t="s">
        <v>1062</v>
      </c>
      <c r="E317" s="6" t="s">
        <v>4168</v>
      </c>
      <c r="F317" s="6" t="s">
        <v>4169</v>
      </c>
      <c r="G317" s="6" t="s">
        <v>3654</v>
      </c>
      <c r="H317" s="6" t="s">
        <v>4172</v>
      </c>
      <c r="I317" s="6" t="n">
        <v>35</v>
      </c>
      <c r="J317" s="6"/>
      <c r="K317" s="6" t="s">
        <v>4173</v>
      </c>
      <c r="L317" s="7"/>
      <c r="M317" s="7"/>
    </row>
    <row r="318" customFormat="false" ht="23.85" hidden="false" customHeight="false" outlineLevel="0" collapsed="false">
      <c r="A318" s="6" t="s">
        <v>1061</v>
      </c>
      <c r="B318" s="6" t="s">
        <v>123</v>
      </c>
      <c r="C318" s="6" t="s">
        <v>98</v>
      </c>
      <c r="D318" s="6" t="s">
        <v>1062</v>
      </c>
      <c r="E318" s="6" t="s">
        <v>4168</v>
      </c>
      <c r="F318" s="6" t="s">
        <v>4169</v>
      </c>
      <c r="G318" s="6" t="s">
        <v>3657</v>
      </c>
      <c r="H318" s="6" t="s">
        <v>4174</v>
      </c>
      <c r="I318" s="6" t="n">
        <v>20</v>
      </c>
      <c r="J318" s="6"/>
      <c r="K318" s="6" t="s">
        <v>4175</v>
      </c>
      <c r="L318" s="7"/>
      <c r="M318" s="7"/>
    </row>
    <row r="319" customFormat="false" ht="23.85" hidden="false" customHeight="false" outlineLevel="0" collapsed="false">
      <c r="A319" s="6" t="s">
        <v>1061</v>
      </c>
      <c r="B319" s="6" t="s">
        <v>123</v>
      </c>
      <c r="C319" s="6" t="s">
        <v>98</v>
      </c>
      <c r="D319" s="6" t="s">
        <v>1062</v>
      </c>
      <c r="E319" s="6" t="s">
        <v>4176</v>
      </c>
      <c r="F319" s="6" t="s">
        <v>4177</v>
      </c>
      <c r="G319" s="6" t="s">
        <v>3651</v>
      </c>
      <c r="H319" s="6" t="s">
        <v>4178</v>
      </c>
      <c r="I319" s="6" t="n">
        <v>10</v>
      </c>
      <c r="J319" s="6"/>
      <c r="K319" s="6" t="s">
        <v>4179</v>
      </c>
      <c r="L319" s="7"/>
      <c r="M319" s="7"/>
    </row>
    <row r="320" customFormat="false" ht="23.85" hidden="false" customHeight="false" outlineLevel="0" collapsed="false">
      <c r="A320" s="6" t="s">
        <v>1061</v>
      </c>
      <c r="B320" s="6" t="s">
        <v>123</v>
      </c>
      <c r="C320" s="6" t="s">
        <v>98</v>
      </c>
      <c r="D320" s="6" t="s">
        <v>1062</v>
      </c>
      <c r="E320" s="6" t="s">
        <v>4176</v>
      </c>
      <c r="F320" s="6" t="s">
        <v>4177</v>
      </c>
      <c r="G320" s="6" t="s">
        <v>3654</v>
      </c>
      <c r="H320" s="6" t="s">
        <v>4180</v>
      </c>
      <c r="I320" s="6" t="n">
        <v>20</v>
      </c>
      <c r="J320" s="6"/>
      <c r="K320" s="6" t="s">
        <v>4181</v>
      </c>
      <c r="L320" s="7"/>
      <c r="M320" s="7"/>
    </row>
    <row r="321" customFormat="false" ht="23.85" hidden="false" customHeight="false" outlineLevel="0" collapsed="false">
      <c r="A321" s="6" t="s">
        <v>1061</v>
      </c>
      <c r="B321" s="6" t="s">
        <v>123</v>
      </c>
      <c r="C321" s="6" t="s">
        <v>98</v>
      </c>
      <c r="D321" s="6" t="s">
        <v>1062</v>
      </c>
      <c r="E321" s="6" t="s">
        <v>4176</v>
      </c>
      <c r="F321" s="6" t="s">
        <v>4177</v>
      </c>
      <c r="G321" s="6" t="s">
        <v>3657</v>
      </c>
      <c r="H321" s="6" t="s">
        <v>4182</v>
      </c>
      <c r="I321" s="6" t="n">
        <v>98</v>
      </c>
      <c r="J321" s="6" t="s">
        <v>83</v>
      </c>
      <c r="K321" s="6" t="s">
        <v>4183</v>
      </c>
      <c r="L321" s="7"/>
      <c r="M321" s="7"/>
    </row>
    <row r="322" customFormat="false" ht="35.05" hidden="false" customHeight="false" outlineLevel="0" collapsed="false">
      <c r="A322" s="6" t="s">
        <v>1072</v>
      </c>
      <c r="B322" s="6" t="s">
        <v>123</v>
      </c>
      <c r="C322" s="6" t="s">
        <v>165</v>
      </c>
      <c r="D322" s="6" t="s">
        <v>491</v>
      </c>
      <c r="E322" s="6" t="s">
        <v>4103</v>
      </c>
      <c r="F322" s="6" t="s">
        <v>1078</v>
      </c>
      <c r="G322" s="6"/>
      <c r="H322" s="6" t="s">
        <v>4184</v>
      </c>
      <c r="I322" s="6"/>
      <c r="J322" s="6" t="s">
        <v>83</v>
      </c>
      <c r="K322" s="6" t="s">
        <v>4185</v>
      </c>
      <c r="L322" s="7"/>
      <c r="M322" s="7"/>
    </row>
    <row r="323" customFormat="false" ht="23.85" hidden="false" customHeight="false" outlineLevel="0" collapsed="false">
      <c r="A323" s="6" t="s">
        <v>1072</v>
      </c>
      <c r="B323" s="6" t="s">
        <v>123</v>
      </c>
      <c r="C323" s="6" t="s">
        <v>165</v>
      </c>
      <c r="D323" s="6" t="s">
        <v>491</v>
      </c>
      <c r="E323" s="6" t="s">
        <v>4186</v>
      </c>
      <c r="F323" s="6" t="s">
        <v>1078</v>
      </c>
      <c r="G323" s="6"/>
      <c r="H323" s="6" t="s">
        <v>4187</v>
      </c>
      <c r="I323" s="6"/>
      <c r="J323" s="6" t="s">
        <v>83</v>
      </c>
      <c r="K323" s="6" t="s">
        <v>4188</v>
      </c>
      <c r="L323" s="7"/>
      <c r="M323" s="7"/>
    </row>
    <row r="324" customFormat="false" ht="35.05" hidden="false" customHeight="false" outlineLevel="0" collapsed="false">
      <c r="A324" s="6" t="s">
        <v>1072</v>
      </c>
      <c r="B324" s="6" t="s">
        <v>123</v>
      </c>
      <c r="C324" s="6" t="s">
        <v>165</v>
      </c>
      <c r="D324" s="6" t="s">
        <v>491</v>
      </c>
      <c r="E324" s="6" t="s">
        <v>4189</v>
      </c>
      <c r="F324" s="6" t="s">
        <v>1078</v>
      </c>
      <c r="G324" s="6"/>
      <c r="H324" s="6" t="s">
        <v>4190</v>
      </c>
      <c r="I324" s="6"/>
      <c r="J324" s="6" t="s">
        <v>83</v>
      </c>
      <c r="K324" s="6" t="s">
        <v>4191</v>
      </c>
      <c r="L324" s="7"/>
      <c r="M324" s="7"/>
    </row>
    <row r="325" customFormat="false" ht="35.05" hidden="false" customHeight="false" outlineLevel="0" collapsed="false">
      <c r="A325" s="6" t="s">
        <v>1072</v>
      </c>
      <c r="B325" s="6" t="s">
        <v>123</v>
      </c>
      <c r="C325" s="6" t="s">
        <v>165</v>
      </c>
      <c r="D325" s="6" t="s">
        <v>491</v>
      </c>
      <c r="E325" s="6" t="s">
        <v>4192</v>
      </c>
      <c r="F325" s="6" t="s">
        <v>1078</v>
      </c>
      <c r="G325" s="6"/>
      <c r="H325" s="6" t="s">
        <v>4193</v>
      </c>
      <c r="I325" s="6"/>
      <c r="J325" s="6" t="s">
        <v>83</v>
      </c>
      <c r="K325" s="6" t="s">
        <v>4194</v>
      </c>
      <c r="L325" s="7"/>
      <c r="M325" s="7"/>
    </row>
    <row r="326" customFormat="false" ht="23.85" hidden="false" customHeight="false" outlineLevel="0" collapsed="false">
      <c r="A326" s="6" t="s">
        <v>1081</v>
      </c>
      <c r="B326" s="6" t="s">
        <v>123</v>
      </c>
      <c r="C326" s="6" t="s">
        <v>165</v>
      </c>
      <c r="D326" s="6" t="s">
        <v>372</v>
      </c>
      <c r="E326" s="6"/>
      <c r="F326" s="6" t="s">
        <v>1089</v>
      </c>
      <c r="G326" s="6" t="s">
        <v>3926</v>
      </c>
      <c r="H326" s="6" t="s">
        <v>4195</v>
      </c>
      <c r="I326" s="6" t="n">
        <v>25</v>
      </c>
      <c r="J326" s="6" t="s">
        <v>83</v>
      </c>
      <c r="K326" s="6" t="s">
        <v>4196</v>
      </c>
      <c r="L326" s="7"/>
      <c r="M326" s="7"/>
    </row>
    <row r="327" customFormat="false" ht="23.85" hidden="false" customHeight="false" outlineLevel="0" collapsed="false">
      <c r="A327" s="6" t="s">
        <v>1081</v>
      </c>
      <c r="B327" s="6" t="s">
        <v>123</v>
      </c>
      <c r="C327" s="6" t="s">
        <v>165</v>
      </c>
      <c r="D327" s="6" t="s">
        <v>372</v>
      </c>
      <c r="E327" s="6"/>
      <c r="F327" s="6" t="s">
        <v>1089</v>
      </c>
      <c r="G327" s="6" t="s">
        <v>4197</v>
      </c>
      <c r="H327" s="6" t="s">
        <v>4198</v>
      </c>
      <c r="I327" s="6" t="n">
        <v>25</v>
      </c>
      <c r="J327" s="6" t="s">
        <v>83</v>
      </c>
      <c r="K327" s="6" t="s">
        <v>4199</v>
      </c>
      <c r="L327" s="7"/>
      <c r="M327" s="7"/>
    </row>
    <row r="328" customFormat="false" ht="23.85" hidden="false" customHeight="false" outlineLevel="0" collapsed="false">
      <c r="A328" s="6" t="s">
        <v>1081</v>
      </c>
      <c r="B328" s="6" t="s">
        <v>123</v>
      </c>
      <c r="C328" s="6" t="s">
        <v>165</v>
      </c>
      <c r="D328" s="6" t="s">
        <v>372</v>
      </c>
      <c r="E328" s="6"/>
      <c r="F328" s="6" t="s">
        <v>1089</v>
      </c>
      <c r="G328" s="6" t="s">
        <v>4200</v>
      </c>
      <c r="H328" s="6" t="s">
        <v>4201</v>
      </c>
      <c r="I328" s="6" t="n">
        <v>25</v>
      </c>
      <c r="J328" s="6" t="s">
        <v>83</v>
      </c>
      <c r="K328" s="6" t="s">
        <v>4202</v>
      </c>
      <c r="L328" s="7"/>
      <c r="M328" s="7"/>
    </row>
    <row r="329" customFormat="false" ht="23.85" hidden="false" customHeight="false" outlineLevel="0" collapsed="false">
      <c r="A329" s="6" t="s">
        <v>1081</v>
      </c>
      <c r="B329" s="6" t="s">
        <v>123</v>
      </c>
      <c r="C329" s="6" t="s">
        <v>165</v>
      </c>
      <c r="D329" s="6" t="s">
        <v>372</v>
      </c>
      <c r="E329" s="6"/>
      <c r="F329" s="6" t="s">
        <v>1089</v>
      </c>
      <c r="G329" s="6" t="s">
        <v>4203</v>
      </c>
      <c r="H329" s="6" t="s">
        <v>4204</v>
      </c>
      <c r="I329" s="6" t="n">
        <v>25</v>
      </c>
      <c r="J329" s="6" t="s">
        <v>83</v>
      </c>
      <c r="K329" s="6" t="s">
        <v>4205</v>
      </c>
      <c r="L329" s="7"/>
      <c r="M329" s="7"/>
    </row>
    <row r="330" customFormat="false" ht="23.85" hidden="false" customHeight="false" outlineLevel="0" collapsed="false">
      <c r="A330" s="6" t="s">
        <v>1081</v>
      </c>
      <c r="B330" s="6" t="s">
        <v>123</v>
      </c>
      <c r="C330" s="6" t="s">
        <v>165</v>
      </c>
      <c r="D330" s="6" t="s">
        <v>372</v>
      </c>
      <c r="E330" s="6"/>
      <c r="F330" s="6" t="s">
        <v>1089</v>
      </c>
      <c r="G330" s="6" t="s">
        <v>4206</v>
      </c>
      <c r="H330" s="6" t="s">
        <v>4207</v>
      </c>
      <c r="I330" s="6" t="n">
        <v>0</v>
      </c>
      <c r="J330" s="6"/>
      <c r="K330" s="6" t="s">
        <v>4208</v>
      </c>
      <c r="L330" s="7"/>
      <c r="M330" s="7"/>
    </row>
    <row r="331" customFormat="false" ht="23.85" hidden="false" customHeight="false" outlineLevel="0" collapsed="false">
      <c r="A331" s="6" t="s">
        <v>1102</v>
      </c>
      <c r="B331" s="6" t="s">
        <v>77</v>
      </c>
      <c r="C331" s="6" t="s">
        <v>98</v>
      </c>
      <c r="D331" s="6" t="s">
        <v>431</v>
      </c>
      <c r="E331" s="6" t="s">
        <v>432</v>
      </c>
      <c r="F331" s="6" t="s">
        <v>1109</v>
      </c>
      <c r="G331" s="6" t="s">
        <v>4068</v>
      </c>
      <c r="H331" s="6" t="s">
        <v>4209</v>
      </c>
      <c r="I331" s="6" t="n">
        <v>1</v>
      </c>
      <c r="J331" s="6" t="s">
        <v>3692</v>
      </c>
      <c r="K331" s="6"/>
      <c r="L331" s="7"/>
      <c r="M331" s="7"/>
    </row>
    <row r="332" customFormat="false" ht="23.85" hidden="false" customHeight="false" outlineLevel="0" collapsed="false">
      <c r="A332" s="6" t="s">
        <v>1102</v>
      </c>
      <c r="B332" s="6" t="s">
        <v>77</v>
      </c>
      <c r="C332" s="6" t="s">
        <v>98</v>
      </c>
      <c r="D332" s="6" t="s">
        <v>431</v>
      </c>
      <c r="E332" s="6" t="s">
        <v>432</v>
      </c>
      <c r="F332" s="6" t="s">
        <v>1109</v>
      </c>
      <c r="G332" s="6" t="s">
        <v>4210</v>
      </c>
      <c r="H332" s="6" t="s">
        <v>4211</v>
      </c>
      <c r="I332" s="6" t="n">
        <v>2</v>
      </c>
      <c r="J332" s="6" t="s">
        <v>3695</v>
      </c>
      <c r="K332" s="6"/>
      <c r="L332" s="7"/>
      <c r="M332" s="7"/>
    </row>
    <row r="333" customFormat="false" ht="23.85" hidden="false" customHeight="false" outlineLevel="0" collapsed="false">
      <c r="A333" s="6" t="s">
        <v>1102</v>
      </c>
      <c r="B333" s="6" t="s">
        <v>77</v>
      </c>
      <c r="C333" s="6" t="s">
        <v>98</v>
      </c>
      <c r="D333" s="6" t="s">
        <v>431</v>
      </c>
      <c r="E333" s="6" t="s">
        <v>432</v>
      </c>
      <c r="F333" s="6" t="s">
        <v>1109</v>
      </c>
      <c r="G333" s="6" t="s">
        <v>3731</v>
      </c>
      <c r="H333" s="6" t="s">
        <v>4212</v>
      </c>
      <c r="I333" s="6" t="n">
        <v>3</v>
      </c>
      <c r="J333" s="6" t="s">
        <v>3698</v>
      </c>
      <c r="K333" s="6"/>
      <c r="L333" s="7"/>
      <c r="M333" s="7"/>
    </row>
    <row r="334" customFormat="false" ht="23.85" hidden="false" customHeight="false" outlineLevel="0" collapsed="false">
      <c r="A334" s="6" t="s">
        <v>1102</v>
      </c>
      <c r="B334" s="6" t="s">
        <v>77</v>
      </c>
      <c r="C334" s="6" t="s">
        <v>98</v>
      </c>
      <c r="D334" s="6" t="s">
        <v>431</v>
      </c>
      <c r="E334" s="6" t="s">
        <v>432</v>
      </c>
      <c r="F334" s="6" t="s">
        <v>1109</v>
      </c>
      <c r="G334" s="6" t="s">
        <v>4213</v>
      </c>
      <c r="H334" s="6" t="s">
        <v>4214</v>
      </c>
      <c r="I334" s="6" t="n">
        <v>4</v>
      </c>
      <c r="J334" s="6" t="s">
        <v>3701</v>
      </c>
      <c r="K334" s="6"/>
      <c r="L334" s="7"/>
      <c r="M334" s="7"/>
    </row>
    <row r="335" customFormat="false" ht="23.85" hidden="false" customHeight="false" outlineLevel="0" collapsed="false">
      <c r="A335" s="6" t="s">
        <v>1102</v>
      </c>
      <c r="B335" s="6" t="s">
        <v>77</v>
      </c>
      <c r="C335" s="6" t="s">
        <v>98</v>
      </c>
      <c r="D335" s="6" t="s">
        <v>431</v>
      </c>
      <c r="E335" s="6" t="s">
        <v>432</v>
      </c>
      <c r="F335" s="6" t="s">
        <v>1109</v>
      </c>
      <c r="G335" s="6" t="s">
        <v>4215</v>
      </c>
      <c r="H335" s="6" t="s">
        <v>4216</v>
      </c>
      <c r="I335" s="6" t="n">
        <v>5</v>
      </c>
      <c r="J335" s="6" t="s">
        <v>3866</v>
      </c>
      <c r="K335" s="6"/>
      <c r="L335" s="7"/>
      <c r="M335" s="7"/>
    </row>
    <row r="336" customFormat="false" ht="35.05" hidden="false" customHeight="false" outlineLevel="0" collapsed="false">
      <c r="A336" s="6" t="s">
        <v>1112</v>
      </c>
      <c r="B336" s="6" t="s">
        <v>77</v>
      </c>
      <c r="C336" s="6" t="s">
        <v>165</v>
      </c>
      <c r="D336" s="6" t="s">
        <v>491</v>
      </c>
      <c r="E336" s="6" t="s">
        <v>3822</v>
      </c>
      <c r="F336" s="6" t="s">
        <v>1120</v>
      </c>
      <c r="G336" s="6"/>
      <c r="H336" s="6" t="s">
        <v>4217</v>
      </c>
      <c r="I336" s="6"/>
      <c r="J336" s="6" t="s">
        <v>83</v>
      </c>
      <c r="K336" s="6" t="s">
        <v>4218</v>
      </c>
      <c r="L336" s="7"/>
      <c r="M336" s="7"/>
    </row>
    <row r="337" customFormat="false" ht="23.85" hidden="false" customHeight="false" outlineLevel="0" collapsed="false">
      <c r="A337" s="6" t="s">
        <v>1112</v>
      </c>
      <c r="B337" s="6" t="s">
        <v>77</v>
      </c>
      <c r="C337" s="6" t="s">
        <v>165</v>
      </c>
      <c r="D337" s="6" t="s">
        <v>491</v>
      </c>
      <c r="E337" s="6" t="s">
        <v>4210</v>
      </c>
      <c r="F337" s="6" t="s">
        <v>1120</v>
      </c>
      <c r="G337" s="6"/>
      <c r="H337" s="6" t="s">
        <v>4219</v>
      </c>
      <c r="I337" s="6"/>
      <c r="J337" s="6" t="s">
        <v>83</v>
      </c>
      <c r="K337" s="6" t="s">
        <v>4220</v>
      </c>
      <c r="L337" s="7"/>
      <c r="M337" s="7"/>
    </row>
    <row r="338" customFormat="false" ht="23.85" hidden="false" customHeight="false" outlineLevel="0" collapsed="false">
      <c r="A338" s="6" t="s">
        <v>1112</v>
      </c>
      <c r="B338" s="6" t="s">
        <v>77</v>
      </c>
      <c r="C338" s="6" t="s">
        <v>165</v>
      </c>
      <c r="D338" s="6" t="s">
        <v>491</v>
      </c>
      <c r="E338" s="6" t="s">
        <v>3898</v>
      </c>
      <c r="F338" s="6" t="s">
        <v>1120</v>
      </c>
      <c r="G338" s="6"/>
      <c r="H338" s="6" t="s">
        <v>4221</v>
      </c>
      <c r="I338" s="6"/>
      <c r="J338" s="6" t="s">
        <v>83</v>
      </c>
      <c r="K338" s="6" t="s">
        <v>4222</v>
      </c>
      <c r="L338" s="7"/>
      <c r="M338" s="7"/>
    </row>
    <row r="339" customFormat="false" ht="23.85" hidden="false" customHeight="false" outlineLevel="0" collapsed="false">
      <c r="A339" s="6" t="s">
        <v>1112</v>
      </c>
      <c r="B339" s="6" t="s">
        <v>77</v>
      </c>
      <c r="C339" s="6" t="s">
        <v>165</v>
      </c>
      <c r="D339" s="6" t="s">
        <v>491</v>
      </c>
      <c r="E339" s="6" t="s">
        <v>3733</v>
      </c>
      <c r="F339" s="6" t="s">
        <v>1120</v>
      </c>
      <c r="G339" s="6"/>
      <c r="H339" s="6" t="s">
        <v>4223</v>
      </c>
      <c r="I339" s="6"/>
      <c r="J339" s="6" t="s">
        <v>83</v>
      </c>
      <c r="K339" s="6" t="s">
        <v>4224</v>
      </c>
      <c r="L339" s="7"/>
      <c r="M339" s="7"/>
    </row>
    <row r="340" customFormat="false" ht="23.85" hidden="false" customHeight="false" outlineLevel="0" collapsed="false">
      <c r="A340" s="6" t="s">
        <v>1123</v>
      </c>
      <c r="B340" s="6" t="s">
        <v>96</v>
      </c>
      <c r="C340" s="6" t="s">
        <v>98</v>
      </c>
      <c r="D340" s="6" t="s">
        <v>781</v>
      </c>
      <c r="E340" s="6"/>
      <c r="F340" s="6" t="s">
        <v>1130</v>
      </c>
      <c r="G340" s="6" t="s">
        <v>4225</v>
      </c>
      <c r="H340" s="6" t="s">
        <v>4226</v>
      </c>
      <c r="I340" s="6" t="n">
        <v>25</v>
      </c>
      <c r="J340" s="6" t="s">
        <v>83</v>
      </c>
      <c r="K340" s="6" t="s">
        <v>4227</v>
      </c>
      <c r="L340" s="7"/>
      <c r="M340" s="7"/>
    </row>
    <row r="341" customFormat="false" ht="23.85" hidden="false" customHeight="false" outlineLevel="0" collapsed="false">
      <c r="A341" s="6" t="s">
        <v>1123</v>
      </c>
      <c r="B341" s="6" t="s">
        <v>96</v>
      </c>
      <c r="C341" s="6" t="s">
        <v>98</v>
      </c>
      <c r="D341" s="6" t="s">
        <v>781</v>
      </c>
      <c r="E341" s="6"/>
      <c r="F341" s="6" t="s">
        <v>1130</v>
      </c>
      <c r="G341" s="6" t="s">
        <v>4228</v>
      </c>
      <c r="H341" s="6" t="s">
        <v>4229</v>
      </c>
      <c r="I341" s="6" t="n">
        <v>25</v>
      </c>
      <c r="J341" s="6" t="s">
        <v>83</v>
      </c>
      <c r="K341" s="6" t="s">
        <v>4230</v>
      </c>
      <c r="L341" s="7"/>
      <c r="M341" s="7"/>
    </row>
    <row r="342" customFormat="false" ht="23.85" hidden="false" customHeight="false" outlineLevel="0" collapsed="false">
      <c r="A342" s="6" t="s">
        <v>1123</v>
      </c>
      <c r="B342" s="6" t="s">
        <v>96</v>
      </c>
      <c r="C342" s="6" t="s">
        <v>98</v>
      </c>
      <c r="D342" s="6" t="s">
        <v>781</v>
      </c>
      <c r="E342" s="6"/>
      <c r="F342" s="6" t="s">
        <v>1130</v>
      </c>
      <c r="G342" s="6" t="s">
        <v>4231</v>
      </c>
      <c r="H342" s="6" t="s">
        <v>4232</v>
      </c>
      <c r="I342" s="6" t="n">
        <v>25</v>
      </c>
      <c r="J342" s="6" t="s">
        <v>83</v>
      </c>
      <c r="K342" s="6" t="s">
        <v>4233</v>
      </c>
      <c r="L342" s="7"/>
      <c r="M342" s="7"/>
    </row>
    <row r="343" customFormat="false" ht="23.85" hidden="false" customHeight="false" outlineLevel="0" collapsed="false">
      <c r="A343" s="6" t="s">
        <v>1123</v>
      </c>
      <c r="B343" s="6" t="s">
        <v>96</v>
      </c>
      <c r="C343" s="6" t="s">
        <v>98</v>
      </c>
      <c r="D343" s="6" t="s">
        <v>781</v>
      </c>
      <c r="E343" s="6"/>
      <c r="F343" s="6" t="s">
        <v>1130</v>
      </c>
      <c r="G343" s="6" t="s">
        <v>4234</v>
      </c>
      <c r="H343" s="6" t="s">
        <v>4235</v>
      </c>
      <c r="I343" s="6" t="n">
        <v>25</v>
      </c>
      <c r="J343" s="6" t="s">
        <v>83</v>
      </c>
      <c r="K343" s="6" t="s">
        <v>4236</v>
      </c>
      <c r="L343" s="7"/>
      <c r="M343" s="7"/>
    </row>
    <row r="344" customFormat="false" ht="23.85" hidden="false" customHeight="false" outlineLevel="0" collapsed="false">
      <c r="A344" s="6" t="s">
        <v>1123</v>
      </c>
      <c r="B344" s="6" t="s">
        <v>96</v>
      </c>
      <c r="C344" s="6" t="s">
        <v>98</v>
      </c>
      <c r="D344" s="6" t="s">
        <v>781</v>
      </c>
      <c r="E344" s="6"/>
      <c r="F344" s="6" t="s">
        <v>1130</v>
      </c>
      <c r="G344" s="6" t="s">
        <v>4237</v>
      </c>
      <c r="H344" s="6" t="s">
        <v>4238</v>
      </c>
      <c r="I344" s="6" t="n">
        <v>0</v>
      </c>
      <c r="J344" s="6"/>
      <c r="K344" s="6" t="s">
        <v>4239</v>
      </c>
      <c r="L344" s="7"/>
      <c r="M344" s="7"/>
    </row>
    <row r="345" customFormat="false" ht="23.85" hidden="false" customHeight="false" outlineLevel="0" collapsed="false">
      <c r="A345" s="6" t="s">
        <v>1144</v>
      </c>
      <c r="B345" s="6" t="s">
        <v>96</v>
      </c>
      <c r="C345" s="6" t="s">
        <v>98</v>
      </c>
      <c r="D345" s="6" t="s">
        <v>491</v>
      </c>
      <c r="E345" s="6" t="s">
        <v>3946</v>
      </c>
      <c r="F345" s="6" t="s">
        <v>1153</v>
      </c>
      <c r="G345" s="6"/>
      <c r="H345" s="6" t="s">
        <v>4240</v>
      </c>
      <c r="I345" s="6"/>
      <c r="J345" s="6" t="s">
        <v>83</v>
      </c>
      <c r="K345" s="6" t="s">
        <v>4241</v>
      </c>
      <c r="L345" s="7"/>
      <c r="M345" s="7"/>
    </row>
    <row r="346" customFormat="false" ht="23.85" hidden="false" customHeight="false" outlineLevel="0" collapsed="false">
      <c r="A346" s="6" t="s">
        <v>1144</v>
      </c>
      <c r="B346" s="6" t="s">
        <v>96</v>
      </c>
      <c r="C346" s="6" t="s">
        <v>98</v>
      </c>
      <c r="D346" s="6" t="s">
        <v>491</v>
      </c>
      <c r="E346" s="6" t="s">
        <v>4242</v>
      </c>
      <c r="F346" s="6" t="s">
        <v>1153</v>
      </c>
      <c r="G346" s="6"/>
      <c r="H346" s="6" t="s">
        <v>4243</v>
      </c>
      <c r="I346" s="6"/>
      <c r="J346" s="6" t="s">
        <v>83</v>
      </c>
      <c r="K346" s="6" t="s">
        <v>4244</v>
      </c>
      <c r="L346" s="7"/>
      <c r="M346" s="7"/>
    </row>
    <row r="347" customFormat="false" ht="35.05" hidden="false" customHeight="false" outlineLevel="0" collapsed="false">
      <c r="A347" s="6" t="s">
        <v>1144</v>
      </c>
      <c r="B347" s="6" t="s">
        <v>96</v>
      </c>
      <c r="C347" s="6" t="s">
        <v>98</v>
      </c>
      <c r="D347" s="6" t="s">
        <v>491</v>
      </c>
      <c r="E347" s="6" t="s">
        <v>3958</v>
      </c>
      <c r="F347" s="6" t="s">
        <v>1153</v>
      </c>
      <c r="G347" s="6"/>
      <c r="H347" s="6" t="s">
        <v>4245</v>
      </c>
      <c r="I347" s="6"/>
      <c r="J347" s="6" t="s">
        <v>83</v>
      </c>
      <c r="K347" s="6" t="s">
        <v>4246</v>
      </c>
      <c r="L347" s="7"/>
      <c r="M347" s="7"/>
    </row>
    <row r="348" customFormat="false" ht="23.85" hidden="false" customHeight="false" outlineLevel="0" collapsed="false">
      <c r="A348" s="6" t="s">
        <v>1144</v>
      </c>
      <c r="B348" s="6" t="s">
        <v>96</v>
      </c>
      <c r="C348" s="6" t="s">
        <v>98</v>
      </c>
      <c r="D348" s="6" t="s">
        <v>491</v>
      </c>
      <c r="E348" s="6" t="s">
        <v>3915</v>
      </c>
      <c r="F348" s="6" t="s">
        <v>1153</v>
      </c>
      <c r="G348" s="6"/>
      <c r="H348" s="6" t="s">
        <v>4247</v>
      </c>
      <c r="I348" s="6"/>
      <c r="J348" s="6" t="s">
        <v>83</v>
      </c>
      <c r="K348" s="6" t="s">
        <v>4248</v>
      </c>
      <c r="L348" s="7"/>
      <c r="M348" s="7"/>
    </row>
    <row r="349" customFormat="false" ht="15" hidden="false" customHeight="false" outlineLevel="0" collapsed="false">
      <c r="A349" s="6" t="s">
        <v>1156</v>
      </c>
      <c r="B349" s="6" t="s">
        <v>96</v>
      </c>
      <c r="C349" s="6" t="s">
        <v>165</v>
      </c>
      <c r="D349" s="6" t="s">
        <v>372</v>
      </c>
      <c r="E349" s="6"/>
      <c r="F349" s="6" t="s">
        <v>1162</v>
      </c>
      <c r="G349" s="6" t="s">
        <v>3693</v>
      </c>
      <c r="H349" s="6" t="s">
        <v>4249</v>
      </c>
      <c r="I349" s="6" t="n">
        <v>25</v>
      </c>
      <c r="J349" s="6" t="s">
        <v>83</v>
      </c>
      <c r="K349" s="6" t="s">
        <v>4250</v>
      </c>
      <c r="L349" s="7"/>
      <c r="M349" s="7"/>
    </row>
    <row r="350" customFormat="false" ht="15" hidden="false" customHeight="false" outlineLevel="0" collapsed="false">
      <c r="A350" s="6" t="s">
        <v>1156</v>
      </c>
      <c r="B350" s="6" t="s">
        <v>96</v>
      </c>
      <c r="C350" s="6" t="s">
        <v>165</v>
      </c>
      <c r="D350" s="6" t="s">
        <v>372</v>
      </c>
      <c r="E350" s="6"/>
      <c r="F350" s="6" t="s">
        <v>1162</v>
      </c>
      <c r="G350" s="6" t="s">
        <v>4066</v>
      </c>
      <c r="H350" s="6" t="s">
        <v>4251</v>
      </c>
      <c r="I350" s="6" t="n">
        <v>25</v>
      </c>
      <c r="J350" s="6" t="s">
        <v>83</v>
      </c>
      <c r="K350" s="6" t="s">
        <v>4252</v>
      </c>
      <c r="L350" s="7"/>
      <c r="M350" s="7"/>
    </row>
    <row r="351" customFormat="false" ht="15" hidden="false" customHeight="false" outlineLevel="0" collapsed="false">
      <c r="A351" s="6" t="s">
        <v>1156</v>
      </c>
      <c r="B351" s="6" t="s">
        <v>96</v>
      </c>
      <c r="C351" s="6" t="s">
        <v>165</v>
      </c>
      <c r="D351" s="6" t="s">
        <v>372</v>
      </c>
      <c r="E351" s="6"/>
      <c r="F351" s="6" t="s">
        <v>1162</v>
      </c>
      <c r="G351" s="6" t="s">
        <v>4253</v>
      </c>
      <c r="H351" s="6" t="s">
        <v>4254</v>
      </c>
      <c r="I351" s="6" t="n">
        <v>25</v>
      </c>
      <c r="J351" s="6" t="s">
        <v>83</v>
      </c>
      <c r="K351" s="6" t="s">
        <v>4255</v>
      </c>
      <c r="L351" s="7"/>
      <c r="M351" s="7"/>
    </row>
    <row r="352" customFormat="false" ht="15" hidden="false" customHeight="false" outlineLevel="0" collapsed="false">
      <c r="A352" s="6" t="s">
        <v>1156</v>
      </c>
      <c r="B352" s="6" t="s">
        <v>96</v>
      </c>
      <c r="C352" s="6" t="s">
        <v>165</v>
      </c>
      <c r="D352" s="6" t="s">
        <v>372</v>
      </c>
      <c r="E352" s="6"/>
      <c r="F352" s="6" t="s">
        <v>1162</v>
      </c>
      <c r="G352" s="6" t="s">
        <v>4256</v>
      </c>
      <c r="H352" s="6" t="s">
        <v>4257</v>
      </c>
      <c r="I352" s="6" t="n">
        <v>25</v>
      </c>
      <c r="J352" s="6" t="s">
        <v>83</v>
      </c>
      <c r="K352" s="6" t="s">
        <v>4258</v>
      </c>
      <c r="L352" s="7"/>
      <c r="M352" s="7"/>
    </row>
    <row r="353" customFormat="false" ht="15" hidden="false" customHeight="false" outlineLevel="0" collapsed="false">
      <c r="A353" s="6" t="s">
        <v>1156</v>
      </c>
      <c r="B353" s="6" t="s">
        <v>96</v>
      </c>
      <c r="C353" s="6" t="s">
        <v>165</v>
      </c>
      <c r="D353" s="6" t="s">
        <v>372</v>
      </c>
      <c r="E353" s="6"/>
      <c r="F353" s="6" t="s">
        <v>1162</v>
      </c>
      <c r="G353" s="6" t="s">
        <v>4259</v>
      </c>
      <c r="H353" s="6" t="s">
        <v>4260</v>
      </c>
      <c r="I353" s="6" t="n">
        <v>0</v>
      </c>
      <c r="J353" s="6"/>
      <c r="K353" s="6" t="s">
        <v>4261</v>
      </c>
      <c r="L353" s="7"/>
      <c r="M353" s="7"/>
    </row>
    <row r="354" customFormat="false" ht="23.85" hidden="false" customHeight="false" outlineLevel="0" collapsed="false">
      <c r="A354" s="6" t="s">
        <v>1166</v>
      </c>
      <c r="B354" s="6" t="s">
        <v>110</v>
      </c>
      <c r="C354" s="6" t="s">
        <v>165</v>
      </c>
      <c r="D354" s="6" t="s">
        <v>431</v>
      </c>
      <c r="E354" s="6" t="s">
        <v>432</v>
      </c>
      <c r="F354" s="6" t="s">
        <v>1172</v>
      </c>
      <c r="G354" s="6" t="s">
        <v>4262</v>
      </c>
      <c r="H354" s="6" t="s">
        <v>4263</v>
      </c>
      <c r="I354" s="6" t="n">
        <v>1</v>
      </c>
      <c r="J354" s="6" t="s">
        <v>3692</v>
      </c>
      <c r="K354" s="6"/>
      <c r="L354" s="7"/>
      <c r="M354" s="7"/>
    </row>
    <row r="355" customFormat="false" ht="23.85" hidden="false" customHeight="false" outlineLevel="0" collapsed="false">
      <c r="A355" s="6" t="s">
        <v>1166</v>
      </c>
      <c r="B355" s="6" t="s">
        <v>110</v>
      </c>
      <c r="C355" s="6" t="s">
        <v>165</v>
      </c>
      <c r="D355" s="6" t="s">
        <v>431</v>
      </c>
      <c r="E355" s="6" t="s">
        <v>432</v>
      </c>
      <c r="F355" s="6" t="s">
        <v>1172</v>
      </c>
      <c r="G355" s="6" t="s">
        <v>3729</v>
      </c>
      <c r="H355" s="6" t="s">
        <v>4264</v>
      </c>
      <c r="I355" s="6" t="n">
        <v>2</v>
      </c>
      <c r="J355" s="6" t="s">
        <v>3695</v>
      </c>
      <c r="K355" s="6"/>
      <c r="L355" s="7"/>
      <c r="M355" s="7"/>
    </row>
    <row r="356" customFormat="false" ht="23.85" hidden="false" customHeight="false" outlineLevel="0" collapsed="false">
      <c r="A356" s="6" t="s">
        <v>1166</v>
      </c>
      <c r="B356" s="6" t="s">
        <v>110</v>
      </c>
      <c r="C356" s="6" t="s">
        <v>165</v>
      </c>
      <c r="D356" s="6" t="s">
        <v>431</v>
      </c>
      <c r="E356" s="6" t="s">
        <v>432</v>
      </c>
      <c r="F356" s="6" t="s">
        <v>1172</v>
      </c>
      <c r="G356" s="6" t="s">
        <v>4265</v>
      </c>
      <c r="H356" s="6" t="s">
        <v>4266</v>
      </c>
      <c r="I356" s="6" t="n">
        <v>3</v>
      </c>
      <c r="J356" s="6" t="s">
        <v>3698</v>
      </c>
      <c r="K356" s="6"/>
      <c r="L356" s="7"/>
      <c r="M356" s="7"/>
    </row>
    <row r="357" customFormat="false" ht="23.85" hidden="false" customHeight="false" outlineLevel="0" collapsed="false">
      <c r="A357" s="6" t="s">
        <v>1166</v>
      </c>
      <c r="B357" s="6" t="s">
        <v>110</v>
      </c>
      <c r="C357" s="6" t="s">
        <v>165</v>
      </c>
      <c r="D357" s="6" t="s">
        <v>431</v>
      </c>
      <c r="E357" s="6" t="s">
        <v>432</v>
      </c>
      <c r="F357" s="6" t="s">
        <v>1172</v>
      </c>
      <c r="G357" s="6" t="s">
        <v>3997</v>
      </c>
      <c r="H357" s="6" t="s">
        <v>4267</v>
      </c>
      <c r="I357" s="6" t="n">
        <v>4</v>
      </c>
      <c r="J357" s="6" t="s">
        <v>3701</v>
      </c>
      <c r="K357" s="6"/>
      <c r="L357" s="7"/>
      <c r="M357" s="7"/>
    </row>
    <row r="358" customFormat="false" ht="23.85" hidden="false" customHeight="false" outlineLevel="0" collapsed="false">
      <c r="A358" s="6" t="s">
        <v>1166</v>
      </c>
      <c r="B358" s="6" t="s">
        <v>110</v>
      </c>
      <c r="C358" s="6" t="s">
        <v>165</v>
      </c>
      <c r="D358" s="6" t="s">
        <v>431</v>
      </c>
      <c r="E358" s="6" t="s">
        <v>432</v>
      </c>
      <c r="F358" s="6" t="s">
        <v>1172</v>
      </c>
      <c r="G358" s="6" t="s">
        <v>4215</v>
      </c>
      <c r="H358" s="6" t="s">
        <v>4268</v>
      </c>
      <c r="I358" s="6" t="n">
        <v>5</v>
      </c>
      <c r="J358" s="6" t="s">
        <v>3866</v>
      </c>
      <c r="K358" s="6"/>
      <c r="L358" s="7"/>
      <c r="M358" s="7"/>
    </row>
    <row r="359" customFormat="false" ht="23.85" hidden="false" customHeight="false" outlineLevel="0" collapsed="false">
      <c r="A359" s="6" t="s">
        <v>1175</v>
      </c>
      <c r="B359" s="6" t="s">
        <v>110</v>
      </c>
      <c r="C359" s="6" t="s">
        <v>98</v>
      </c>
      <c r="D359" s="6" t="s">
        <v>1062</v>
      </c>
      <c r="E359" s="6" t="s">
        <v>4269</v>
      </c>
      <c r="F359" s="6" t="s">
        <v>4270</v>
      </c>
      <c r="G359" s="6" t="s">
        <v>3651</v>
      </c>
      <c r="H359" s="6" t="s">
        <v>4271</v>
      </c>
      <c r="I359" s="6" t="n">
        <v>98</v>
      </c>
      <c r="J359" s="6" t="s">
        <v>83</v>
      </c>
      <c r="K359" s="6" t="s">
        <v>4272</v>
      </c>
      <c r="L359" s="7"/>
      <c r="M359" s="7"/>
    </row>
    <row r="360" customFormat="false" ht="23.85" hidden="false" customHeight="false" outlineLevel="0" collapsed="false">
      <c r="A360" s="6" t="s">
        <v>1175</v>
      </c>
      <c r="B360" s="6" t="s">
        <v>110</v>
      </c>
      <c r="C360" s="6" t="s">
        <v>98</v>
      </c>
      <c r="D360" s="6" t="s">
        <v>1062</v>
      </c>
      <c r="E360" s="6" t="s">
        <v>4269</v>
      </c>
      <c r="F360" s="6" t="s">
        <v>4270</v>
      </c>
      <c r="G360" s="6" t="s">
        <v>3654</v>
      </c>
      <c r="H360" s="6" t="s">
        <v>4273</v>
      </c>
      <c r="I360" s="6" t="n">
        <v>5</v>
      </c>
      <c r="J360" s="6"/>
      <c r="K360" s="6" t="s">
        <v>4274</v>
      </c>
      <c r="L360" s="7"/>
      <c r="M360" s="7"/>
    </row>
    <row r="361" customFormat="false" ht="23.85" hidden="false" customHeight="false" outlineLevel="0" collapsed="false">
      <c r="A361" s="6" t="s">
        <v>1175</v>
      </c>
      <c r="B361" s="6" t="s">
        <v>110</v>
      </c>
      <c r="C361" s="6" t="s">
        <v>98</v>
      </c>
      <c r="D361" s="6" t="s">
        <v>1062</v>
      </c>
      <c r="E361" s="6" t="s">
        <v>4269</v>
      </c>
      <c r="F361" s="6" t="s">
        <v>4270</v>
      </c>
      <c r="G361" s="6" t="s">
        <v>3657</v>
      </c>
      <c r="H361" s="6" t="s">
        <v>4275</v>
      </c>
      <c r="I361" s="6" t="n">
        <v>20</v>
      </c>
      <c r="J361" s="6"/>
      <c r="K361" s="6" t="s">
        <v>4276</v>
      </c>
      <c r="L361" s="7"/>
      <c r="M361" s="7"/>
    </row>
    <row r="362" customFormat="false" ht="15" hidden="false" customHeight="false" outlineLevel="0" collapsed="false">
      <c r="A362" s="6" t="s">
        <v>1175</v>
      </c>
      <c r="B362" s="6" t="s">
        <v>110</v>
      </c>
      <c r="C362" s="6" t="s">
        <v>98</v>
      </c>
      <c r="D362" s="6" t="s">
        <v>1062</v>
      </c>
      <c r="E362" s="6" t="s">
        <v>4277</v>
      </c>
      <c r="F362" s="6" t="s">
        <v>4278</v>
      </c>
      <c r="G362" s="6" t="s">
        <v>3651</v>
      </c>
      <c r="H362" s="6" t="s">
        <v>4279</v>
      </c>
      <c r="I362" s="6" t="n">
        <v>10</v>
      </c>
      <c r="J362" s="6"/>
      <c r="K362" s="6" t="s">
        <v>4280</v>
      </c>
      <c r="L362" s="7"/>
      <c r="M362" s="7"/>
    </row>
    <row r="363" customFormat="false" ht="15" hidden="false" customHeight="false" outlineLevel="0" collapsed="false">
      <c r="A363" s="6" t="s">
        <v>1175</v>
      </c>
      <c r="B363" s="6" t="s">
        <v>110</v>
      </c>
      <c r="C363" s="6" t="s">
        <v>98</v>
      </c>
      <c r="D363" s="6" t="s">
        <v>1062</v>
      </c>
      <c r="E363" s="6" t="s">
        <v>4277</v>
      </c>
      <c r="F363" s="6" t="s">
        <v>4278</v>
      </c>
      <c r="G363" s="6" t="s">
        <v>3654</v>
      </c>
      <c r="H363" s="6" t="s">
        <v>4281</v>
      </c>
      <c r="I363" s="6" t="n">
        <v>98</v>
      </c>
      <c r="J363" s="6" t="s">
        <v>83</v>
      </c>
      <c r="K363" s="6" t="s">
        <v>4282</v>
      </c>
      <c r="L363" s="7"/>
      <c r="M363" s="7"/>
    </row>
    <row r="364" customFormat="false" ht="15" hidden="false" customHeight="false" outlineLevel="0" collapsed="false">
      <c r="A364" s="6" t="s">
        <v>1175</v>
      </c>
      <c r="B364" s="6" t="s">
        <v>110</v>
      </c>
      <c r="C364" s="6" t="s">
        <v>98</v>
      </c>
      <c r="D364" s="6" t="s">
        <v>1062</v>
      </c>
      <c r="E364" s="6" t="s">
        <v>4277</v>
      </c>
      <c r="F364" s="6" t="s">
        <v>4278</v>
      </c>
      <c r="G364" s="6" t="s">
        <v>3657</v>
      </c>
      <c r="H364" s="6" t="s">
        <v>4283</v>
      </c>
      <c r="I364" s="6" t="n">
        <v>15</v>
      </c>
      <c r="J364" s="6"/>
      <c r="K364" s="6" t="s">
        <v>4284</v>
      </c>
      <c r="L364" s="7"/>
      <c r="M364" s="7"/>
    </row>
    <row r="365" customFormat="false" ht="15" hidden="false" customHeight="false" outlineLevel="0" collapsed="false">
      <c r="A365" s="6" t="s">
        <v>1175</v>
      </c>
      <c r="B365" s="6" t="s">
        <v>110</v>
      </c>
      <c r="C365" s="6" t="s">
        <v>98</v>
      </c>
      <c r="D365" s="6" t="s">
        <v>1062</v>
      </c>
      <c r="E365" s="6" t="s">
        <v>4152</v>
      </c>
      <c r="F365" s="6" t="s">
        <v>4285</v>
      </c>
      <c r="G365" s="6" t="s">
        <v>3651</v>
      </c>
      <c r="H365" s="6" t="s">
        <v>4286</v>
      </c>
      <c r="I365" s="6" t="n">
        <v>20</v>
      </c>
      <c r="J365" s="6"/>
      <c r="K365" s="6" t="s">
        <v>4287</v>
      </c>
      <c r="L365" s="7"/>
      <c r="M365" s="7"/>
    </row>
    <row r="366" customFormat="false" ht="15" hidden="false" customHeight="false" outlineLevel="0" collapsed="false">
      <c r="A366" s="6" t="s">
        <v>1175</v>
      </c>
      <c r="B366" s="6" t="s">
        <v>110</v>
      </c>
      <c r="C366" s="6" t="s">
        <v>98</v>
      </c>
      <c r="D366" s="6" t="s">
        <v>1062</v>
      </c>
      <c r="E366" s="6" t="s">
        <v>4152</v>
      </c>
      <c r="F366" s="6" t="s">
        <v>4285</v>
      </c>
      <c r="G366" s="6" t="s">
        <v>3654</v>
      </c>
      <c r="H366" s="6" t="s">
        <v>4288</v>
      </c>
      <c r="I366" s="6" t="n">
        <v>10</v>
      </c>
      <c r="J366" s="6"/>
      <c r="K366" s="6" t="s">
        <v>4289</v>
      </c>
      <c r="L366" s="7"/>
      <c r="M366" s="7"/>
    </row>
    <row r="367" customFormat="false" ht="15" hidden="false" customHeight="false" outlineLevel="0" collapsed="false">
      <c r="A367" s="6" t="s">
        <v>1175</v>
      </c>
      <c r="B367" s="6" t="s">
        <v>110</v>
      </c>
      <c r="C367" s="6" t="s">
        <v>98</v>
      </c>
      <c r="D367" s="6" t="s">
        <v>1062</v>
      </c>
      <c r="E367" s="6" t="s">
        <v>4152</v>
      </c>
      <c r="F367" s="6" t="s">
        <v>4285</v>
      </c>
      <c r="G367" s="6" t="s">
        <v>3657</v>
      </c>
      <c r="H367" s="6" t="s">
        <v>4290</v>
      </c>
      <c r="I367" s="6" t="n">
        <v>98</v>
      </c>
      <c r="J367" s="6" t="s">
        <v>83</v>
      </c>
      <c r="K367" s="6" t="s">
        <v>4291</v>
      </c>
      <c r="L367" s="7"/>
      <c r="M367" s="7"/>
    </row>
    <row r="368" customFormat="false" ht="23.85" hidden="false" customHeight="false" outlineLevel="0" collapsed="false">
      <c r="A368" s="6" t="s">
        <v>1198</v>
      </c>
      <c r="B368" s="6" t="s">
        <v>132</v>
      </c>
      <c r="C368" s="6" t="s">
        <v>165</v>
      </c>
      <c r="D368" s="6" t="s">
        <v>491</v>
      </c>
      <c r="E368" s="6" t="s">
        <v>4292</v>
      </c>
      <c r="F368" s="6" t="s">
        <v>1204</v>
      </c>
      <c r="G368" s="6"/>
      <c r="H368" s="6" t="s">
        <v>4293</v>
      </c>
      <c r="I368" s="6"/>
      <c r="J368" s="6" t="s">
        <v>83</v>
      </c>
      <c r="K368" s="6" t="s">
        <v>4294</v>
      </c>
      <c r="L368" s="7"/>
      <c r="M368" s="7"/>
    </row>
    <row r="369" customFormat="false" ht="23.85" hidden="false" customHeight="false" outlineLevel="0" collapsed="false">
      <c r="A369" s="6" t="s">
        <v>1198</v>
      </c>
      <c r="B369" s="6" t="s">
        <v>132</v>
      </c>
      <c r="C369" s="6" t="s">
        <v>165</v>
      </c>
      <c r="D369" s="6" t="s">
        <v>491</v>
      </c>
      <c r="E369" s="6" t="s">
        <v>4295</v>
      </c>
      <c r="F369" s="6" t="s">
        <v>1204</v>
      </c>
      <c r="G369" s="6"/>
      <c r="H369" s="6" t="s">
        <v>4296</v>
      </c>
      <c r="I369" s="6"/>
      <c r="J369" s="6" t="s">
        <v>83</v>
      </c>
      <c r="K369" s="6" t="s">
        <v>4297</v>
      </c>
      <c r="L369" s="7"/>
      <c r="M369" s="7"/>
    </row>
    <row r="370" customFormat="false" ht="23.85" hidden="false" customHeight="false" outlineLevel="0" collapsed="false">
      <c r="A370" s="6" t="s">
        <v>1198</v>
      </c>
      <c r="B370" s="6" t="s">
        <v>132</v>
      </c>
      <c r="C370" s="6" t="s">
        <v>165</v>
      </c>
      <c r="D370" s="6" t="s">
        <v>491</v>
      </c>
      <c r="E370" s="6" t="s">
        <v>4298</v>
      </c>
      <c r="F370" s="6" t="s">
        <v>1204</v>
      </c>
      <c r="G370" s="6"/>
      <c r="H370" s="6" t="s">
        <v>4299</v>
      </c>
      <c r="I370" s="6"/>
      <c r="J370" s="6" t="s">
        <v>83</v>
      </c>
      <c r="K370" s="6" t="s">
        <v>4300</v>
      </c>
      <c r="L370" s="7"/>
      <c r="M370" s="7"/>
    </row>
    <row r="371" customFormat="false" ht="23.85" hidden="false" customHeight="false" outlineLevel="0" collapsed="false">
      <c r="A371" s="6" t="s">
        <v>1198</v>
      </c>
      <c r="B371" s="6" t="s">
        <v>132</v>
      </c>
      <c r="C371" s="6" t="s">
        <v>165</v>
      </c>
      <c r="D371" s="6" t="s">
        <v>491</v>
      </c>
      <c r="E371" s="6" t="s">
        <v>4301</v>
      </c>
      <c r="F371" s="6" t="s">
        <v>1204</v>
      </c>
      <c r="G371" s="6"/>
      <c r="H371" s="6" t="s">
        <v>4302</v>
      </c>
      <c r="I371" s="6"/>
      <c r="J371" s="6" t="s">
        <v>83</v>
      </c>
      <c r="K371" s="6" t="s">
        <v>4303</v>
      </c>
      <c r="L371" s="7"/>
      <c r="M371" s="7"/>
    </row>
    <row r="372" customFormat="false" ht="23.85" hidden="false" customHeight="false" outlineLevel="0" collapsed="false">
      <c r="A372" s="6" t="s">
        <v>1207</v>
      </c>
      <c r="B372" s="6" t="s">
        <v>132</v>
      </c>
      <c r="C372" s="6" t="s">
        <v>165</v>
      </c>
      <c r="D372" s="6" t="s">
        <v>452</v>
      </c>
      <c r="E372" s="6"/>
      <c r="F372" s="6" t="s">
        <v>1216</v>
      </c>
      <c r="G372" s="6" t="s">
        <v>4304</v>
      </c>
      <c r="H372" s="6" t="s">
        <v>4305</v>
      </c>
      <c r="I372" s="6" t="n">
        <v>25</v>
      </c>
      <c r="J372" s="6" t="s">
        <v>83</v>
      </c>
      <c r="K372" s="6" t="s">
        <v>4306</v>
      </c>
      <c r="L372" s="7"/>
      <c r="M372" s="7"/>
    </row>
    <row r="373" customFormat="false" ht="23.85" hidden="false" customHeight="false" outlineLevel="0" collapsed="false">
      <c r="A373" s="6" t="s">
        <v>1207</v>
      </c>
      <c r="B373" s="6" t="s">
        <v>132</v>
      </c>
      <c r="C373" s="6" t="s">
        <v>165</v>
      </c>
      <c r="D373" s="6" t="s">
        <v>452</v>
      </c>
      <c r="E373" s="6"/>
      <c r="F373" s="6" t="s">
        <v>1216</v>
      </c>
      <c r="G373" s="6" t="s">
        <v>4256</v>
      </c>
      <c r="H373" s="6" t="s">
        <v>4307</v>
      </c>
      <c r="I373" s="6" t="n">
        <v>25</v>
      </c>
      <c r="J373" s="6" t="s">
        <v>83</v>
      </c>
      <c r="K373" s="6" t="s">
        <v>4308</v>
      </c>
      <c r="L373" s="7"/>
      <c r="M373" s="7"/>
    </row>
    <row r="374" customFormat="false" ht="23.85" hidden="false" customHeight="false" outlineLevel="0" collapsed="false">
      <c r="A374" s="6" t="s">
        <v>1207</v>
      </c>
      <c r="B374" s="6" t="s">
        <v>132</v>
      </c>
      <c r="C374" s="6" t="s">
        <v>165</v>
      </c>
      <c r="D374" s="6" t="s">
        <v>452</v>
      </c>
      <c r="E374" s="6"/>
      <c r="F374" s="6" t="s">
        <v>1216</v>
      </c>
      <c r="G374" s="6" t="s">
        <v>4309</v>
      </c>
      <c r="H374" s="6" t="s">
        <v>4310</v>
      </c>
      <c r="I374" s="6" t="n">
        <v>25</v>
      </c>
      <c r="J374" s="6" t="s">
        <v>83</v>
      </c>
      <c r="K374" s="6" t="s">
        <v>4311</v>
      </c>
      <c r="L374" s="7"/>
      <c r="M374" s="7"/>
    </row>
    <row r="375" customFormat="false" ht="23.85" hidden="false" customHeight="false" outlineLevel="0" collapsed="false">
      <c r="A375" s="6" t="s">
        <v>1207</v>
      </c>
      <c r="B375" s="6" t="s">
        <v>132</v>
      </c>
      <c r="C375" s="6" t="s">
        <v>165</v>
      </c>
      <c r="D375" s="6" t="s">
        <v>452</v>
      </c>
      <c r="E375" s="6"/>
      <c r="F375" s="6" t="s">
        <v>1216</v>
      </c>
      <c r="G375" s="6" t="s">
        <v>4312</v>
      </c>
      <c r="H375" s="6" t="s">
        <v>4313</v>
      </c>
      <c r="I375" s="6" t="n">
        <v>25</v>
      </c>
      <c r="J375" s="6" t="s">
        <v>83</v>
      </c>
      <c r="K375" s="6" t="s">
        <v>4314</v>
      </c>
      <c r="L375" s="7"/>
      <c r="M375" s="7"/>
    </row>
    <row r="376" customFormat="false" ht="23.85" hidden="false" customHeight="false" outlineLevel="0" collapsed="false">
      <c r="A376" s="6" t="s">
        <v>1207</v>
      </c>
      <c r="B376" s="6" t="s">
        <v>132</v>
      </c>
      <c r="C376" s="6" t="s">
        <v>165</v>
      </c>
      <c r="D376" s="6" t="s">
        <v>452</v>
      </c>
      <c r="E376" s="6"/>
      <c r="F376" s="6" t="s">
        <v>1216</v>
      </c>
      <c r="G376" s="6" t="s">
        <v>4315</v>
      </c>
      <c r="H376" s="6" t="s">
        <v>4316</v>
      </c>
      <c r="I376" s="6" t="n">
        <v>0</v>
      </c>
      <c r="J376" s="6"/>
      <c r="K376" s="6" t="s">
        <v>4317</v>
      </c>
      <c r="L376" s="7"/>
      <c r="M376" s="7"/>
    </row>
    <row r="377" customFormat="false" ht="23.85" hidden="false" customHeight="false" outlineLevel="0" collapsed="false">
      <c r="A377" s="6" t="s">
        <v>1229</v>
      </c>
      <c r="B377" s="6" t="s">
        <v>145</v>
      </c>
      <c r="C377" s="6" t="s">
        <v>165</v>
      </c>
      <c r="D377" s="6" t="s">
        <v>491</v>
      </c>
      <c r="E377" s="6" t="s">
        <v>4318</v>
      </c>
      <c r="F377" s="6" t="s">
        <v>1237</v>
      </c>
      <c r="G377" s="6"/>
      <c r="H377" s="6" t="s">
        <v>4319</v>
      </c>
      <c r="I377" s="6"/>
      <c r="J377" s="6" t="s">
        <v>83</v>
      </c>
      <c r="K377" s="6" t="s">
        <v>4320</v>
      </c>
      <c r="L377" s="7"/>
      <c r="M377" s="7"/>
    </row>
    <row r="378" customFormat="false" ht="23.85" hidden="false" customHeight="false" outlineLevel="0" collapsed="false">
      <c r="A378" s="6" t="s">
        <v>1229</v>
      </c>
      <c r="B378" s="6" t="s">
        <v>145</v>
      </c>
      <c r="C378" s="6" t="s">
        <v>165</v>
      </c>
      <c r="D378" s="6" t="s">
        <v>491</v>
      </c>
      <c r="E378" s="6" t="s">
        <v>4321</v>
      </c>
      <c r="F378" s="6" t="s">
        <v>1237</v>
      </c>
      <c r="G378" s="6"/>
      <c r="H378" s="6" t="s">
        <v>4322</v>
      </c>
      <c r="I378" s="6"/>
      <c r="J378" s="6" t="s">
        <v>83</v>
      </c>
      <c r="K378" s="6" t="s">
        <v>4323</v>
      </c>
      <c r="L378" s="7"/>
      <c r="M378" s="7"/>
    </row>
    <row r="379" customFormat="false" ht="23.85" hidden="false" customHeight="false" outlineLevel="0" collapsed="false">
      <c r="A379" s="6" t="s">
        <v>1229</v>
      </c>
      <c r="B379" s="6" t="s">
        <v>145</v>
      </c>
      <c r="C379" s="6" t="s">
        <v>165</v>
      </c>
      <c r="D379" s="6" t="s">
        <v>491</v>
      </c>
      <c r="E379" s="6" t="s">
        <v>4011</v>
      </c>
      <c r="F379" s="6" t="s">
        <v>1237</v>
      </c>
      <c r="G379" s="6"/>
      <c r="H379" s="6" t="s">
        <v>4324</v>
      </c>
      <c r="I379" s="6"/>
      <c r="J379" s="6" t="s">
        <v>83</v>
      </c>
      <c r="K379" s="6" t="s">
        <v>4325</v>
      </c>
      <c r="L379" s="7"/>
      <c r="M379" s="7"/>
    </row>
    <row r="380" customFormat="false" ht="23.85" hidden="false" customHeight="false" outlineLevel="0" collapsed="false">
      <c r="A380" s="6" t="s">
        <v>1229</v>
      </c>
      <c r="B380" s="6" t="s">
        <v>145</v>
      </c>
      <c r="C380" s="6" t="s">
        <v>165</v>
      </c>
      <c r="D380" s="6" t="s">
        <v>491</v>
      </c>
      <c r="E380" s="6" t="s">
        <v>4326</v>
      </c>
      <c r="F380" s="6" t="s">
        <v>1237</v>
      </c>
      <c r="G380" s="6"/>
      <c r="H380" s="6" t="s">
        <v>4327</v>
      </c>
      <c r="I380" s="6"/>
      <c r="J380" s="6" t="s">
        <v>83</v>
      </c>
      <c r="K380" s="6" t="s">
        <v>4328</v>
      </c>
      <c r="L380" s="7"/>
      <c r="M380" s="7"/>
    </row>
    <row r="381" customFormat="false" ht="23.85" hidden="false" customHeight="false" outlineLevel="0" collapsed="false">
      <c r="A381" s="6" t="s">
        <v>1240</v>
      </c>
      <c r="B381" s="6" t="s">
        <v>145</v>
      </c>
      <c r="C381" s="6" t="s">
        <v>165</v>
      </c>
      <c r="D381" s="6" t="s">
        <v>372</v>
      </c>
      <c r="E381" s="6"/>
      <c r="F381" s="6" t="s">
        <v>1247</v>
      </c>
      <c r="G381" s="6" t="s">
        <v>4329</v>
      </c>
      <c r="H381" s="6" t="s">
        <v>4330</v>
      </c>
      <c r="I381" s="6" t="n">
        <v>25</v>
      </c>
      <c r="J381" s="6" t="s">
        <v>83</v>
      </c>
      <c r="K381" s="6" t="s">
        <v>4331</v>
      </c>
      <c r="L381" s="7"/>
      <c r="M381" s="7"/>
    </row>
    <row r="382" customFormat="false" ht="23.85" hidden="false" customHeight="false" outlineLevel="0" collapsed="false">
      <c r="A382" s="6" t="s">
        <v>1240</v>
      </c>
      <c r="B382" s="6" t="s">
        <v>145</v>
      </c>
      <c r="C382" s="6" t="s">
        <v>165</v>
      </c>
      <c r="D382" s="6" t="s">
        <v>372</v>
      </c>
      <c r="E382" s="6"/>
      <c r="F382" s="6" t="s">
        <v>1247</v>
      </c>
      <c r="G382" s="6" t="s">
        <v>3878</v>
      </c>
      <c r="H382" s="6" t="s">
        <v>4332</v>
      </c>
      <c r="I382" s="6" t="n">
        <v>25</v>
      </c>
      <c r="J382" s="6" t="s">
        <v>83</v>
      </c>
      <c r="K382" s="6" t="s">
        <v>4333</v>
      </c>
      <c r="L382" s="7"/>
      <c r="M382" s="7"/>
    </row>
    <row r="383" customFormat="false" ht="23.85" hidden="false" customHeight="false" outlineLevel="0" collapsed="false">
      <c r="A383" s="6" t="s">
        <v>1240</v>
      </c>
      <c r="B383" s="6" t="s">
        <v>145</v>
      </c>
      <c r="C383" s="6" t="s">
        <v>165</v>
      </c>
      <c r="D383" s="6" t="s">
        <v>372</v>
      </c>
      <c r="E383" s="6"/>
      <c r="F383" s="6" t="s">
        <v>1247</v>
      </c>
      <c r="G383" s="6" t="s">
        <v>4051</v>
      </c>
      <c r="H383" s="6" t="s">
        <v>4334</v>
      </c>
      <c r="I383" s="6" t="n">
        <v>25</v>
      </c>
      <c r="J383" s="6" t="s">
        <v>83</v>
      </c>
      <c r="K383" s="6" t="s">
        <v>4335</v>
      </c>
      <c r="L383" s="7"/>
      <c r="M383" s="7"/>
    </row>
    <row r="384" customFormat="false" ht="23.85" hidden="false" customHeight="false" outlineLevel="0" collapsed="false">
      <c r="A384" s="6" t="s">
        <v>1240</v>
      </c>
      <c r="B384" s="6" t="s">
        <v>145</v>
      </c>
      <c r="C384" s="6" t="s">
        <v>165</v>
      </c>
      <c r="D384" s="6" t="s">
        <v>372</v>
      </c>
      <c r="E384" s="6"/>
      <c r="F384" s="6" t="s">
        <v>1247</v>
      </c>
      <c r="G384" s="6" t="s">
        <v>4215</v>
      </c>
      <c r="H384" s="6" t="s">
        <v>4336</v>
      </c>
      <c r="I384" s="6" t="n">
        <v>25</v>
      </c>
      <c r="J384" s="6" t="s">
        <v>83</v>
      </c>
      <c r="K384" s="6" t="s">
        <v>4337</v>
      </c>
      <c r="L384" s="7"/>
      <c r="M384" s="7"/>
    </row>
    <row r="385" customFormat="false" ht="23.85" hidden="false" customHeight="false" outlineLevel="0" collapsed="false">
      <c r="A385" s="6" t="s">
        <v>1240</v>
      </c>
      <c r="B385" s="6" t="s">
        <v>145</v>
      </c>
      <c r="C385" s="6" t="s">
        <v>165</v>
      </c>
      <c r="D385" s="6" t="s">
        <v>372</v>
      </c>
      <c r="E385" s="6"/>
      <c r="F385" s="6" t="s">
        <v>1247</v>
      </c>
      <c r="G385" s="6" t="s">
        <v>4338</v>
      </c>
      <c r="H385" s="6" t="s">
        <v>4339</v>
      </c>
      <c r="I385" s="6" t="n">
        <v>0</v>
      </c>
      <c r="J385" s="6"/>
      <c r="K385" s="6" t="s">
        <v>4340</v>
      </c>
      <c r="L385" s="7"/>
      <c r="M385" s="7"/>
    </row>
    <row r="386" customFormat="false" ht="23.85" hidden="false" customHeight="false" outlineLevel="0" collapsed="false">
      <c r="A386" s="6" t="s">
        <v>1251</v>
      </c>
      <c r="B386" s="6" t="s">
        <v>145</v>
      </c>
      <c r="C386" s="6" t="s">
        <v>98</v>
      </c>
      <c r="D386" s="6" t="s">
        <v>431</v>
      </c>
      <c r="E386" s="6" t="s">
        <v>432</v>
      </c>
      <c r="F386" s="6" t="s">
        <v>1259</v>
      </c>
      <c r="G386" s="6" t="s">
        <v>4341</v>
      </c>
      <c r="H386" s="6" t="s">
        <v>4342</v>
      </c>
      <c r="I386" s="6" t="n">
        <v>1</v>
      </c>
      <c r="J386" s="6" t="s">
        <v>3692</v>
      </c>
      <c r="K386" s="6"/>
      <c r="L386" s="7"/>
      <c r="M386" s="7"/>
    </row>
    <row r="387" customFormat="false" ht="23.85" hidden="false" customHeight="false" outlineLevel="0" collapsed="false">
      <c r="A387" s="6" t="s">
        <v>1251</v>
      </c>
      <c r="B387" s="6" t="s">
        <v>145</v>
      </c>
      <c r="C387" s="6" t="s">
        <v>98</v>
      </c>
      <c r="D387" s="6" t="s">
        <v>431</v>
      </c>
      <c r="E387" s="6" t="s">
        <v>432</v>
      </c>
      <c r="F387" s="6" t="s">
        <v>1259</v>
      </c>
      <c r="G387" s="6" t="s">
        <v>4070</v>
      </c>
      <c r="H387" s="6" t="s">
        <v>4343</v>
      </c>
      <c r="I387" s="6" t="n">
        <v>2</v>
      </c>
      <c r="J387" s="6" t="s">
        <v>3695</v>
      </c>
      <c r="K387" s="6"/>
      <c r="L387" s="7"/>
      <c r="M387" s="7"/>
    </row>
    <row r="388" customFormat="false" ht="23.85" hidden="false" customHeight="false" outlineLevel="0" collapsed="false">
      <c r="A388" s="6" t="s">
        <v>1251</v>
      </c>
      <c r="B388" s="6" t="s">
        <v>145</v>
      </c>
      <c r="C388" s="6" t="s">
        <v>98</v>
      </c>
      <c r="D388" s="6" t="s">
        <v>431</v>
      </c>
      <c r="E388" s="6" t="s">
        <v>432</v>
      </c>
      <c r="F388" s="6" t="s">
        <v>1259</v>
      </c>
      <c r="G388" s="6" t="s">
        <v>3733</v>
      </c>
      <c r="H388" s="6" t="s">
        <v>4344</v>
      </c>
      <c r="I388" s="6" t="n">
        <v>3</v>
      </c>
      <c r="J388" s="6" t="s">
        <v>3698</v>
      </c>
      <c r="K388" s="6"/>
      <c r="L388" s="7"/>
      <c r="M388" s="7"/>
    </row>
    <row r="389" customFormat="false" ht="23.85" hidden="false" customHeight="false" outlineLevel="0" collapsed="false">
      <c r="A389" s="6" t="s">
        <v>1251</v>
      </c>
      <c r="B389" s="6" t="s">
        <v>145</v>
      </c>
      <c r="C389" s="6" t="s">
        <v>98</v>
      </c>
      <c r="D389" s="6" t="s">
        <v>431</v>
      </c>
      <c r="E389" s="6" t="s">
        <v>432</v>
      </c>
      <c r="F389" s="6" t="s">
        <v>1259</v>
      </c>
      <c r="G389" s="6" t="s">
        <v>4345</v>
      </c>
      <c r="H389" s="6" t="s">
        <v>4346</v>
      </c>
      <c r="I389" s="6" t="n">
        <v>4</v>
      </c>
      <c r="J389" s="6" t="s">
        <v>3701</v>
      </c>
      <c r="K389" s="6"/>
      <c r="L389" s="7"/>
      <c r="M389" s="7"/>
    </row>
    <row r="390" customFormat="false" ht="23.85" hidden="false" customHeight="false" outlineLevel="0" collapsed="false">
      <c r="A390" s="6" t="s">
        <v>1251</v>
      </c>
      <c r="B390" s="6" t="s">
        <v>145</v>
      </c>
      <c r="C390" s="6" t="s">
        <v>98</v>
      </c>
      <c r="D390" s="6" t="s">
        <v>431</v>
      </c>
      <c r="E390" s="6" t="s">
        <v>432</v>
      </c>
      <c r="F390" s="6" t="s">
        <v>1259</v>
      </c>
      <c r="G390" s="6" t="s">
        <v>4018</v>
      </c>
      <c r="H390" s="6" t="s">
        <v>4347</v>
      </c>
      <c r="I390" s="6" t="n">
        <v>5</v>
      </c>
      <c r="J390" s="6" t="s">
        <v>3866</v>
      </c>
      <c r="K390" s="6"/>
      <c r="L390" s="7"/>
      <c r="M390" s="7"/>
    </row>
    <row r="391" customFormat="false" ht="35.05" hidden="false" customHeight="false" outlineLevel="0" collapsed="false">
      <c r="A391" s="6" t="s">
        <v>1262</v>
      </c>
      <c r="B391" s="6" t="s">
        <v>123</v>
      </c>
      <c r="C391" s="6" t="s">
        <v>98</v>
      </c>
      <c r="D391" s="6" t="s">
        <v>491</v>
      </c>
      <c r="E391" s="6" t="s">
        <v>4348</v>
      </c>
      <c r="F391" s="6" t="s">
        <v>1270</v>
      </c>
      <c r="G391" s="6"/>
      <c r="H391" s="6" t="s">
        <v>4349</v>
      </c>
      <c r="I391" s="6"/>
      <c r="J391" s="6" t="s">
        <v>83</v>
      </c>
      <c r="K391" s="6" t="s">
        <v>4350</v>
      </c>
      <c r="L391" s="7"/>
      <c r="M391" s="7"/>
    </row>
    <row r="392" customFormat="false" ht="35.05" hidden="false" customHeight="false" outlineLevel="0" collapsed="false">
      <c r="A392" s="6" t="s">
        <v>1262</v>
      </c>
      <c r="B392" s="6" t="s">
        <v>123</v>
      </c>
      <c r="C392" s="6" t="s">
        <v>98</v>
      </c>
      <c r="D392" s="6" t="s">
        <v>491</v>
      </c>
      <c r="E392" s="6" t="s">
        <v>4351</v>
      </c>
      <c r="F392" s="6" t="s">
        <v>1270</v>
      </c>
      <c r="G392" s="6"/>
      <c r="H392" s="6" t="s">
        <v>4352</v>
      </c>
      <c r="I392" s="6"/>
      <c r="J392" s="6" t="s">
        <v>83</v>
      </c>
      <c r="K392" s="6" t="s">
        <v>4353</v>
      </c>
      <c r="L392" s="7"/>
      <c r="M392" s="7"/>
    </row>
    <row r="393" customFormat="false" ht="35.05" hidden="false" customHeight="false" outlineLevel="0" collapsed="false">
      <c r="A393" s="6" t="s">
        <v>1262</v>
      </c>
      <c r="B393" s="6" t="s">
        <v>123</v>
      </c>
      <c r="C393" s="6" t="s">
        <v>98</v>
      </c>
      <c r="D393" s="6" t="s">
        <v>491</v>
      </c>
      <c r="E393" s="6" t="s">
        <v>4103</v>
      </c>
      <c r="F393" s="6" t="s">
        <v>1270</v>
      </c>
      <c r="G393" s="6"/>
      <c r="H393" s="6" t="s">
        <v>4354</v>
      </c>
      <c r="I393" s="6"/>
      <c r="J393" s="6" t="s">
        <v>83</v>
      </c>
      <c r="K393" s="6" t="s">
        <v>4355</v>
      </c>
      <c r="L393" s="7"/>
      <c r="M393" s="7"/>
    </row>
    <row r="394" customFormat="false" ht="23.85" hidden="false" customHeight="false" outlineLevel="0" collapsed="false">
      <c r="A394" s="6" t="s">
        <v>1262</v>
      </c>
      <c r="B394" s="6" t="s">
        <v>123</v>
      </c>
      <c r="C394" s="6" t="s">
        <v>98</v>
      </c>
      <c r="D394" s="6" t="s">
        <v>491</v>
      </c>
      <c r="E394" s="6" t="s">
        <v>3831</v>
      </c>
      <c r="F394" s="6" t="s">
        <v>1270</v>
      </c>
      <c r="G394" s="6"/>
      <c r="H394" s="6" t="s">
        <v>4356</v>
      </c>
      <c r="I394" s="6"/>
      <c r="J394" s="6" t="s">
        <v>83</v>
      </c>
      <c r="K394" s="6" t="s">
        <v>4357</v>
      </c>
      <c r="L394" s="7"/>
      <c r="M394" s="7"/>
    </row>
    <row r="395" customFormat="false" ht="23.85" hidden="false" customHeight="false" outlineLevel="0" collapsed="false">
      <c r="A395" s="6" t="s">
        <v>1273</v>
      </c>
      <c r="B395" s="6" t="s">
        <v>77</v>
      </c>
      <c r="C395" s="6" t="s">
        <v>165</v>
      </c>
      <c r="D395" s="6" t="s">
        <v>431</v>
      </c>
      <c r="E395" s="6" t="s">
        <v>432</v>
      </c>
      <c r="F395" s="6" t="s">
        <v>1281</v>
      </c>
      <c r="G395" s="6" t="s">
        <v>4358</v>
      </c>
      <c r="H395" s="6" t="s">
        <v>4359</v>
      </c>
      <c r="I395" s="6" t="n">
        <v>1</v>
      </c>
      <c r="J395" s="6" t="s">
        <v>3692</v>
      </c>
      <c r="K395" s="6"/>
      <c r="L395" s="7"/>
      <c r="M395" s="7"/>
    </row>
    <row r="396" customFormat="false" ht="23.85" hidden="false" customHeight="false" outlineLevel="0" collapsed="false">
      <c r="A396" s="6" t="s">
        <v>1273</v>
      </c>
      <c r="B396" s="6" t="s">
        <v>77</v>
      </c>
      <c r="C396" s="6" t="s">
        <v>165</v>
      </c>
      <c r="D396" s="6" t="s">
        <v>431</v>
      </c>
      <c r="E396" s="6" t="s">
        <v>432</v>
      </c>
      <c r="F396" s="6" t="s">
        <v>1281</v>
      </c>
      <c r="G396" s="6" t="s">
        <v>4360</v>
      </c>
      <c r="H396" s="6" t="s">
        <v>4361</v>
      </c>
      <c r="I396" s="6" t="n">
        <v>2</v>
      </c>
      <c r="J396" s="6" t="s">
        <v>3695</v>
      </c>
      <c r="K396" s="6"/>
      <c r="L396" s="7"/>
      <c r="M396" s="7"/>
    </row>
    <row r="397" customFormat="false" ht="23.85" hidden="false" customHeight="false" outlineLevel="0" collapsed="false">
      <c r="A397" s="6" t="s">
        <v>1273</v>
      </c>
      <c r="B397" s="6" t="s">
        <v>77</v>
      </c>
      <c r="C397" s="6" t="s">
        <v>165</v>
      </c>
      <c r="D397" s="6" t="s">
        <v>431</v>
      </c>
      <c r="E397" s="6" t="s">
        <v>432</v>
      </c>
      <c r="F397" s="6" t="s">
        <v>1281</v>
      </c>
      <c r="G397" s="6" t="s">
        <v>3696</v>
      </c>
      <c r="H397" s="6" t="s">
        <v>4362</v>
      </c>
      <c r="I397" s="6" t="n">
        <v>3</v>
      </c>
      <c r="J397" s="6" t="s">
        <v>3698</v>
      </c>
      <c r="K397" s="6"/>
      <c r="L397" s="7"/>
      <c r="M397" s="7"/>
    </row>
    <row r="398" customFormat="false" ht="23.85" hidden="false" customHeight="false" outlineLevel="0" collapsed="false">
      <c r="A398" s="6" t="s">
        <v>1273</v>
      </c>
      <c r="B398" s="6" t="s">
        <v>77</v>
      </c>
      <c r="C398" s="6" t="s">
        <v>165</v>
      </c>
      <c r="D398" s="6" t="s">
        <v>431</v>
      </c>
      <c r="E398" s="6" t="s">
        <v>432</v>
      </c>
      <c r="F398" s="6" t="s">
        <v>1281</v>
      </c>
      <c r="G398" s="6" t="s">
        <v>3699</v>
      </c>
      <c r="H398" s="6" t="s">
        <v>4363</v>
      </c>
      <c r="I398" s="6" t="n">
        <v>4</v>
      </c>
      <c r="J398" s="6" t="s">
        <v>3701</v>
      </c>
      <c r="K398" s="6"/>
      <c r="L398" s="7"/>
      <c r="M398" s="7"/>
    </row>
    <row r="399" customFormat="false" ht="23.85" hidden="false" customHeight="false" outlineLevel="0" collapsed="false">
      <c r="A399" s="6" t="s">
        <v>1273</v>
      </c>
      <c r="B399" s="6" t="s">
        <v>77</v>
      </c>
      <c r="C399" s="6" t="s">
        <v>165</v>
      </c>
      <c r="D399" s="6" t="s">
        <v>431</v>
      </c>
      <c r="E399" s="6" t="s">
        <v>432</v>
      </c>
      <c r="F399" s="6" t="s">
        <v>1281</v>
      </c>
      <c r="G399" s="6" t="s">
        <v>4364</v>
      </c>
      <c r="H399" s="6" t="s">
        <v>4365</v>
      </c>
      <c r="I399" s="6" t="n">
        <v>5</v>
      </c>
      <c r="J399" s="6" t="s">
        <v>3866</v>
      </c>
      <c r="K399" s="6"/>
      <c r="L399" s="7"/>
      <c r="M399" s="7"/>
    </row>
    <row r="400" customFormat="false" ht="23.85" hidden="false" customHeight="false" outlineLevel="0" collapsed="false">
      <c r="A400" s="6" t="s">
        <v>1284</v>
      </c>
      <c r="B400" s="6" t="s">
        <v>96</v>
      </c>
      <c r="C400" s="6" t="s">
        <v>165</v>
      </c>
      <c r="D400" s="6" t="s">
        <v>781</v>
      </c>
      <c r="E400" s="6"/>
      <c r="F400" s="6" t="s">
        <v>1291</v>
      </c>
      <c r="G400" s="6" t="s">
        <v>4366</v>
      </c>
      <c r="H400" s="6" t="s">
        <v>4367</v>
      </c>
      <c r="I400" s="6" t="n">
        <v>25</v>
      </c>
      <c r="J400" s="6" t="s">
        <v>83</v>
      </c>
      <c r="K400" s="6" t="s">
        <v>4368</v>
      </c>
      <c r="L400" s="7"/>
      <c r="M400" s="7"/>
    </row>
    <row r="401" customFormat="false" ht="23.85" hidden="false" customHeight="false" outlineLevel="0" collapsed="false">
      <c r="A401" s="6" t="s">
        <v>1284</v>
      </c>
      <c r="B401" s="6" t="s">
        <v>96</v>
      </c>
      <c r="C401" s="6" t="s">
        <v>165</v>
      </c>
      <c r="D401" s="6" t="s">
        <v>781</v>
      </c>
      <c r="E401" s="6"/>
      <c r="F401" s="6" t="s">
        <v>1291</v>
      </c>
      <c r="G401" s="6" t="s">
        <v>4228</v>
      </c>
      <c r="H401" s="6" t="s">
        <v>4369</v>
      </c>
      <c r="I401" s="6" t="n">
        <v>25</v>
      </c>
      <c r="J401" s="6" t="s">
        <v>83</v>
      </c>
      <c r="K401" s="6" t="s">
        <v>4370</v>
      </c>
      <c r="L401" s="7"/>
      <c r="M401" s="7"/>
    </row>
    <row r="402" customFormat="false" ht="23.85" hidden="false" customHeight="false" outlineLevel="0" collapsed="false">
      <c r="A402" s="6" t="s">
        <v>1284</v>
      </c>
      <c r="B402" s="6" t="s">
        <v>96</v>
      </c>
      <c r="C402" s="6" t="s">
        <v>165</v>
      </c>
      <c r="D402" s="6" t="s">
        <v>781</v>
      </c>
      <c r="E402" s="6"/>
      <c r="F402" s="6" t="s">
        <v>1291</v>
      </c>
      <c r="G402" s="6" t="s">
        <v>4371</v>
      </c>
      <c r="H402" s="6" t="s">
        <v>4372</v>
      </c>
      <c r="I402" s="6" t="n">
        <v>25</v>
      </c>
      <c r="J402" s="6" t="s">
        <v>83</v>
      </c>
      <c r="K402" s="6" t="s">
        <v>4373</v>
      </c>
      <c r="L402" s="7"/>
      <c r="M402" s="7"/>
    </row>
    <row r="403" customFormat="false" ht="23.85" hidden="false" customHeight="false" outlineLevel="0" collapsed="false">
      <c r="A403" s="6" t="s">
        <v>1284</v>
      </c>
      <c r="B403" s="6" t="s">
        <v>96</v>
      </c>
      <c r="C403" s="6" t="s">
        <v>165</v>
      </c>
      <c r="D403" s="6" t="s">
        <v>781</v>
      </c>
      <c r="E403" s="6"/>
      <c r="F403" s="6" t="s">
        <v>1291</v>
      </c>
      <c r="G403" s="6" t="s">
        <v>4374</v>
      </c>
      <c r="H403" s="6" t="s">
        <v>4375</v>
      </c>
      <c r="I403" s="6" t="n">
        <v>25</v>
      </c>
      <c r="J403" s="6" t="s">
        <v>83</v>
      </c>
      <c r="K403" s="6" t="s">
        <v>4376</v>
      </c>
      <c r="L403" s="7"/>
      <c r="M403" s="7"/>
    </row>
    <row r="404" customFormat="false" ht="23.85" hidden="false" customHeight="false" outlineLevel="0" collapsed="false">
      <c r="A404" s="6" t="s">
        <v>1284</v>
      </c>
      <c r="B404" s="6" t="s">
        <v>96</v>
      </c>
      <c r="C404" s="6" t="s">
        <v>165</v>
      </c>
      <c r="D404" s="6" t="s">
        <v>781</v>
      </c>
      <c r="E404" s="6"/>
      <c r="F404" s="6" t="s">
        <v>1291</v>
      </c>
      <c r="G404" s="6" t="s">
        <v>3958</v>
      </c>
      <c r="H404" s="6" t="s">
        <v>4377</v>
      </c>
      <c r="I404" s="6" t="n">
        <v>0</v>
      </c>
      <c r="J404" s="6"/>
      <c r="K404" s="6" t="s">
        <v>4378</v>
      </c>
      <c r="L404" s="7"/>
      <c r="M404" s="7"/>
    </row>
    <row r="405" customFormat="false" ht="23.85" hidden="false" customHeight="false" outlineLevel="0" collapsed="false">
      <c r="A405" s="6" t="s">
        <v>1308</v>
      </c>
      <c r="B405" s="6" t="s">
        <v>123</v>
      </c>
      <c r="C405" s="6" t="s">
        <v>79</v>
      </c>
      <c r="D405" s="6" t="s">
        <v>372</v>
      </c>
      <c r="E405" s="6"/>
      <c r="F405" s="6" t="s">
        <v>1314</v>
      </c>
      <c r="G405" s="6" t="s">
        <v>4379</v>
      </c>
      <c r="H405" s="6" t="s">
        <v>4380</v>
      </c>
      <c r="I405" s="6" t="n">
        <v>25</v>
      </c>
      <c r="J405" s="6" t="s">
        <v>83</v>
      </c>
      <c r="K405" s="6" t="s">
        <v>4381</v>
      </c>
      <c r="L405" s="7"/>
      <c r="M405" s="7"/>
    </row>
    <row r="406" customFormat="false" ht="23.85" hidden="false" customHeight="false" outlineLevel="0" collapsed="false">
      <c r="A406" s="6" t="s">
        <v>1308</v>
      </c>
      <c r="B406" s="6" t="s">
        <v>123</v>
      </c>
      <c r="C406" s="6" t="s">
        <v>79</v>
      </c>
      <c r="D406" s="6" t="s">
        <v>372</v>
      </c>
      <c r="E406" s="6"/>
      <c r="F406" s="6" t="s">
        <v>1314</v>
      </c>
      <c r="G406" s="6" t="s">
        <v>4382</v>
      </c>
      <c r="H406" s="6" t="s">
        <v>4383</v>
      </c>
      <c r="I406" s="6" t="n">
        <v>25</v>
      </c>
      <c r="J406" s="6" t="s">
        <v>83</v>
      </c>
      <c r="K406" s="6" t="s">
        <v>4384</v>
      </c>
      <c r="L406" s="7"/>
      <c r="M406" s="7"/>
    </row>
    <row r="407" customFormat="false" ht="23.85" hidden="false" customHeight="false" outlineLevel="0" collapsed="false">
      <c r="A407" s="6" t="s">
        <v>1308</v>
      </c>
      <c r="B407" s="6" t="s">
        <v>123</v>
      </c>
      <c r="C407" s="6" t="s">
        <v>79</v>
      </c>
      <c r="D407" s="6" t="s">
        <v>372</v>
      </c>
      <c r="E407" s="6"/>
      <c r="F407" s="6" t="s">
        <v>1314</v>
      </c>
      <c r="G407" s="6" t="s">
        <v>4385</v>
      </c>
      <c r="H407" s="6" t="s">
        <v>4386</v>
      </c>
      <c r="I407" s="6" t="n">
        <v>25</v>
      </c>
      <c r="J407" s="6" t="s">
        <v>83</v>
      </c>
      <c r="K407" s="6" t="s">
        <v>4387</v>
      </c>
      <c r="L407" s="7"/>
      <c r="M407" s="7"/>
    </row>
    <row r="408" customFormat="false" ht="23.85" hidden="false" customHeight="false" outlineLevel="0" collapsed="false">
      <c r="A408" s="6" t="s">
        <v>1308</v>
      </c>
      <c r="B408" s="6" t="s">
        <v>123</v>
      </c>
      <c r="C408" s="6" t="s">
        <v>79</v>
      </c>
      <c r="D408" s="6" t="s">
        <v>372</v>
      </c>
      <c r="E408" s="6"/>
      <c r="F408" s="6" t="s">
        <v>1314</v>
      </c>
      <c r="G408" s="6" t="s">
        <v>4234</v>
      </c>
      <c r="H408" s="6" t="s">
        <v>4388</v>
      </c>
      <c r="I408" s="6" t="n">
        <v>25</v>
      </c>
      <c r="J408" s="6" t="s">
        <v>83</v>
      </c>
      <c r="K408" s="6" t="s">
        <v>4389</v>
      </c>
      <c r="L408" s="7"/>
      <c r="M408" s="7"/>
    </row>
    <row r="409" customFormat="false" ht="23.85" hidden="false" customHeight="false" outlineLevel="0" collapsed="false">
      <c r="A409" s="6" t="s">
        <v>1308</v>
      </c>
      <c r="B409" s="6" t="s">
        <v>123</v>
      </c>
      <c r="C409" s="6" t="s">
        <v>79</v>
      </c>
      <c r="D409" s="6" t="s">
        <v>372</v>
      </c>
      <c r="E409" s="6"/>
      <c r="F409" s="6" t="s">
        <v>1314</v>
      </c>
      <c r="G409" s="6" t="s">
        <v>4390</v>
      </c>
      <c r="H409" s="6" t="s">
        <v>4391</v>
      </c>
      <c r="I409" s="6" t="n">
        <v>0</v>
      </c>
      <c r="J409" s="6"/>
      <c r="K409" s="6" t="s">
        <v>4392</v>
      </c>
      <c r="L409" s="7"/>
      <c r="M409" s="7"/>
    </row>
    <row r="410" customFormat="false" ht="23.85" hidden="false" customHeight="false" outlineLevel="0" collapsed="false">
      <c r="A410" s="6" t="s">
        <v>1318</v>
      </c>
      <c r="B410" s="6" t="s">
        <v>77</v>
      </c>
      <c r="C410" s="6" t="s">
        <v>98</v>
      </c>
      <c r="D410" s="6" t="s">
        <v>372</v>
      </c>
      <c r="E410" s="6"/>
      <c r="F410" s="6" t="s">
        <v>1324</v>
      </c>
      <c r="G410" s="6" t="s">
        <v>4393</v>
      </c>
      <c r="H410" s="6" t="s">
        <v>4394</v>
      </c>
      <c r="I410" s="6" t="n">
        <v>25</v>
      </c>
      <c r="J410" s="6" t="s">
        <v>83</v>
      </c>
      <c r="K410" s="6" t="s">
        <v>4395</v>
      </c>
      <c r="L410" s="7"/>
      <c r="M410" s="7"/>
    </row>
    <row r="411" customFormat="false" ht="23.85" hidden="false" customHeight="false" outlineLevel="0" collapsed="false">
      <c r="A411" s="6" t="s">
        <v>1318</v>
      </c>
      <c r="B411" s="6" t="s">
        <v>77</v>
      </c>
      <c r="C411" s="6" t="s">
        <v>98</v>
      </c>
      <c r="D411" s="6" t="s">
        <v>372</v>
      </c>
      <c r="E411" s="6"/>
      <c r="F411" s="6" t="s">
        <v>1324</v>
      </c>
      <c r="G411" s="6" t="s">
        <v>4396</v>
      </c>
      <c r="H411" s="6" t="s">
        <v>4397</v>
      </c>
      <c r="I411" s="6" t="n">
        <v>25</v>
      </c>
      <c r="J411" s="6" t="s">
        <v>83</v>
      </c>
      <c r="K411" s="6" t="s">
        <v>4398</v>
      </c>
      <c r="L411" s="7"/>
      <c r="M411" s="7"/>
    </row>
    <row r="412" customFormat="false" ht="23.85" hidden="false" customHeight="false" outlineLevel="0" collapsed="false">
      <c r="A412" s="6" t="s">
        <v>1318</v>
      </c>
      <c r="B412" s="6" t="s">
        <v>77</v>
      </c>
      <c r="C412" s="6" t="s">
        <v>98</v>
      </c>
      <c r="D412" s="6" t="s">
        <v>372</v>
      </c>
      <c r="E412" s="6"/>
      <c r="F412" s="6" t="s">
        <v>1324</v>
      </c>
      <c r="G412" s="6" t="s">
        <v>3881</v>
      </c>
      <c r="H412" s="6" t="s">
        <v>4399</v>
      </c>
      <c r="I412" s="6" t="n">
        <v>25</v>
      </c>
      <c r="J412" s="6" t="s">
        <v>83</v>
      </c>
      <c r="K412" s="6" t="s">
        <v>4400</v>
      </c>
      <c r="L412" s="7"/>
      <c r="M412" s="7"/>
    </row>
    <row r="413" customFormat="false" ht="23.85" hidden="false" customHeight="false" outlineLevel="0" collapsed="false">
      <c r="A413" s="6" t="s">
        <v>1318</v>
      </c>
      <c r="B413" s="6" t="s">
        <v>77</v>
      </c>
      <c r="C413" s="6" t="s">
        <v>98</v>
      </c>
      <c r="D413" s="6" t="s">
        <v>372</v>
      </c>
      <c r="E413" s="6"/>
      <c r="F413" s="6" t="s">
        <v>1324</v>
      </c>
      <c r="G413" s="6" t="s">
        <v>3731</v>
      </c>
      <c r="H413" s="6" t="s">
        <v>4401</v>
      </c>
      <c r="I413" s="6" t="n">
        <v>25</v>
      </c>
      <c r="J413" s="6" t="s">
        <v>83</v>
      </c>
      <c r="K413" s="6" t="s">
        <v>4402</v>
      </c>
      <c r="L413" s="7"/>
      <c r="M413" s="7"/>
    </row>
    <row r="414" customFormat="false" ht="23.85" hidden="false" customHeight="false" outlineLevel="0" collapsed="false">
      <c r="A414" s="6" t="s">
        <v>1318</v>
      </c>
      <c r="B414" s="6" t="s">
        <v>77</v>
      </c>
      <c r="C414" s="6" t="s">
        <v>98</v>
      </c>
      <c r="D414" s="6" t="s">
        <v>372</v>
      </c>
      <c r="E414" s="6"/>
      <c r="F414" s="6" t="s">
        <v>1324</v>
      </c>
      <c r="G414" s="6" t="s">
        <v>4403</v>
      </c>
      <c r="H414" s="6" t="s">
        <v>4404</v>
      </c>
      <c r="I414" s="6" t="n">
        <v>0</v>
      </c>
      <c r="J414" s="6"/>
      <c r="K414" s="6" t="s">
        <v>4405</v>
      </c>
      <c r="L414" s="7"/>
      <c r="M414" s="7"/>
    </row>
    <row r="415" customFormat="false" ht="35.05" hidden="false" customHeight="false" outlineLevel="0" collapsed="false">
      <c r="A415" s="6" t="s">
        <v>1328</v>
      </c>
      <c r="B415" s="6" t="s">
        <v>123</v>
      </c>
      <c r="C415" s="6" t="s">
        <v>79</v>
      </c>
      <c r="D415" s="6" t="s">
        <v>1330</v>
      </c>
      <c r="E415" s="6"/>
      <c r="F415" s="6" t="s">
        <v>1335</v>
      </c>
      <c r="G415" s="6" t="s">
        <v>4406</v>
      </c>
      <c r="H415" s="6" t="s">
        <v>4407</v>
      </c>
      <c r="I415" s="6" t="n">
        <v>96</v>
      </c>
      <c r="J415" s="6" t="s">
        <v>83</v>
      </c>
      <c r="K415" s="6" t="s">
        <v>4408</v>
      </c>
      <c r="L415" s="7"/>
      <c r="M415" s="7"/>
    </row>
    <row r="416" customFormat="false" ht="35.05" hidden="false" customHeight="false" outlineLevel="0" collapsed="false">
      <c r="A416" s="6" t="s">
        <v>1328</v>
      </c>
      <c r="B416" s="6" t="s">
        <v>123</v>
      </c>
      <c r="C416" s="6" t="s">
        <v>79</v>
      </c>
      <c r="D416" s="6" t="s">
        <v>1330</v>
      </c>
      <c r="E416" s="6"/>
      <c r="F416" s="6" t="s">
        <v>1335</v>
      </c>
      <c r="G416" s="6" t="s">
        <v>4409</v>
      </c>
      <c r="H416" s="6" t="s">
        <v>4410</v>
      </c>
      <c r="I416" s="6" t="n">
        <v>60</v>
      </c>
      <c r="J416" s="6"/>
      <c r="K416" s="6" t="s">
        <v>4411</v>
      </c>
      <c r="L416" s="7"/>
      <c r="M416" s="7"/>
    </row>
    <row r="417" customFormat="false" ht="35.05" hidden="false" customHeight="false" outlineLevel="0" collapsed="false">
      <c r="A417" s="6" t="s">
        <v>1328</v>
      </c>
      <c r="B417" s="6" t="s">
        <v>123</v>
      </c>
      <c r="C417" s="6" t="s">
        <v>79</v>
      </c>
      <c r="D417" s="6" t="s">
        <v>1330</v>
      </c>
      <c r="E417" s="6"/>
      <c r="F417" s="6" t="s">
        <v>1335</v>
      </c>
      <c r="G417" s="6" t="s">
        <v>4412</v>
      </c>
      <c r="H417" s="6" t="s">
        <v>4413</v>
      </c>
      <c r="I417" s="6" t="n">
        <v>28</v>
      </c>
      <c r="J417" s="6"/>
      <c r="K417" s="6" t="s">
        <v>4414</v>
      </c>
      <c r="L417" s="7"/>
      <c r="M417" s="7"/>
    </row>
    <row r="418" customFormat="false" ht="35.05" hidden="false" customHeight="false" outlineLevel="0" collapsed="false">
      <c r="A418" s="6" t="s">
        <v>1328</v>
      </c>
      <c r="B418" s="6" t="s">
        <v>123</v>
      </c>
      <c r="C418" s="6" t="s">
        <v>79</v>
      </c>
      <c r="D418" s="6" t="s">
        <v>1330</v>
      </c>
      <c r="E418" s="6"/>
      <c r="F418" s="6" t="s">
        <v>1335</v>
      </c>
      <c r="G418" s="6" t="s">
        <v>4415</v>
      </c>
      <c r="H418" s="6" t="s">
        <v>4416</v>
      </c>
      <c r="I418" s="6" t="n">
        <v>18</v>
      </c>
      <c r="J418" s="6"/>
      <c r="K418" s="6" t="s">
        <v>4417</v>
      </c>
      <c r="L418" s="7"/>
      <c r="M418" s="7"/>
    </row>
    <row r="419" customFormat="false" ht="23.85" hidden="false" customHeight="false" outlineLevel="0" collapsed="false">
      <c r="A419" s="6" t="s">
        <v>1339</v>
      </c>
      <c r="B419" s="6" t="s">
        <v>123</v>
      </c>
      <c r="C419" s="6" t="s">
        <v>98</v>
      </c>
      <c r="D419" s="6" t="s">
        <v>1330</v>
      </c>
      <c r="E419" s="6"/>
      <c r="F419" s="6" t="s">
        <v>1341</v>
      </c>
      <c r="G419" s="6" t="s">
        <v>4406</v>
      </c>
      <c r="H419" s="6" t="s">
        <v>4418</v>
      </c>
      <c r="I419" s="6" t="n">
        <v>96</v>
      </c>
      <c r="J419" s="6" t="s">
        <v>83</v>
      </c>
      <c r="K419" s="6" t="s">
        <v>4419</v>
      </c>
      <c r="L419" s="7"/>
      <c r="M419" s="7"/>
    </row>
    <row r="420" customFormat="false" ht="23.85" hidden="false" customHeight="false" outlineLevel="0" collapsed="false">
      <c r="A420" s="6" t="s">
        <v>1339</v>
      </c>
      <c r="B420" s="6" t="s">
        <v>123</v>
      </c>
      <c r="C420" s="6" t="s">
        <v>98</v>
      </c>
      <c r="D420" s="6" t="s">
        <v>1330</v>
      </c>
      <c r="E420" s="6"/>
      <c r="F420" s="6" t="s">
        <v>1341</v>
      </c>
      <c r="G420" s="6" t="s">
        <v>4409</v>
      </c>
      <c r="H420" s="6" t="s">
        <v>4420</v>
      </c>
      <c r="I420" s="6" t="n">
        <v>58</v>
      </c>
      <c r="J420" s="6"/>
      <c r="K420" s="6" t="s">
        <v>4411</v>
      </c>
      <c r="L420" s="7"/>
      <c r="M420" s="7"/>
    </row>
    <row r="421" customFormat="false" ht="23.85" hidden="false" customHeight="false" outlineLevel="0" collapsed="false">
      <c r="A421" s="6" t="s">
        <v>1339</v>
      </c>
      <c r="B421" s="6" t="s">
        <v>123</v>
      </c>
      <c r="C421" s="6" t="s">
        <v>98</v>
      </c>
      <c r="D421" s="6" t="s">
        <v>1330</v>
      </c>
      <c r="E421" s="6"/>
      <c r="F421" s="6" t="s">
        <v>1341</v>
      </c>
      <c r="G421" s="6" t="s">
        <v>4412</v>
      </c>
      <c r="H421" s="6" t="s">
        <v>4421</v>
      </c>
      <c r="I421" s="6" t="n">
        <v>28</v>
      </c>
      <c r="J421" s="6"/>
      <c r="K421" s="6" t="s">
        <v>4414</v>
      </c>
      <c r="L421" s="7"/>
      <c r="M421" s="7"/>
    </row>
    <row r="422" customFormat="false" ht="23.85" hidden="false" customHeight="false" outlineLevel="0" collapsed="false">
      <c r="A422" s="6" t="s">
        <v>1339</v>
      </c>
      <c r="B422" s="6" t="s">
        <v>123</v>
      </c>
      <c r="C422" s="6" t="s">
        <v>98</v>
      </c>
      <c r="D422" s="6" t="s">
        <v>1330</v>
      </c>
      <c r="E422" s="6"/>
      <c r="F422" s="6" t="s">
        <v>1341</v>
      </c>
      <c r="G422" s="6" t="s">
        <v>4415</v>
      </c>
      <c r="H422" s="6" t="s">
        <v>4422</v>
      </c>
      <c r="I422" s="6" t="n">
        <v>18</v>
      </c>
      <c r="J422" s="6"/>
      <c r="K422" s="6" t="s">
        <v>4417</v>
      </c>
      <c r="L422" s="7"/>
      <c r="M422" s="7"/>
    </row>
    <row r="423" customFormat="false" ht="23.85" hidden="false" customHeight="false" outlineLevel="0" collapsed="false">
      <c r="A423" s="6" t="s">
        <v>1345</v>
      </c>
      <c r="B423" s="6" t="s">
        <v>123</v>
      </c>
      <c r="C423" s="6" t="s">
        <v>98</v>
      </c>
      <c r="D423" s="6" t="s">
        <v>1330</v>
      </c>
      <c r="E423" s="6"/>
      <c r="F423" s="6" t="s">
        <v>1347</v>
      </c>
      <c r="G423" s="6" t="s">
        <v>4406</v>
      </c>
      <c r="H423" s="6" t="s">
        <v>4423</v>
      </c>
      <c r="I423" s="6" t="n">
        <v>96</v>
      </c>
      <c r="J423" s="6" t="s">
        <v>83</v>
      </c>
      <c r="K423" s="6" t="s">
        <v>4419</v>
      </c>
      <c r="L423" s="7"/>
      <c r="M423" s="7"/>
    </row>
    <row r="424" customFormat="false" ht="23.85" hidden="false" customHeight="false" outlineLevel="0" collapsed="false">
      <c r="A424" s="6" t="s">
        <v>1345</v>
      </c>
      <c r="B424" s="6" t="s">
        <v>123</v>
      </c>
      <c r="C424" s="6" t="s">
        <v>98</v>
      </c>
      <c r="D424" s="6" t="s">
        <v>1330</v>
      </c>
      <c r="E424" s="6"/>
      <c r="F424" s="6" t="s">
        <v>1347</v>
      </c>
      <c r="G424" s="6" t="s">
        <v>4409</v>
      </c>
      <c r="H424" s="6" t="s">
        <v>4424</v>
      </c>
      <c r="I424" s="6" t="n">
        <v>58</v>
      </c>
      <c r="J424" s="6"/>
      <c r="K424" s="6" t="s">
        <v>4411</v>
      </c>
      <c r="L424" s="7"/>
      <c r="M424" s="7"/>
    </row>
    <row r="425" customFormat="false" ht="23.85" hidden="false" customHeight="false" outlineLevel="0" collapsed="false">
      <c r="A425" s="6" t="s">
        <v>1345</v>
      </c>
      <c r="B425" s="6" t="s">
        <v>123</v>
      </c>
      <c r="C425" s="6" t="s">
        <v>98</v>
      </c>
      <c r="D425" s="6" t="s">
        <v>1330</v>
      </c>
      <c r="E425" s="6"/>
      <c r="F425" s="6" t="s">
        <v>1347</v>
      </c>
      <c r="G425" s="6" t="s">
        <v>4412</v>
      </c>
      <c r="H425" s="6" t="s">
        <v>4425</v>
      </c>
      <c r="I425" s="6" t="n">
        <v>28</v>
      </c>
      <c r="J425" s="6"/>
      <c r="K425" s="6" t="s">
        <v>4414</v>
      </c>
      <c r="L425" s="7"/>
      <c r="M425" s="7"/>
    </row>
    <row r="426" customFormat="false" ht="23.85" hidden="false" customHeight="false" outlineLevel="0" collapsed="false">
      <c r="A426" s="6" t="s">
        <v>1345</v>
      </c>
      <c r="B426" s="6" t="s">
        <v>123</v>
      </c>
      <c r="C426" s="6" t="s">
        <v>98</v>
      </c>
      <c r="D426" s="6" t="s">
        <v>1330</v>
      </c>
      <c r="E426" s="6"/>
      <c r="F426" s="6" t="s">
        <v>1347</v>
      </c>
      <c r="G426" s="6" t="s">
        <v>4415</v>
      </c>
      <c r="H426" s="6" t="s">
        <v>4426</v>
      </c>
      <c r="I426" s="6" t="n">
        <v>18</v>
      </c>
      <c r="J426" s="6"/>
      <c r="K426" s="6" t="s">
        <v>4417</v>
      </c>
      <c r="L426" s="7"/>
      <c r="M426" s="7"/>
    </row>
    <row r="427" customFormat="false" ht="35.05" hidden="false" customHeight="false" outlineLevel="0" collapsed="false">
      <c r="A427" s="6" t="s">
        <v>1350</v>
      </c>
      <c r="B427" s="6" t="s">
        <v>123</v>
      </c>
      <c r="C427" s="6" t="s">
        <v>165</v>
      </c>
      <c r="D427" s="6" t="s">
        <v>1330</v>
      </c>
      <c r="E427" s="6"/>
      <c r="F427" s="6" t="s">
        <v>1352</v>
      </c>
      <c r="G427" s="6" t="s">
        <v>4406</v>
      </c>
      <c r="H427" s="6" t="s">
        <v>4427</v>
      </c>
      <c r="I427" s="6" t="n">
        <v>96</v>
      </c>
      <c r="J427" s="6" t="s">
        <v>83</v>
      </c>
      <c r="K427" s="6" t="s">
        <v>4428</v>
      </c>
      <c r="L427" s="7"/>
      <c r="M427" s="7"/>
    </row>
    <row r="428" customFormat="false" ht="35.05" hidden="false" customHeight="false" outlineLevel="0" collapsed="false">
      <c r="A428" s="6" t="s">
        <v>1350</v>
      </c>
      <c r="B428" s="6" t="s">
        <v>123</v>
      </c>
      <c r="C428" s="6" t="s">
        <v>165</v>
      </c>
      <c r="D428" s="6" t="s">
        <v>1330</v>
      </c>
      <c r="E428" s="6"/>
      <c r="F428" s="6" t="s">
        <v>1352</v>
      </c>
      <c r="G428" s="6" t="s">
        <v>4409</v>
      </c>
      <c r="H428" s="6" t="s">
        <v>4429</v>
      </c>
      <c r="I428" s="6" t="n">
        <v>62</v>
      </c>
      <c r="J428" s="6"/>
      <c r="K428" s="6" t="s">
        <v>4411</v>
      </c>
      <c r="L428" s="7"/>
      <c r="M428" s="7"/>
    </row>
    <row r="429" customFormat="false" ht="35.05" hidden="false" customHeight="false" outlineLevel="0" collapsed="false">
      <c r="A429" s="6" t="s">
        <v>1350</v>
      </c>
      <c r="B429" s="6" t="s">
        <v>123</v>
      </c>
      <c r="C429" s="6" t="s">
        <v>165</v>
      </c>
      <c r="D429" s="6" t="s">
        <v>1330</v>
      </c>
      <c r="E429" s="6"/>
      <c r="F429" s="6" t="s">
        <v>1352</v>
      </c>
      <c r="G429" s="6" t="s">
        <v>4412</v>
      </c>
      <c r="H429" s="6" t="s">
        <v>4430</v>
      </c>
      <c r="I429" s="6" t="n">
        <v>28</v>
      </c>
      <c r="J429" s="6"/>
      <c r="K429" s="6" t="s">
        <v>4414</v>
      </c>
      <c r="L429" s="7"/>
      <c r="M429" s="7"/>
    </row>
    <row r="430" customFormat="false" ht="35.05" hidden="false" customHeight="false" outlineLevel="0" collapsed="false">
      <c r="A430" s="6" t="s">
        <v>1350</v>
      </c>
      <c r="B430" s="6" t="s">
        <v>123</v>
      </c>
      <c r="C430" s="6" t="s">
        <v>165</v>
      </c>
      <c r="D430" s="6" t="s">
        <v>1330</v>
      </c>
      <c r="E430" s="6"/>
      <c r="F430" s="6" t="s">
        <v>1352</v>
      </c>
      <c r="G430" s="6" t="s">
        <v>4415</v>
      </c>
      <c r="H430" s="6" t="s">
        <v>4431</v>
      </c>
      <c r="I430" s="6" t="n">
        <v>18</v>
      </c>
      <c r="J430" s="6"/>
      <c r="K430" s="6" t="s">
        <v>4417</v>
      </c>
      <c r="L430" s="7"/>
      <c r="M430" s="7"/>
    </row>
    <row r="431" customFormat="false" ht="35.05" hidden="false" customHeight="false" outlineLevel="0" collapsed="false">
      <c r="A431" s="6" t="s">
        <v>1356</v>
      </c>
      <c r="B431" s="6" t="s">
        <v>123</v>
      </c>
      <c r="C431" s="6" t="s">
        <v>165</v>
      </c>
      <c r="D431" s="6" t="s">
        <v>1330</v>
      </c>
      <c r="E431" s="6"/>
      <c r="F431" s="6" t="s">
        <v>1358</v>
      </c>
      <c r="G431" s="6" t="s">
        <v>4406</v>
      </c>
      <c r="H431" s="6" t="s">
        <v>4432</v>
      </c>
      <c r="I431" s="6" t="n">
        <v>96</v>
      </c>
      <c r="J431" s="6" t="s">
        <v>83</v>
      </c>
      <c r="K431" s="6" t="s">
        <v>4428</v>
      </c>
      <c r="L431" s="7"/>
      <c r="M431" s="7"/>
    </row>
    <row r="432" customFormat="false" ht="35.05" hidden="false" customHeight="false" outlineLevel="0" collapsed="false">
      <c r="A432" s="6" t="s">
        <v>1356</v>
      </c>
      <c r="B432" s="6" t="s">
        <v>123</v>
      </c>
      <c r="C432" s="6" t="s">
        <v>165</v>
      </c>
      <c r="D432" s="6" t="s">
        <v>1330</v>
      </c>
      <c r="E432" s="6"/>
      <c r="F432" s="6" t="s">
        <v>1358</v>
      </c>
      <c r="G432" s="6" t="s">
        <v>4409</v>
      </c>
      <c r="H432" s="6" t="s">
        <v>4433</v>
      </c>
      <c r="I432" s="6" t="n">
        <v>62</v>
      </c>
      <c r="J432" s="6"/>
      <c r="K432" s="6" t="s">
        <v>4411</v>
      </c>
      <c r="L432" s="7"/>
      <c r="M432" s="7"/>
    </row>
    <row r="433" customFormat="false" ht="35.05" hidden="false" customHeight="false" outlineLevel="0" collapsed="false">
      <c r="A433" s="6" t="s">
        <v>1356</v>
      </c>
      <c r="B433" s="6" t="s">
        <v>123</v>
      </c>
      <c r="C433" s="6" t="s">
        <v>165</v>
      </c>
      <c r="D433" s="6" t="s">
        <v>1330</v>
      </c>
      <c r="E433" s="6"/>
      <c r="F433" s="6" t="s">
        <v>1358</v>
      </c>
      <c r="G433" s="6" t="s">
        <v>4412</v>
      </c>
      <c r="H433" s="6" t="s">
        <v>4434</v>
      </c>
      <c r="I433" s="6" t="n">
        <v>28</v>
      </c>
      <c r="J433" s="6"/>
      <c r="K433" s="6" t="s">
        <v>4414</v>
      </c>
      <c r="L433" s="7"/>
      <c r="M433" s="7"/>
    </row>
    <row r="434" customFormat="false" ht="35.05" hidden="false" customHeight="false" outlineLevel="0" collapsed="false">
      <c r="A434" s="6" t="s">
        <v>1356</v>
      </c>
      <c r="B434" s="6" t="s">
        <v>123</v>
      </c>
      <c r="C434" s="6" t="s">
        <v>165</v>
      </c>
      <c r="D434" s="6" t="s">
        <v>1330</v>
      </c>
      <c r="E434" s="6"/>
      <c r="F434" s="6" t="s">
        <v>1358</v>
      </c>
      <c r="G434" s="6" t="s">
        <v>4415</v>
      </c>
      <c r="H434" s="6" t="s">
        <v>4435</v>
      </c>
      <c r="I434" s="6" t="n">
        <v>18</v>
      </c>
      <c r="J434" s="6"/>
      <c r="K434" s="6" t="s">
        <v>4417</v>
      </c>
      <c r="L434" s="7"/>
      <c r="M434" s="7"/>
    </row>
    <row r="435" customFormat="false" ht="35.05" hidden="false" customHeight="false" outlineLevel="0" collapsed="false">
      <c r="A435" s="6" t="s">
        <v>1361</v>
      </c>
      <c r="B435" s="6" t="s">
        <v>123</v>
      </c>
      <c r="C435" s="6" t="s">
        <v>1362</v>
      </c>
      <c r="D435" s="6" t="s">
        <v>1330</v>
      </c>
      <c r="E435" s="6"/>
      <c r="F435" s="6" t="s">
        <v>1364</v>
      </c>
      <c r="G435" s="6" t="s">
        <v>4406</v>
      </c>
      <c r="H435" s="6" t="s">
        <v>4436</v>
      </c>
      <c r="I435" s="6" t="n">
        <v>96</v>
      </c>
      <c r="J435" s="6" t="s">
        <v>83</v>
      </c>
      <c r="K435" s="6" t="s">
        <v>4437</v>
      </c>
      <c r="L435" s="7"/>
      <c r="M435" s="7"/>
    </row>
    <row r="436" customFormat="false" ht="35.05" hidden="false" customHeight="false" outlineLevel="0" collapsed="false">
      <c r="A436" s="6" t="s">
        <v>1361</v>
      </c>
      <c r="B436" s="6" t="s">
        <v>123</v>
      </c>
      <c r="C436" s="6" t="s">
        <v>1362</v>
      </c>
      <c r="D436" s="6" t="s">
        <v>1330</v>
      </c>
      <c r="E436" s="6"/>
      <c r="F436" s="6" t="s">
        <v>1364</v>
      </c>
      <c r="G436" s="6" t="s">
        <v>4409</v>
      </c>
      <c r="H436" s="6" t="s">
        <v>4438</v>
      </c>
      <c r="I436" s="6" t="n">
        <v>62</v>
      </c>
      <c r="J436" s="6"/>
      <c r="K436" s="6" t="s">
        <v>4411</v>
      </c>
      <c r="L436" s="7"/>
      <c r="M436" s="7"/>
    </row>
    <row r="437" customFormat="false" ht="35.05" hidden="false" customHeight="false" outlineLevel="0" collapsed="false">
      <c r="A437" s="6" t="s">
        <v>1361</v>
      </c>
      <c r="B437" s="6" t="s">
        <v>123</v>
      </c>
      <c r="C437" s="6" t="s">
        <v>1362</v>
      </c>
      <c r="D437" s="6" t="s">
        <v>1330</v>
      </c>
      <c r="E437" s="6"/>
      <c r="F437" s="6" t="s">
        <v>1364</v>
      </c>
      <c r="G437" s="6" t="s">
        <v>4412</v>
      </c>
      <c r="H437" s="6" t="s">
        <v>4439</v>
      </c>
      <c r="I437" s="6" t="n">
        <v>28</v>
      </c>
      <c r="J437" s="6"/>
      <c r="K437" s="6" t="s">
        <v>4414</v>
      </c>
      <c r="L437" s="7"/>
      <c r="M437" s="7"/>
    </row>
    <row r="438" customFormat="false" ht="35.05" hidden="false" customHeight="false" outlineLevel="0" collapsed="false">
      <c r="A438" s="6" t="s">
        <v>1361</v>
      </c>
      <c r="B438" s="6" t="s">
        <v>123</v>
      </c>
      <c r="C438" s="6" t="s">
        <v>1362</v>
      </c>
      <c r="D438" s="6" t="s">
        <v>1330</v>
      </c>
      <c r="E438" s="6"/>
      <c r="F438" s="6" t="s">
        <v>1364</v>
      </c>
      <c r="G438" s="6" t="s">
        <v>4415</v>
      </c>
      <c r="H438" s="6" t="s">
        <v>4440</v>
      </c>
      <c r="I438" s="6" t="n">
        <v>18</v>
      </c>
      <c r="J438" s="6"/>
      <c r="K438" s="6" t="s">
        <v>4417</v>
      </c>
      <c r="L438" s="7"/>
      <c r="M438" s="7"/>
    </row>
    <row r="439" customFormat="false" ht="35.05" hidden="false" customHeight="false" outlineLevel="0" collapsed="false">
      <c r="A439" s="6" t="s">
        <v>1368</v>
      </c>
      <c r="B439" s="6" t="s">
        <v>123</v>
      </c>
      <c r="C439" s="6" t="s">
        <v>1362</v>
      </c>
      <c r="D439" s="6" t="s">
        <v>1330</v>
      </c>
      <c r="E439" s="6"/>
      <c r="F439" s="6" t="s">
        <v>1370</v>
      </c>
      <c r="G439" s="6" t="s">
        <v>4406</v>
      </c>
      <c r="H439" s="6" t="s">
        <v>4441</v>
      </c>
      <c r="I439" s="6" t="n">
        <v>96</v>
      </c>
      <c r="J439" s="6" t="s">
        <v>83</v>
      </c>
      <c r="K439" s="6" t="s">
        <v>4437</v>
      </c>
      <c r="L439" s="7"/>
      <c r="M439" s="7"/>
    </row>
    <row r="440" customFormat="false" ht="35.05" hidden="false" customHeight="false" outlineLevel="0" collapsed="false">
      <c r="A440" s="6" t="s">
        <v>1368</v>
      </c>
      <c r="B440" s="6" t="s">
        <v>123</v>
      </c>
      <c r="C440" s="6" t="s">
        <v>1362</v>
      </c>
      <c r="D440" s="6" t="s">
        <v>1330</v>
      </c>
      <c r="E440" s="6"/>
      <c r="F440" s="6" t="s">
        <v>1370</v>
      </c>
      <c r="G440" s="6" t="s">
        <v>4409</v>
      </c>
      <c r="H440" s="6" t="s">
        <v>4442</v>
      </c>
      <c r="I440" s="6" t="n">
        <v>62</v>
      </c>
      <c r="J440" s="6"/>
      <c r="K440" s="6" t="s">
        <v>4411</v>
      </c>
      <c r="L440" s="7"/>
      <c r="M440" s="7"/>
    </row>
    <row r="441" customFormat="false" ht="35.05" hidden="false" customHeight="false" outlineLevel="0" collapsed="false">
      <c r="A441" s="6" t="s">
        <v>1368</v>
      </c>
      <c r="B441" s="6" t="s">
        <v>123</v>
      </c>
      <c r="C441" s="6" t="s">
        <v>1362</v>
      </c>
      <c r="D441" s="6" t="s">
        <v>1330</v>
      </c>
      <c r="E441" s="6"/>
      <c r="F441" s="6" t="s">
        <v>1370</v>
      </c>
      <c r="G441" s="6" t="s">
        <v>4412</v>
      </c>
      <c r="H441" s="6" t="s">
        <v>4443</v>
      </c>
      <c r="I441" s="6" t="n">
        <v>28</v>
      </c>
      <c r="J441" s="6"/>
      <c r="K441" s="6" t="s">
        <v>4414</v>
      </c>
      <c r="L441" s="7"/>
      <c r="M441" s="7"/>
    </row>
    <row r="442" customFormat="false" ht="35.05" hidden="false" customHeight="false" outlineLevel="0" collapsed="false">
      <c r="A442" s="6" t="s">
        <v>1368</v>
      </c>
      <c r="B442" s="6" t="s">
        <v>123</v>
      </c>
      <c r="C442" s="6" t="s">
        <v>1362</v>
      </c>
      <c r="D442" s="6" t="s">
        <v>1330</v>
      </c>
      <c r="E442" s="6"/>
      <c r="F442" s="6" t="s">
        <v>1370</v>
      </c>
      <c r="G442" s="6" t="s">
        <v>4415</v>
      </c>
      <c r="H442" s="6" t="s">
        <v>4444</v>
      </c>
      <c r="I442" s="6" t="n">
        <v>18</v>
      </c>
      <c r="J442" s="6"/>
      <c r="K442" s="6" t="s">
        <v>4417</v>
      </c>
      <c r="L442" s="7"/>
      <c r="M442" s="7"/>
    </row>
    <row r="443" customFormat="false" ht="35.05" hidden="false" customHeight="false" outlineLevel="0" collapsed="false">
      <c r="A443" s="6" t="s">
        <v>1373</v>
      </c>
      <c r="B443" s="6" t="s">
        <v>123</v>
      </c>
      <c r="C443" s="6" t="s">
        <v>79</v>
      </c>
      <c r="D443" s="6" t="s">
        <v>1330</v>
      </c>
      <c r="E443" s="6"/>
      <c r="F443" s="6" t="s">
        <v>1335</v>
      </c>
      <c r="G443" s="6" t="s">
        <v>4406</v>
      </c>
      <c r="H443" s="6" t="s">
        <v>4407</v>
      </c>
      <c r="I443" s="6" t="n">
        <v>96</v>
      </c>
      <c r="J443" s="6" t="s">
        <v>83</v>
      </c>
      <c r="K443" s="6" t="s">
        <v>4445</v>
      </c>
      <c r="L443" s="7"/>
      <c r="M443" s="7"/>
    </row>
    <row r="444" customFormat="false" ht="35.05" hidden="false" customHeight="false" outlineLevel="0" collapsed="false">
      <c r="A444" s="6" t="s">
        <v>1373</v>
      </c>
      <c r="B444" s="6" t="s">
        <v>123</v>
      </c>
      <c r="C444" s="6" t="s">
        <v>79</v>
      </c>
      <c r="D444" s="6" t="s">
        <v>1330</v>
      </c>
      <c r="E444" s="6"/>
      <c r="F444" s="6" t="s">
        <v>1335</v>
      </c>
      <c r="G444" s="6" t="s">
        <v>4409</v>
      </c>
      <c r="H444" s="6" t="s">
        <v>4410</v>
      </c>
      <c r="I444" s="6" t="n">
        <v>60</v>
      </c>
      <c r="J444" s="6"/>
      <c r="K444" s="6" t="s">
        <v>4411</v>
      </c>
      <c r="L444" s="7"/>
      <c r="M444" s="7"/>
    </row>
    <row r="445" customFormat="false" ht="35.05" hidden="false" customHeight="false" outlineLevel="0" collapsed="false">
      <c r="A445" s="6" t="s">
        <v>1373</v>
      </c>
      <c r="B445" s="6" t="s">
        <v>123</v>
      </c>
      <c r="C445" s="6" t="s">
        <v>79</v>
      </c>
      <c r="D445" s="6" t="s">
        <v>1330</v>
      </c>
      <c r="E445" s="6"/>
      <c r="F445" s="6" t="s">
        <v>1335</v>
      </c>
      <c r="G445" s="6" t="s">
        <v>4412</v>
      </c>
      <c r="H445" s="6" t="s">
        <v>4413</v>
      </c>
      <c r="I445" s="6" t="n">
        <v>28</v>
      </c>
      <c r="J445" s="6"/>
      <c r="K445" s="6" t="s">
        <v>4414</v>
      </c>
      <c r="L445" s="7"/>
      <c r="M445" s="7"/>
    </row>
    <row r="446" customFormat="false" ht="35.05" hidden="false" customHeight="false" outlineLevel="0" collapsed="false">
      <c r="A446" s="6" t="s">
        <v>1373</v>
      </c>
      <c r="B446" s="6" t="s">
        <v>123</v>
      </c>
      <c r="C446" s="6" t="s">
        <v>79</v>
      </c>
      <c r="D446" s="6" t="s">
        <v>1330</v>
      </c>
      <c r="E446" s="6"/>
      <c r="F446" s="6" t="s">
        <v>1335</v>
      </c>
      <c r="G446" s="6" t="s">
        <v>4415</v>
      </c>
      <c r="H446" s="6" t="s">
        <v>4416</v>
      </c>
      <c r="I446" s="6" t="n">
        <v>18</v>
      </c>
      <c r="J446" s="6"/>
      <c r="K446" s="6" t="s">
        <v>4417</v>
      </c>
      <c r="L446" s="7"/>
      <c r="M446" s="7"/>
    </row>
    <row r="447" customFormat="false" ht="35.05" hidden="false" customHeight="false" outlineLevel="0" collapsed="false">
      <c r="A447" s="6" t="s">
        <v>1380</v>
      </c>
      <c r="B447" s="6" t="s">
        <v>123</v>
      </c>
      <c r="C447" s="6" t="s">
        <v>98</v>
      </c>
      <c r="D447" s="6" t="s">
        <v>1330</v>
      </c>
      <c r="E447" s="6"/>
      <c r="F447" s="6" t="s">
        <v>1341</v>
      </c>
      <c r="G447" s="6" t="s">
        <v>4406</v>
      </c>
      <c r="H447" s="6" t="s">
        <v>4418</v>
      </c>
      <c r="I447" s="6" t="n">
        <v>96</v>
      </c>
      <c r="J447" s="6" t="s">
        <v>83</v>
      </c>
      <c r="K447" s="6" t="s">
        <v>4446</v>
      </c>
      <c r="L447" s="7"/>
      <c r="M447" s="7"/>
    </row>
    <row r="448" customFormat="false" ht="35.05" hidden="false" customHeight="false" outlineLevel="0" collapsed="false">
      <c r="A448" s="6" t="s">
        <v>1380</v>
      </c>
      <c r="B448" s="6" t="s">
        <v>123</v>
      </c>
      <c r="C448" s="6" t="s">
        <v>98</v>
      </c>
      <c r="D448" s="6" t="s">
        <v>1330</v>
      </c>
      <c r="E448" s="6"/>
      <c r="F448" s="6" t="s">
        <v>1341</v>
      </c>
      <c r="G448" s="6" t="s">
        <v>4409</v>
      </c>
      <c r="H448" s="6" t="s">
        <v>4420</v>
      </c>
      <c r="I448" s="6" t="n">
        <v>58</v>
      </c>
      <c r="J448" s="6"/>
      <c r="K448" s="6" t="s">
        <v>4411</v>
      </c>
      <c r="L448" s="7"/>
      <c r="M448" s="7"/>
    </row>
    <row r="449" customFormat="false" ht="35.05" hidden="false" customHeight="false" outlineLevel="0" collapsed="false">
      <c r="A449" s="6" t="s">
        <v>1380</v>
      </c>
      <c r="B449" s="6" t="s">
        <v>123</v>
      </c>
      <c r="C449" s="6" t="s">
        <v>98</v>
      </c>
      <c r="D449" s="6" t="s">
        <v>1330</v>
      </c>
      <c r="E449" s="6"/>
      <c r="F449" s="6" t="s">
        <v>1341</v>
      </c>
      <c r="G449" s="6" t="s">
        <v>4412</v>
      </c>
      <c r="H449" s="6" t="s">
        <v>4421</v>
      </c>
      <c r="I449" s="6" t="n">
        <v>28</v>
      </c>
      <c r="J449" s="6"/>
      <c r="K449" s="6" t="s">
        <v>4414</v>
      </c>
      <c r="L449" s="7"/>
      <c r="M449" s="7"/>
    </row>
    <row r="450" customFormat="false" ht="35.05" hidden="false" customHeight="false" outlineLevel="0" collapsed="false">
      <c r="A450" s="6" t="s">
        <v>1380</v>
      </c>
      <c r="B450" s="6" t="s">
        <v>123</v>
      </c>
      <c r="C450" s="6" t="s">
        <v>98</v>
      </c>
      <c r="D450" s="6" t="s">
        <v>1330</v>
      </c>
      <c r="E450" s="6"/>
      <c r="F450" s="6" t="s">
        <v>1341</v>
      </c>
      <c r="G450" s="6" t="s">
        <v>4415</v>
      </c>
      <c r="H450" s="6" t="s">
        <v>4422</v>
      </c>
      <c r="I450" s="6" t="n">
        <v>18</v>
      </c>
      <c r="J450" s="6"/>
      <c r="K450" s="6" t="s">
        <v>4417</v>
      </c>
      <c r="L450" s="7"/>
      <c r="M450" s="7"/>
    </row>
    <row r="451" customFormat="false" ht="35.05" hidden="false" customHeight="false" outlineLevel="0" collapsed="false">
      <c r="A451" s="6" t="s">
        <v>1383</v>
      </c>
      <c r="B451" s="6" t="s">
        <v>123</v>
      </c>
      <c r="C451" s="6" t="s">
        <v>98</v>
      </c>
      <c r="D451" s="6" t="s">
        <v>1330</v>
      </c>
      <c r="E451" s="6"/>
      <c r="F451" s="6" t="s">
        <v>1347</v>
      </c>
      <c r="G451" s="6" t="s">
        <v>4406</v>
      </c>
      <c r="H451" s="6" t="s">
        <v>4423</v>
      </c>
      <c r="I451" s="6" t="n">
        <v>96</v>
      </c>
      <c r="J451" s="6" t="s">
        <v>83</v>
      </c>
      <c r="K451" s="6" t="s">
        <v>4446</v>
      </c>
      <c r="L451" s="7"/>
      <c r="M451" s="7"/>
    </row>
    <row r="452" customFormat="false" ht="35.05" hidden="false" customHeight="false" outlineLevel="0" collapsed="false">
      <c r="A452" s="6" t="s">
        <v>1383</v>
      </c>
      <c r="B452" s="6" t="s">
        <v>123</v>
      </c>
      <c r="C452" s="6" t="s">
        <v>98</v>
      </c>
      <c r="D452" s="6" t="s">
        <v>1330</v>
      </c>
      <c r="E452" s="6"/>
      <c r="F452" s="6" t="s">
        <v>1347</v>
      </c>
      <c r="G452" s="6" t="s">
        <v>4409</v>
      </c>
      <c r="H452" s="6" t="s">
        <v>4424</v>
      </c>
      <c r="I452" s="6" t="n">
        <v>58</v>
      </c>
      <c r="J452" s="6"/>
      <c r="K452" s="6" t="s">
        <v>4411</v>
      </c>
      <c r="L452" s="7"/>
      <c r="M452" s="7"/>
    </row>
    <row r="453" customFormat="false" ht="35.05" hidden="false" customHeight="false" outlineLevel="0" collapsed="false">
      <c r="A453" s="6" t="s">
        <v>1383</v>
      </c>
      <c r="B453" s="6" t="s">
        <v>123</v>
      </c>
      <c r="C453" s="6" t="s">
        <v>98</v>
      </c>
      <c r="D453" s="6" t="s">
        <v>1330</v>
      </c>
      <c r="E453" s="6"/>
      <c r="F453" s="6" t="s">
        <v>1347</v>
      </c>
      <c r="G453" s="6" t="s">
        <v>4412</v>
      </c>
      <c r="H453" s="6" t="s">
        <v>4425</v>
      </c>
      <c r="I453" s="6" t="n">
        <v>28</v>
      </c>
      <c r="J453" s="6"/>
      <c r="K453" s="6" t="s">
        <v>4414</v>
      </c>
      <c r="L453" s="7"/>
      <c r="M453" s="7"/>
    </row>
    <row r="454" customFormat="false" ht="35.05" hidden="false" customHeight="false" outlineLevel="0" collapsed="false">
      <c r="A454" s="6" t="s">
        <v>1383</v>
      </c>
      <c r="B454" s="6" t="s">
        <v>123</v>
      </c>
      <c r="C454" s="6" t="s">
        <v>98</v>
      </c>
      <c r="D454" s="6" t="s">
        <v>1330</v>
      </c>
      <c r="E454" s="6"/>
      <c r="F454" s="6" t="s">
        <v>1347</v>
      </c>
      <c r="G454" s="6" t="s">
        <v>4415</v>
      </c>
      <c r="H454" s="6" t="s">
        <v>4426</v>
      </c>
      <c r="I454" s="6" t="n">
        <v>18</v>
      </c>
      <c r="J454" s="6"/>
      <c r="K454" s="6" t="s">
        <v>4417</v>
      </c>
      <c r="L454" s="7"/>
      <c r="M454" s="7"/>
    </row>
    <row r="455" customFormat="false" ht="35.05" hidden="false" customHeight="false" outlineLevel="0" collapsed="false">
      <c r="A455" s="6" t="s">
        <v>1385</v>
      </c>
      <c r="B455" s="6" t="s">
        <v>123</v>
      </c>
      <c r="C455" s="6" t="s">
        <v>165</v>
      </c>
      <c r="D455" s="6" t="s">
        <v>1330</v>
      </c>
      <c r="E455" s="6"/>
      <c r="F455" s="6" t="s">
        <v>1352</v>
      </c>
      <c r="G455" s="6" t="s">
        <v>4406</v>
      </c>
      <c r="H455" s="6" t="s">
        <v>4427</v>
      </c>
      <c r="I455" s="6" t="n">
        <v>96</v>
      </c>
      <c r="J455" s="6" t="s">
        <v>83</v>
      </c>
      <c r="K455" s="6" t="s">
        <v>4447</v>
      </c>
      <c r="L455" s="7"/>
      <c r="M455" s="7"/>
    </row>
    <row r="456" customFormat="false" ht="35.05" hidden="false" customHeight="false" outlineLevel="0" collapsed="false">
      <c r="A456" s="6" t="s">
        <v>1385</v>
      </c>
      <c r="B456" s="6" t="s">
        <v>123</v>
      </c>
      <c r="C456" s="6" t="s">
        <v>165</v>
      </c>
      <c r="D456" s="6" t="s">
        <v>1330</v>
      </c>
      <c r="E456" s="6"/>
      <c r="F456" s="6" t="s">
        <v>1352</v>
      </c>
      <c r="G456" s="6" t="s">
        <v>4409</v>
      </c>
      <c r="H456" s="6" t="s">
        <v>4429</v>
      </c>
      <c r="I456" s="6" t="n">
        <v>62</v>
      </c>
      <c r="J456" s="6"/>
      <c r="K456" s="6" t="s">
        <v>4411</v>
      </c>
      <c r="L456" s="7"/>
      <c r="M456" s="7"/>
    </row>
    <row r="457" customFormat="false" ht="35.05" hidden="false" customHeight="false" outlineLevel="0" collapsed="false">
      <c r="A457" s="6" t="s">
        <v>1385</v>
      </c>
      <c r="B457" s="6" t="s">
        <v>123</v>
      </c>
      <c r="C457" s="6" t="s">
        <v>165</v>
      </c>
      <c r="D457" s="6" t="s">
        <v>1330</v>
      </c>
      <c r="E457" s="6"/>
      <c r="F457" s="6" t="s">
        <v>1352</v>
      </c>
      <c r="G457" s="6" t="s">
        <v>4412</v>
      </c>
      <c r="H457" s="6" t="s">
        <v>4430</v>
      </c>
      <c r="I457" s="6" t="n">
        <v>28</v>
      </c>
      <c r="J457" s="6"/>
      <c r="K457" s="6" t="s">
        <v>4414</v>
      </c>
      <c r="L457" s="7"/>
      <c r="M457" s="7"/>
    </row>
    <row r="458" customFormat="false" ht="35.05" hidden="false" customHeight="false" outlineLevel="0" collapsed="false">
      <c r="A458" s="6" t="s">
        <v>1385</v>
      </c>
      <c r="B458" s="6" t="s">
        <v>123</v>
      </c>
      <c r="C458" s="6" t="s">
        <v>165</v>
      </c>
      <c r="D458" s="6" t="s">
        <v>1330</v>
      </c>
      <c r="E458" s="6"/>
      <c r="F458" s="6" t="s">
        <v>1352</v>
      </c>
      <c r="G458" s="6" t="s">
        <v>4415</v>
      </c>
      <c r="H458" s="6" t="s">
        <v>4431</v>
      </c>
      <c r="I458" s="6" t="n">
        <v>18</v>
      </c>
      <c r="J458" s="6"/>
      <c r="K458" s="6" t="s">
        <v>4417</v>
      </c>
      <c r="L458" s="7"/>
      <c r="M458" s="7"/>
    </row>
    <row r="459" customFormat="false" ht="35.05" hidden="false" customHeight="false" outlineLevel="0" collapsed="false">
      <c r="A459" s="6" t="s">
        <v>1388</v>
      </c>
      <c r="B459" s="6" t="s">
        <v>123</v>
      </c>
      <c r="C459" s="6" t="s">
        <v>165</v>
      </c>
      <c r="D459" s="6" t="s">
        <v>1330</v>
      </c>
      <c r="E459" s="6"/>
      <c r="F459" s="6" t="s">
        <v>1358</v>
      </c>
      <c r="G459" s="6" t="s">
        <v>4406</v>
      </c>
      <c r="H459" s="6" t="s">
        <v>4432</v>
      </c>
      <c r="I459" s="6" t="n">
        <v>96</v>
      </c>
      <c r="J459" s="6" t="s">
        <v>83</v>
      </c>
      <c r="K459" s="6" t="s">
        <v>4447</v>
      </c>
      <c r="L459" s="7"/>
      <c r="M459" s="7"/>
    </row>
    <row r="460" customFormat="false" ht="35.05" hidden="false" customHeight="false" outlineLevel="0" collapsed="false">
      <c r="A460" s="6" t="s">
        <v>1388</v>
      </c>
      <c r="B460" s="6" t="s">
        <v>123</v>
      </c>
      <c r="C460" s="6" t="s">
        <v>165</v>
      </c>
      <c r="D460" s="6" t="s">
        <v>1330</v>
      </c>
      <c r="E460" s="6"/>
      <c r="F460" s="6" t="s">
        <v>1358</v>
      </c>
      <c r="G460" s="6" t="s">
        <v>4409</v>
      </c>
      <c r="H460" s="6" t="s">
        <v>4433</v>
      </c>
      <c r="I460" s="6" t="n">
        <v>62</v>
      </c>
      <c r="J460" s="6"/>
      <c r="K460" s="6" t="s">
        <v>4411</v>
      </c>
      <c r="L460" s="7"/>
      <c r="M460" s="7"/>
    </row>
    <row r="461" customFormat="false" ht="35.05" hidden="false" customHeight="false" outlineLevel="0" collapsed="false">
      <c r="A461" s="6" t="s">
        <v>1388</v>
      </c>
      <c r="B461" s="6" t="s">
        <v>123</v>
      </c>
      <c r="C461" s="6" t="s">
        <v>165</v>
      </c>
      <c r="D461" s="6" t="s">
        <v>1330</v>
      </c>
      <c r="E461" s="6"/>
      <c r="F461" s="6" t="s">
        <v>1358</v>
      </c>
      <c r="G461" s="6" t="s">
        <v>4412</v>
      </c>
      <c r="H461" s="6" t="s">
        <v>4434</v>
      </c>
      <c r="I461" s="6" t="n">
        <v>28</v>
      </c>
      <c r="J461" s="6"/>
      <c r="K461" s="6" t="s">
        <v>4414</v>
      </c>
      <c r="L461" s="7"/>
      <c r="M461" s="7"/>
    </row>
    <row r="462" customFormat="false" ht="35.05" hidden="false" customHeight="false" outlineLevel="0" collapsed="false">
      <c r="A462" s="6" t="s">
        <v>1388</v>
      </c>
      <c r="B462" s="6" t="s">
        <v>123</v>
      </c>
      <c r="C462" s="6" t="s">
        <v>165</v>
      </c>
      <c r="D462" s="6" t="s">
        <v>1330</v>
      </c>
      <c r="E462" s="6"/>
      <c r="F462" s="6" t="s">
        <v>1358</v>
      </c>
      <c r="G462" s="6" t="s">
        <v>4415</v>
      </c>
      <c r="H462" s="6" t="s">
        <v>4435</v>
      </c>
      <c r="I462" s="6" t="n">
        <v>18</v>
      </c>
      <c r="J462" s="6"/>
      <c r="K462" s="6" t="s">
        <v>4417</v>
      </c>
      <c r="L462" s="7"/>
      <c r="M462" s="7"/>
    </row>
    <row r="463" customFormat="false" ht="35.05" hidden="false" customHeight="false" outlineLevel="0" collapsed="false">
      <c r="A463" s="6" t="s">
        <v>1390</v>
      </c>
      <c r="B463" s="6" t="s">
        <v>123</v>
      </c>
      <c r="C463" s="6" t="s">
        <v>1362</v>
      </c>
      <c r="D463" s="6" t="s">
        <v>1330</v>
      </c>
      <c r="E463" s="6"/>
      <c r="F463" s="6" t="s">
        <v>1364</v>
      </c>
      <c r="G463" s="6" t="s">
        <v>4406</v>
      </c>
      <c r="H463" s="6" t="s">
        <v>4436</v>
      </c>
      <c r="I463" s="6" t="n">
        <v>96</v>
      </c>
      <c r="J463" s="6" t="s">
        <v>83</v>
      </c>
      <c r="K463" s="6" t="s">
        <v>4448</v>
      </c>
      <c r="L463" s="7"/>
      <c r="M463" s="7"/>
    </row>
    <row r="464" customFormat="false" ht="35.05" hidden="false" customHeight="false" outlineLevel="0" collapsed="false">
      <c r="A464" s="6" t="s">
        <v>1390</v>
      </c>
      <c r="B464" s="6" t="s">
        <v>123</v>
      </c>
      <c r="C464" s="6" t="s">
        <v>1362</v>
      </c>
      <c r="D464" s="6" t="s">
        <v>1330</v>
      </c>
      <c r="E464" s="6"/>
      <c r="F464" s="6" t="s">
        <v>1364</v>
      </c>
      <c r="G464" s="6" t="s">
        <v>4409</v>
      </c>
      <c r="H464" s="6" t="s">
        <v>4438</v>
      </c>
      <c r="I464" s="6" t="n">
        <v>62</v>
      </c>
      <c r="J464" s="6"/>
      <c r="K464" s="6" t="s">
        <v>4411</v>
      </c>
      <c r="L464" s="7"/>
      <c r="M464" s="7"/>
    </row>
    <row r="465" customFormat="false" ht="35.05" hidden="false" customHeight="false" outlineLevel="0" collapsed="false">
      <c r="A465" s="6" t="s">
        <v>1390</v>
      </c>
      <c r="B465" s="6" t="s">
        <v>123</v>
      </c>
      <c r="C465" s="6" t="s">
        <v>1362</v>
      </c>
      <c r="D465" s="6" t="s">
        <v>1330</v>
      </c>
      <c r="E465" s="6"/>
      <c r="F465" s="6" t="s">
        <v>1364</v>
      </c>
      <c r="G465" s="6" t="s">
        <v>4412</v>
      </c>
      <c r="H465" s="6" t="s">
        <v>4439</v>
      </c>
      <c r="I465" s="6" t="n">
        <v>28</v>
      </c>
      <c r="J465" s="6"/>
      <c r="K465" s="6" t="s">
        <v>4414</v>
      </c>
      <c r="L465" s="7"/>
      <c r="M465" s="7"/>
    </row>
    <row r="466" customFormat="false" ht="35.05" hidden="false" customHeight="false" outlineLevel="0" collapsed="false">
      <c r="A466" s="6" t="s">
        <v>1390</v>
      </c>
      <c r="B466" s="6" t="s">
        <v>123</v>
      </c>
      <c r="C466" s="6" t="s">
        <v>1362</v>
      </c>
      <c r="D466" s="6" t="s">
        <v>1330</v>
      </c>
      <c r="E466" s="6"/>
      <c r="F466" s="6" t="s">
        <v>1364</v>
      </c>
      <c r="G466" s="6" t="s">
        <v>4415</v>
      </c>
      <c r="H466" s="6" t="s">
        <v>4440</v>
      </c>
      <c r="I466" s="6" t="n">
        <v>18</v>
      </c>
      <c r="J466" s="6"/>
      <c r="K466" s="6" t="s">
        <v>4417</v>
      </c>
      <c r="L466" s="7"/>
      <c r="M466" s="7"/>
    </row>
    <row r="467" customFormat="false" ht="35.05" hidden="false" customHeight="false" outlineLevel="0" collapsed="false">
      <c r="A467" s="6" t="s">
        <v>1393</v>
      </c>
      <c r="B467" s="6" t="s">
        <v>123</v>
      </c>
      <c r="C467" s="6" t="s">
        <v>1362</v>
      </c>
      <c r="D467" s="6" t="s">
        <v>1330</v>
      </c>
      <c r="E467" s="6"/>
      <c r="F467" s="6" t="s">
        <v>1370</v>
      </c>
      <c r="G467" s="6" t="s">
        <v>4406</v>
      </c>
      <c r="H467" s="6" t="s">
        <v>4441</v>
      </c>
      <c r="I467" s="6" t="n">
        <v>96</v>
      </c>
      <c r="J467" s="6" t="s">
        <v>83</v>
      </c>
      <c r="K467" s="6" t="s">
        <v>4448</v>
      </c>
      <c r="L467" s="7"/>
      <c r="M467" s="7"/>
    </row>
    <row r="468" customFormat="false" ht="35.05" hidden="false" customHeight="false" outlineLevel="0" collapsed="false">
      <c r="A468" s="6" t="s">
        <v>1393</v>
      </c>
      <c r="B468" s="6" t="s">
        <v>123</v>
      </c>
      <c r="C468" s="6" t="s">
        <v>1362</v>
      </c>
      <c r="D468" s="6" t="s">
        <v>1330</v>
      </c>
      <c r="E468" s="6"/>
      <c r="F468" s="6" t="s">
        <v>1370</v>
      </c>
      <c r="G468" s="6" t="s">
        <v>4409</v>
      </c>
      <c r="H468" s="6" t="s">
        <v>4442</v>
      </c>
      <c r="I468" s="6" t="n">
        <v>62</v>
      </c>
      <c r="J468" s="6"/>
      <c r="K468" s="6" t="s">
        <v>4411</v>
      </c>
      <c r="L468" s="7"/>
      <c r="M468" s="7"/>
    </row>
    <row r="469" customFormat="false" ht="35.05" hidden="false" customHeight="false" outlineLevel="0" collapsed="false">
      <c r="A469" s="6" t="s">
        <v>1393</v>
      </c>
      <c r="B469" s="6" t="s">
        <v>123</v>
      </c>
      <c r="C469" s="6" t="s">
        <v>1362</v>
      </c>
      <c r="D469" s="6" t="s">
        <v>1330</v>
      </c>
      <c r="E469" s="6"/>
      <c r="F469" s="6" t="s">
        <v>1370</v>
      </c>
      <c r="G469" s="6" t="s">
        <v>4412</v>
      </c>
      <c r="H469" s="6" t="s">
        <v>4443</v>
      </c>
      <c r="I469" s="6" t="n">
        <v>28</v>
      </c>
      <c r="J469" s="6"/>
      <c r="K469" s="6" t="s">
        <v>4414</v>
      </c>
      <c r="L469" s="7"/>
      <c r="M469" s="7"/>
    </row>
    <row r="470" customFormat="false" ht="35.05" hidden="false" customHeight="false" outlineLevel="0" collapsed="false">
      <c r="A470" s="6" t="s">
        <v>1393</v>
      </c>
      <c r="B470" s="6" t="s">
        <v>123</v>
      </c>
      <c r="C470" s="6" t="s">
        <v>1362</v>
      </c>
      <c r="D470" s="6" t="s">
        <v>1330</v>
      </c>
      <c r="E470" s="6"/>
      <c r="F470" s="6" t="s">
        <v>1370</v>
      </c>
      <c r="G470" s="6" t="s">
        <v>4415</v>
      </c>
      <c r="H470" s="6" t="s">
        <v>4444</v>
      </c>
      <c r="I470" s="6" t="n">
        <v>18</v>
      </c>
      <c r="J470" s="6"/>
      <c r="K470" s="6" t="s">
        <v>4417</v>
      </c>
      <c r="L470" s="7"/>
      <c r="M470" s="7"/>
    </row>
    <row r="471" customFormat="false" ht="23.85" hidden="false" customHeight="false" outlineLevel="0" collapsed="false">
      <c r="A471" s="6" t="s">
        <v>1395</v>
      </c>
      <c r="B471" s="6" t="s">
        <v>123</v>
      </c>
      <c r="C471" s="6" t="s">
        <v>79</v>
      </c>
      <c r="D471" s="6" t="s">
        <v>1330</v>
      </c>
      <c r="E471" s="6"/>
      <c r="F471" s="6" t="s">
        <v>1335</v>
      </c>
      <c r="G471" s="6" t="s">
        <v>4406</v>
      </c>
      <c r="H471" s="6" t="s">
        <v>4407</v>
      </c>
      <c r="I471" s="6" t="n">
        <v>96</v>
      </c>
      <c r="J471" s="6" t="s">
        <v>83</v>
      </c>
      <c r="K471" s="6" t="s">
        <v>4449</v>
      </c>
      <c r="L471" s="7"/>
      <c r="M471" s="7"/>
    </row>
    <row r="472" customFormat="false" ht="23.85" hidden="false" customHeight="false" outlineLevel="0" collapsed="false">
      <c r="A472" s="6" t="s">
        <v>1395</v>
      </c>
      <c r="B472" s="6" t="s">
        <v>123</v>
      </c>
      <c r="C472" s="6" t="s">
        <v>79</v>
      </c>
      <c r="D472" s="6" t="s">
        <v>1330</v>
      </c>
      <c r="E472" s="6"/>
      <c r="F472" s="6" t="s">
        <v>1335</v>
      </c>
      <c r="G472" s="6" t="s">
        <v>4409</v>
      </c>
      <c r="H472" s="6" t="s">
        <v>4410</v>
      </c>
      <c r="I472" s="6" t="n">
        <v>60</v>
      </c>
      <c r="J472" s="6"/>
      <c r="K472" s="6" t="s">
        <v>4411</v>
      </c>
      <c r="L472" s="7"/>
      <c r="M472" s="7"/>
    </row>
    <row r="473" customFormat="false" ht="23.85" hidden="false" customHeight="false" outlineLevel="0" collapsed="false">
      <c r="A473" s="6" t="s">
        <v>1395</v>
      </c>
      <c r="B473" s="6" t="s">
        <v>123</v>
      </c>
      <c r="C473" s="6" t="s">
        <v>79</v>
      </c>
      <c r="D473" s="6" t="s">
        <v>1330</v>
      </c>
      <c r="E473" s="6"/>
      <c r="F473" s="6" t="s">
        <v>1335</v>
      </c>
      <c r="G473" s="6" t="s">
        <v>4412</v>
      </c>
      <c r="H473" s="6" t="s">
        <v>4413</v>
      </c>
      <c r="I473" s="6" t="n">
        <v>28</v>
      </c>
      <c r="J473" s="6"/>
      <c r="K473" s="6" t="s">
        <v>4414</v>
      </c>
      <c r="L473" s="7"/>
      <c r="M473" s="7"/>
    </row>
    <row r="474" customFormat="false" ht="23.85" hidden="false" customHeight="false" outlineLevel="0" collapsed="false">
      <c r="A474" s="6" t="s">
        <v>1395</v>
      </c>
      <c r="B474" s="6" t="s">
        <v>123</v>
      </c>
      <c r="C474" s="6" t="s">
        <v>79</v>
      </c>
      <c r="D474" s="6" t="s">
        <v>1330</v>
      </c>
      <c r="E474" s="6"/>
      <c r="F474" s="6" t="s">
        <v>1335</v>
      </c>
      <c r="G474" s="6" t="s">
        <v>4415</v>
      </c>
      <c r="H474" s="6" t="s">
        <v>4416</v>
      </c>
      <c r="I474" s="6" t="n">
        <v>18</v>
      </c>
      <c r="J474" s="6"/>
      <c r="K474" s="6" t="s">
        <v>4417</v>
      </c>
      <c r="L474" s="7"/>
      <c r="M474" s="7"/>
    </row>
    <row r="475" customFormat="false" ht="23.85" hidden="false" customHeight="false" outlineLevel="0" collapsed="false">
      <c r="A475" s="6" t="s">
        <v>1403</v>
      </c>
      <c r="B475" s="6" t="s">
        <v>123</v>
      </c>
      <c r="C475" s="6" t="s">
        <v>98</v>
      </c>
      <c r="D475" s="6" t="s">
        <v>1330</v>
      </c>
      <c r="E475" s="6"/>
      <c r="F475" s="6" t="s">
        <v>1341</v>
      </c>
      <c r="G475" s="6" t="s">
        <v>4406</v>
      </c>
      <c r="H475" s="6" t="s">
        <v>4418</v>
      </c>
      <c r="I475" s="6" t="n">
        <v>96</v>
      </c>
      <c r="J475" s="6" t="s">
        <v>83</v>
      </c>
      <c r="K475" s="6" t="s">
        <v>4450</v>
      </c>
      <c r="L475" s="7"/>
      <c r="M475" s="7"/>
    </row>
    <row r="476" customFormat="false" ht="23.85" hidden="false" customHeight="false" outlineLevel="0" collapsed="false">
      <c r="A476" s="6" t="s">
        <v>1403</v>
      </c>
      <c r="B476" s="6" t="s">
        <v>123</v>
      </c>
      <c r="C476" s="6" t="s">
        <v>98</v>
      </c>
      <c r="D476" s="6" t="s">
        <v>1330</v>
      </c>
      <c r="E476" s="6"/>
      <c r="F476" s="6" t="s">
        <v>1341</v>
      </c>
      <c r="G476" s="6" t="s">
        <v>4409</v>
      </c>
      <c r="H476" s="6" t="s">
        <v>4420</v>
      </c>
      <c r="I476" s="6" t="n">
        <v>58</v>
      </c>
      <c r="J476" s="6"/>
      <c r="K476" s="6" t="s">
        <v>4411</v>
      </c>
      <c r="L476" s="7"/>
      <c r="M476" s="7"/>
    </row>
    <row r="477" customFormat="false" ht="23.85" hidden="false" customHeight="false" outlineLevel="0" collapsed="false">
      <c r="A477" s="6" t="s">
        <v>1403</v>
      </c>
      <c r="B477" s="6" t="s">
        <v>123</v>
      </c>
      <c r="C477" s="6" t="s">
        <v>98</v>
      </c>
      <c r="D477" s="6" t="s">
        <v>1330</v>
      </c>
      <c r="E477" s="6"/>
      <c r="F477" s="6" t="s">
        <v>1341</v>
      </c>
      <c r="G477" s="6" t="s">
        <v>4412</v>
      </c>
      <c r="H477" s="6" t="s">
        <v>4421</v>
      </c>
      <c r="I477" s="6" t="n">
        <v>28</v>
      </c>
      <c r="J477" s="6"/>
      <c r="K477" s="6" t="s">
        <v>4414</v>
      </c>
      <c r="L477" s="7"/>
      <c r="M477" s="7"/>
    </row>
    <row r="478" customFormat="false" ht="23.85" hidden="false" customHeight="false" outlineLevel="0" collapsed="false">
      <c r="A478" s="6" t="s">
        <v>1403</v>
      </c>
      <c r="B478" s="6" t="s">
        <v>123</v>
      </c>
      <c r="C478" s="6" t="s">
        <v>98</v>
      </c>
      <c r="D478" s="6" t="s">
        <v>1330</v>
      </c>
      <c r="E478" s="6"/>
      <c r="F478" s="6" t="s">
        <v>1341</v>
      </c>
      <c r="G478" s="6" t="s">
        <v>4415</v>
      </c>
      <c r="H478" s="6" t="s">
        <v>4422</v>
      </c>
      <c r="I478" s="6" t="n">
        <v>18</v>
      </c>
      <c r="J478" s="6"/>
      <c r="K478" s="6" t="s">
        <v>4417</v>
      </c>
      <c r="L478" s="7"/>
      <c r="M478" s="7"/>
    </row>
    <row r="479" customFormat="false" ht="23.85" hidden="false" customHeight="false" outlineLevel="0" collapsed="false">
      <c r="A479" s="6" t="s">
        <v>1406</v>
      </c>
      <c r="B479" s="6" t="s">
        <v>123</v>
      </c>
      <c r="C479" s="6" t="s">
        <v>98</v>
      </c>
      <c r="D479" s="6" t="s">
        <v>1330</v>
      </c>
      <c r="E479" s="6"/>
      <c r="F479" s="6" t="s">
        <v>1347</v>
      </c>
      <c r="G479" s="6" t="s">
        <v>4406</v>
      </c>
      <c r="H479" s="6" t="s">
        <v>4423</v>
      </c>
      <c r="I479" s="6" t="n">
        <v>96</v>
      </c>
      <c r="J479" s="6" t="s">
        <v>83</v>
      </c>
      <c r="K479" s="6" t="s">
        <v>4450</v>
      </c>
      <c r="L479" s="7"/>
      <c r="M479" s="7"/>
    </row>
    <row r="480" customFormat="false" ht="23.85" hidden="false" customHeight="false" outlineLevel="0" collapsed="false">
      <c r="A480" s="6" t="s">
        <v>1406</v>
      </c>
      <c r="B480" s="6" t="s">
        <v>123</v>
      </c>
      <c r="C480" s="6" t="s">
        <v>98</v>
      </c>
      <c r="D480" s="6" t="s">
        <v>1330</v>
      </c>
      <c r="E480" s="6"/>
      <c r="F480" s="6" t="s">
        <v>1347</v>
      </c>
      <c r="G480" s="6" t="s">
        <v>4409</v>
      </c>
      <c r="H480" s="6" t="s">
        <v>4424</v>
      </c>
      <c r="I480" s="6" t="n">
        <v>58</v>
      </c>
      <c r="J480" s="6"/>
      <c r="K480" s="6" t="s">
        <v>4411</v>
      </c>
      <c r="L480" s="7"/>
      <c r="M480" s="7"/>
    </row>
    <row r="481" customFormat="false" ht="23.85" hidden="false" customHeight="false" outlineLevel="0" collapsed="false">
      <c r="A481" s="6" t="s">
        <v>1406</v>
      </c>
      <c r="B481" s="6" t="s">
        <v>123</v>
      </c>
      <c r="C481" s="6" t="s">
        <v>98</v>
      </c>
      <c r="D481" s="6" t="s">
        <v>1330</v>
      </c>
      <c r="E481" s="6"/>
      <c r="F481" s="6" t="s">
        <v>1347</v>
      </c>
      <c r="G481" s="6" t="s">
        <v>4412</v>
      </c>
      <c r="H481" s="6" t="s">
        <v>4425</v>
      </c>
      <c r="I481" s="6" t="n">
        <v>28</v>
      </c>
      <c r="J481" s="6"/>
      <c r="K481" s="6" t="s">
        <v>4414</v>
      </c>
      <c r="L481" s="7"/>
      <c r="M481" s="7"/>
    </row>
    <row r="482" customFormat="false" ht="23.85" hidden="false" customHeight="false" outlineLevel="0" collapsed="false">
      <c r="A482" s="6" t="s">
        <v>1406</v>
      </c>
      <c r="B482" s="6" t="s">
        <v>123</v>
      </c>
      <c r="C482" s="6" t="s">
        <v>98</v>
      </c>
      <c r="D482" s="6" t="s">
        <v>1330</v>
      </c>
      <c r="E482" s="6"/>
      <c r="F482" s="6" t="s">
        <v>1347</v>
      </c>
      <c r="G482" s="6" t="s">
        <v>4415</v>
      </c>
      <c r="H482" s="6" t="s">
        <v>4426</v>
      </c>
      <c r="I482" s="6" t="n">
        <v>18</v>
      </c>
      <c r="J482" s="6"/>
      <c r="K482" s="6" t="s">
        <v>4417</v>
      </c>
      <c r="L482" s="7"/>
      <c r="M482" s="7"/>
    </row>
    <row r="483" customFormat="false" ht="35.05" hidden="false" customHeight="false" outlineLevel="0" collapsed="false">
      <c r="A483" s="6" t="s">
        <v>1408</v>
      </c>
      <c r="B483" s="6" t="s">
        <v>123</v>
      </c>
      <c r="C483" s="6" t="s">
        <v>165</v>
      </c>
      <c r="D483" s="6" t="s">
        <v>1330</v>
      </c>
      <c r="E483" s="6"/>
      <c r="F483" s="6" t="s">
        <v>1352</v>
      </c>
      <c r="G483" s="6" t="s">
        <v>4406</v>
      </c>
      <c r="H483" s="6" t="s">
        <v>4427</v>
      </c>
      <c r="I483" s="6" t="n">
        <v>96</v>
      </c>
      <c r="J483" s="6" t="s">
        <v>83</v>
      </c>
      <c r="K483" s="6" t="s">
        <v>4451</v>
      </c>
      <c r="L483" s="7"/>
      <c r="M483" s="7"/>
    </row>
    <row r="484" customFormat="false" ht="23.85" hidden="false" customHeight="false" outlineLevel="0" collapsed="false">
      <c r="A484" s="6" t="s">
        <v>1408</v>
      </c>
      <c r="B484" s="6" t="s">
        <v>123</v>
      </c>
      <c r="C484" s="6" t="s">
        <v>165</v>
      </c>
      <c r="D484" s="6" t="s">
        <v>1330</v>
      </c>
      <c r="E484" s="6"/>
      <c r="F484" s="6" t="s">
        <v>1352</v>
      </c>
      <c r="G484" s="6" t="s">
        <v>4409</v>
      </c>
      <c r="H484" s="6" t="s">
        <v>4429</v>
      </c>
      <c r="I484" s="6" t="n">
        <v>62</v>
      </c>
      <c r="J484" s="6"/>
      <c r="K484" s="6" t="s">
        <v>4411</v>
      </c>
      <c r="L484" s="7"/>
      <c r="M484" s="7"/>
    </row>
    <row r="485" customFormat="false" ht="23.85" hidden="false" customHeight="false" outlineLevel="0" collapsed="false">
      <c r="A485" s="6" t="s">
        <v>1408</v>
      </c>
      <c r="B485" s="6" t="s">
        <v>123</v>
      </c>
      <c r="C485" s="6" t="s">
        <v>165</v>
      </c>
      <c r="D485" s="6" t="s">
        <v>1330</v>
      </c>
      <c r="E485" s="6"/>
      <c r="F485" s="6" t="s">
        <v>1352</v>
      </c>
      <c r="G485" s="6" t="s">
        <v>4412</v>
      </c>
      <c r="H485" s="6" t="s">
        <v>4430</v>
      </c>
      <c r="I485" s="6" t="n">
        <v>28</v>
      </c>
      <c r="J485" s="6"/>
      <c r="K485" s="6" t="s">
        <v>4414</v>
      </c>
      <c r="L485" s="7"/>
      <c r="M485" s="7"/>
    </row>
    <row r="486" customFormat="false" ht="23.85" hidden="false" customHeight="false" outlineLevel="0" collapsed="false">
      <c r="A486" s="6" t="s">
        <v>1408</v>
      </c>
      <c r="B486" s="6" t="s">
        <v>123</v>
      </c>
      <c r="C486" s="6" t="s">
        <v>165</v>
      </c>
      <c r="D486" s="6" t="s">
        <v>1330</v>
      </c>
      <c r="E486" s="6"/>
      <c r="F486" s="6" t="s">
        <v>1352</v>
      </c>
      <c r="G486" s="6" t="s">
        <v>4415</v>
      </c>
      <c r="H486" s="6" t="s">
        <v>4431</v>
      </c>
      <c r="I486" s="6" t="n">
        <v>18</v>
      </c>
      <c r="J486" s="6"/>
      <c r="K486" s="6" t="s">
        <v>4417</v>
      </c>
      <c r="L486" s="7"/>
      <c r="M486" s="7"/>
    </row>
    <row r="487" customFormat="false" ht="35.05" hidden="false" customHeight="false" outlineLevel="0" collapsed="false">
      <c r="A487" s="6" t="s">
        <v>1411</v>
      </c>
      <c r="B487" s="6" t="s">
        <v>123</v>
      </c>
      <c r="C487" s="6" t="s">
        <v>165</v>
      </c>
      <c r="D487" s="6" t="s">
        <v>1330</v>
      </c>
      <c r="E487" s="6"/>
      <c r="F487" s="6" t="s">
        <v>1358</v>
      </c>
      <c r="G487" s="6" t="s">
        <v>4406</v>
      </c>
      <c r="H487" s="6" t="s">
        <v>4432</v>
      </c>
      <c r="I487" s="6" t="n">
        <v>96</v>
      </c>
      <c r="J487" s="6" t="s">
        <v>83</v>
      </c>
      <c r="K487" s="6" t="s">
        <v>4451</v>
      </c>
      <c r="L487" s="7"/>
      <c r="M487" s="7"/>
    </row>
    <row r="488" customFormat="false" ht="23.85" hidden="false" customHeight="false" outlineLevel="0" collapsed="false">
      <c r="A488" s="6" t="s">
        <v>1411</v>
      </c>
      <c r="B488" s="6" t="s">
        <v>123</v>
      </c>
      <c r="C488" s="6" t="s">
        <v>165</v>
      </c>
      <c r="D488" s="6" t="s">
        <v>1330</v>
      </c>
      <c r="E488" s="6"/>
      <c r="F488" s="6" t="s">
        <v>1358</v>
      </c>
      <c r="G488" s="6" t="s">
        <v>4409</v>
      </c>
      <c r="H488" s="6" t="s">
        <v>4433</v>
      </c>
      <c r="I488" s="6" t="n">
        <v>62</v>
      </c>
      <c r="J488" s="6"/>
      <c r="K488" s="6" t="s">
        <v>4411</v>
      </c>
      <c r="L488" s="7"/>
      <c r="M488" s="7"/>
    </row>
    <row r="489" customFormat="false" ht="23.85" hidden="false" customHeight="false" outlineLevel="0" collapsed="false">
      <c r="A489" s="6" t="s">
        <v>1411</v>
      </c>
      <c r="B489" s="6" t="s">
        <v>123</v>
      </c>
      <c r="C489" s="6" t="s">
        <v>165</v>
      </c>
      <c r="D489" s="6" t="s">
        <v>1330</v>
      </c>
      <c r="E489" s="6"/>
      <c r="F489" s="6" t="s">
        <v>1358</v>
      </c>
      <c r="G489" s="6" t="s">
        <v>4412</v>
      </c>
      <c r="H489" s="6" t="s">
        <v>4434</v>
      </c>
      <c r="I489" s="6" t="n">
        <v>28</v>
      </c>
      <c r="J489" s="6"/>
      <c r="K489" s="6" t="s">
        <v>4414</v>
      </c>
      <c r="L489" s="7"/>
      <c r="M489" s="7"/>
    </row>
    <row r="490" customFormat="false" ht="23.85" hidden="false" customHeight="false" outlineLevel="0" collapsed="false">
      <c r="A490" s="6" t="s">
        <v>1411</v>
      </c>
      <c r="B490" s="6" t="s">
        <v>123</v>
      </c>
      <c r="C490" s="6" t="s">
        <v>165</v>
      </c>
      <c r="D490" s="6" t="s">
        <v>1330</v>
      </c>
      <c r="E490" s="6"/>
      <c r="F490" s="6" t="s">
        <v>1358</v>
      </c>
      <c r="G490" s="6" t="s">
        <v>4415</v>
      </c>
      <c r="H490" s="6" t="s">
        <v>4435</v>
      </c>
      <c r="I490" s="6" t="n">
        <v>18</v>
      </c>
      <c r="J490" s="6"/>
      <c r="K490" s="6" t="s">
        <v>4417</v>
      </c>
      <c r="L490" s="7"/>
      <c r="M490" s="7"/>
    </row>
    <row r="491" customFormat="false" ht="35.05" hidden="false" customHeight="false" outlineLevel="0" collapsed="false">
      <c r="A491" s="6" t="s">
        <v>1413</v>
      </c>
      <c r="B491" s="6" t="s">
        <v>123</v>
      </c>
      <c r="C491" s="6" t="s">
        <v>1362</v>
      </c>
      <c r="D491" s="6" t="s">
        <v>1330</v>
      </c>
      <c r="E491" s="6"/>
      <c r="F491" s="6" t="s">
        <v>1364</v>
      </c>
      <c r="G491" s="6" t="s">
        <v>4406</v>
      </c>
      <c r="H491" s="6" t="s">
        <v>4436</v>
      </c>
      <c r="I491" s="6" t="n">
        <v>96</v>
      </c>
      <c r="J491" s="6" t="s">
        <v>83</v>
      </c>
      <c r="K491" s="6" t="s">
        <v>4452</v>
      </c>
      <c r="L491" s="7"/>
      <c r="M491" s="7"/>
    </row>
    <row r="492" customFormat="false" ht="35.05" hidden="false" customHeight="false" outlineLevel="0" collapsed="false">
      <c r="A492" s="6" t="s">
        <v>1413</v>
      </c>
      <c r="B492" s="6" t="s">
        <v>123</v>
      </c>
      <c r="C492" s="6" t="s">
        <v>1362</v>
      </c>
      <c r="D492" s="6" t="s">
        <v>1330</v>
      </c>
      <c r="E492" s="6"/>
      <c r="F492" s="6" t="s">
        <v>1364</v>
      </c>
      <c r="G492" s="6" t="s">
        <v>4409</v>
      </c>
      <c r="H492" s="6" t="s">
        <v>4438</v>
      </c>
      <c r="I492" s="6" t="n">
        <v>62</v>
      </c>
      <c r="J492" s="6"/>
      <c r="K492" s="6" t="s">
        <v>4411</v>
      </c>
      <c r="L492" s="7"/>
      <c r="M492" s="7"/>
    </row>
    <row r="493" customFormat="false" ht="35.05" hidden="false" customHeight="false" outlineLevel="0" collapsed="false">
      <c r="A493" s="6" t="s">
        <v>1413</v>
      </c>
      <c r="B493" s="6" t="s">
        <v>123</v>
      </c>
      <c r="C493" s="6" t="s">
        <v>1362</v>
      </c>
      <c r="D493" s="6" t="s">
        <v>1330</v>
      </c>
      <c r="E493" s="6"/>
      <c r="F493" s="6" t="s">
        <v>1364</v>
      </c>
      <c r="G493" s="6" t="s">
        <v>4412</v>
      </c>
      <c r="H493" s="6" t="s">
        <v>4439</v>
      </c>
      <c r="I493" s="6" t="n">
        <v>28</v>
      </c>
      <c r="J493" s="6"/>
      <c r="K493" s="6" t="s">
        <v>4414</v>
      </c>
      <c r="L493" s="7"/>
      <c r="M493" s="7"/>
    </row>
    <row r="494" customFormat="false" ht="35.05" hidden="false" customHeight="false" outlineLevel="0" collapsed="false">
      <c r="A494" s="6" t="s">
        <v>1413</v>
      </c>
      <c r="B494" s="6" t="s">
        <v>123</v>
      </c>
      <c r="C494" s="6" t="s">
        <v>1362</v>
      </c>
      <c r="D494" s="6" t="s">
        <v>1330</v>
      </c>
      <c r="E494" s="6"/>
      <c r="F494" s="6" t="s">
        <v>1364</v>
      </c>
      <c r="G494" s="6" t="s">
        <v>4415</v>
      </c>
      <c r="H494" s="6" t="s">
        <v>4440</v>
      </c>
      <c r="I494" s="6" t="n">
        <v>18</v>
      </c>
      <c r="J494" s="6"/>
      <c r="K494" s="6" t="s">
        <v>4417</v>
      </c>
      <c r="L494" s="7"/>
      <c r="M494" s="7"/>
    </row>
    <row r="495" customFormat="false" ht="35.05" hidden="false" customHeight="false" outlineLevel="0" collapsed="false">
      <c r="A495" s="6" t="s">
        <v>1416</v>
      </c>
      <c r="B495" s="6" t="s">
        <v>123</v>
      </c>
      <c r="C495" s="6" t="s">
        <v>1362</v>
      </c>
      <c r="D495" s="6" t="s">
        <v>1330</v>
      </c>
      <c r="E495" s="6"/>
      <c r="F495" s="6" t="s">
        <v>1370</v>
      </c>
      <c r="G495" s="6" t="s">
        <v>4406</v>
      </c>
      <c r="H495" s="6" t="s">
        <v>4441</v>
      </c>
      <c r="I495" s="6" t="n">
        <v>96</v>
      </c>
      <c r="J495" s="6" t="s">
        <v>83</v>
      </c>
      <c r="K495" s="6" t="s">
        <v>4452</v>
      </c>
      <c r="L495" s="7"/>
      <c r="M495" s="7"/>
    </row>
    <row r="496" customFormat="false" ht="23.85" hidden="false" customHeight="false" outlineLevel="0" collapsed="false">
      <c r="A496" s="6" t="s">
        <v>1416</v>
      </c>
      <c r="B496" s="6" t="s">
        <v>123</v>
      </c>
      <c r="C496" s="6" t="s">
        <v>1362</v>
      </c>
      <c r="D496" s="6" t="s">
        <v>1330</v>
      </c>
      <c r="E496" s="6"/>
      <c r="F496" s="6" t="s">
        <v>1370</v>
      </c>
      <c r="G496" s="6" t="s">
        <v>4409</v>
      </c>
      <c r="H496" s="6" t="s">
        <v>4442</v>
      </c>
      <c r="I496" s="6" t="n">
        <v>62</v>
      </c>
      <c r="J496" s="6"/>
      <c r="K496" s="6" t="s">
        <v>4411</v>
      </c>
      <c r="L496" s="7"/>
      <c r="M496" s="7"/>
    </row>
    <row r="497" customFormat="false" ht="23.85" hidden="false" customHeight="false" outlineLevel="0" collapsed="false">
      <c r="A497" s="6" t="s">
        <v>1416</v>
      </c>
      <c r="B497" s="6" t="s">
        <v>123</v>
      </c>
      <c r="C497" s="6" t="s">
        <v>1362</v>
      </c>
      <c r="D497" s="6" t="s">
        <v>1330</v>
      </c>
      <c r="E497" s="6"/>
      <c r="F497" s="6" t="s">
        <v>1370</v>
      </c>
      <c r="G497" s="6" t="s">
        <v>4412</v>
      </c>
      <c r="H497" s="6" t="s">
        <v>4443</v>
      </c>
      <c r="I497" s="6" t="n">
        <v>28</v>
      </c>
      <c r="J497" s="6"/>
      <c r="K497" s="6" t="s">
        <v>4414</v>
      </c>
      <c r="L497" s="7"/>
      <c r="M497" s="7"/>
    </row>
    <row r="498" customFormat="false" ht="23.85" hidden="false" customHeight="false" outlineLevel="0" collapsed="false">
      <c r="A498" s="6" t="s">
        <v>1416</v>
      </c>
      <c r="B498" s="6" t="s">
        <v>123</v>
      </c>
      <c r="C498" s="6" t="s">
        <v>1362</v>
      </c>
      <c r="D498" s="6" t="s">
        <v>1330</v>
      </c>
      <c r="E498" s="6"/>
      <c r="F498" s="6" t="s">
        <v>1370</v>
      </c>
      <c r="G498" s="6" t="s">
        <v>4415</v>
      </c>
      <c r="H498" s="6" t="s">
        <v>4444</v>
      </c>
      <c r="I498" s="6" t="n">
        <v>18</v>
      </c>
      <c r="J498" s="6"/>
      <c r="K498" s="6" t="s">
        <v>4417</v>
      </c>
      <c r="L498" s="7"/>
      <c r="M498" s="7"/>
    </row>
    <row r="499" customFormat="false" ht="23.85" hidden="false" customHeight="false" outlineLevel="0" collapsed="false">
      <c r="A499" s="6" t="s">
        <v>1418</v>
      </c>
      <c r="B499" s="6" t="s">
        <v>123</v>
      </c>
      <c r="C499" s="6" t="s">
        <v>79</v>
      </c>
      <c r="D499" s="6" t="s">
        <v>1330</v>
      </c>
      <c r="E499" s="6"/>
      <c r="F499" s="6" t="s">
        <v>1335</v>
      </c>
      <c r="G499" s="6" t="s">
        <v>4406</v>
      </c>
      <c r="H499" s="6" t="s">
        <v>4407</v>
      </c>
      <c r="I499" s="6" t="n">
        <v>96</v>
      </c>
      <c r="J499" s="6" t="s">
        <v>83</v>
      </c>
      <c r="K499" s="6" t="s">
        <v>4453</v>
      </c>
      <c r="L499" s="7"/>
      <c r="M499" s="7"/>
    </row>
    <row r="500" customFormat="false" ht="23.85" hidden="false" customHeight="false" outlineLevel="0" collapsed="false">
      <c r="A500" s="6" t="s">
        <v>1418</v>
      </c>
      <c r="B500" s="6" t="s">
        <v>123</v>
      </c>
      <c r="C500" s="6" t="s">
        <v>79</v>
      </c>
      <c r="D500" s="6" t="s">
        <v>1330</v>
      </c>
      <c r="E500" s="6"/>
      <c r="F500" s="6" t="s">
        <v>1335</v>
      </c>
      <c r="G500" s="6" t="s">
        <v>4409</v>
      </c>
      <c r="H500" s="6" t="s">
        <v>4410</v>
      </c>
      <c r="I500" s="6" t="n">
        <v>60</v>
      </c>
      <c r="J500" s="6"/>
      <c r="K500" s="6" t="s">
        <v>4411</v>
      </c>
      <c r="L500" s="7"/>
      <c r="M500" s="7"/>
    </row>
    <row r="501" customFormat="false" ht="23.85" hidden="false" customHeight="false" outlineLevel="0" collapsed="false">
      <c r="A501" s="6" t="s">
        <v>1418</v>
      </c>
      <c r="B501" s="6" t="s">
        <v>123</v>
      </c>
      <c r="C501" s="6" t="s">
        <v>79</v>
      </c>
      <c r="D501" s="6" t="s">
        <v>1330</v>
      </c>
      <c r="E501" s="6"/>
      <c r="F501" s="6" t="s">
        <v>1335</v>
      </c>
      <c r="G501" s="6" t="s">
        <v>4412</v>
      </c>
      <c r="H501" s="6" t="s">
        <v>4413</v>
      </c>
      <c r="I501" s="6" t="n">
        <v>28</v>
      </c>
      <c r="J501" s="6"/>
      <c r="K501" s="6" t="s">
        <v>4414</v>
      </c>
      <c r="L501" s="7"/>
      <c r="M501" s="7"/>
    </row>
    <row r="502" customFormat="false" ht="23.85" hidden="false" customHeight="false" outlineLevel="0" collapsed="false">
      <c r="A502" s="6" t="s">
        <v>1418</v>
      </c>
      <c r="B502" s="6" t="s">
        <v>123</v>
      </c>
      <c r="C502" s="6" t="s">
        <v>79</v>
      </c>
      <c r="D502" s="6" t="s">
        <v>1330</v>
      </c>
      <c r="E502" s="6"/>
      <c r="F502" s="6" t="s">
        <v>1335</v>
      </c>
      <c r="G502" s="6" t="s">
        <v>4415</v>
      </c>
      <c r="H502" s="6" t="s">
        <v>4416</v>
      </c>
      <c r="I502" s="6" t="n">
        <v>18</v>
      </c>
      <c r="J502" s="6"/>
      <c r="K502" s="6" t="s">
        <v>4417</v>
      </c>
      <c r="L502" s="7"/>
      <c r="M502" s="7"/>
    </row>
    <row r="503" customFormat="false" ht="23.85" hidden="false" customHeight="false" outlineLevel="0" collapsed="false">
      <c r="A503" s="6" t="s">
        <v>1425</v>
      </c>
      <c r="B503" s="6" t="s">
        <v>123</v>
      </c>
      <c r="C503" s="6" t="s">
        <v>98</v>
      </c>
      <c r="D503" s="6" t="s">
        <v>1330</v>
      </c>
      <c r="E503" s="6"/>
      <c r="F503" s="6" t="s">
        <v>1341</v>
      </c>
      <c r="G503" s="6" t="s">
        <v>4406</v>
      </c>
      <c r="H503" s="6" t="s">
        <v>4418</v>
      </c>
      <c r="I503" s="6" t="n">
        <v>96</v>
      </c>
      <c r="J503" s="6" t="s">
        <v>83</v>
      </c>
      <c r="K503" s="6" t="s">
        <v>4454</v>
      </c>
      <c r="L503" s="7"/>
      <c r="M503" s="7"/>
    </row>
    <row r="504" customFormat="false" ht="23.85" hidden="false" customHeight="false" outlineLevel="0" collapsed="false">
      <c r="A504" s="6" t="s">
        <v>1425</v>
      </c>
      <c r="B504" s="6" t="s">
        <v>123</v>
      </c>
      <c r="C504" s="6" t="s">
        <v>98</v>
      </c>
      <c r="D504" s="6" t="s">
        <v>1330</v>
      </c>
      <c r="E504" s="6"/>
      <c r="F504" s="6" t="s">
        <v>1341</v>
      </c>
      <c r="G504" s="6" t="s">
        <v>4409</v>
      </c>
      <c r="H504" s="6" t="s">
        <v>4420</v>
      </c>
      <c r="I504" s="6" t="n">
        <v>58</v>
      </c>
      <c r="J504" s="6"/>
      <c r="K504" s="6" t="s">
        <v>4411</v>
      </c>
      <c r="L504" s="7"/>
      <c r="M504" s="7"/>
    </row>
    <row r="505" customFormat="false" ht="23.85" hidden="false" customHeight="false" outlineLevel="0" collapsed="false">
      <c r="A505" s="6" t="s">
        <v>1425</v>
      </c>
      <c r="B505" s="6" t="s">
        <v>123</v>
      </c>
      <c r="C505" s="6" t="s">
        <v>98</v>
      </c>
      <c r="D505" s="6" t="s">
        <v>1330</v>
      </c>
      <c r="E505" s="6"/>
      <c r="F505" s="6" t="s">
        <v>1341</v>
      </c>
      <c r="G505" s="6" t="s">
        <v>4412</v>
      </c>
      <c r="H505" s="6" t="s">
        <v>4421</v>
      </c>
      <c r="I505" s="6" t="n">
        <v>28</v>
      </c>
      <c r="J505" s="6"/>
      <c r="K505" s="6" t="s">
        <v>4414</v>
      </c>
      <c r="L505" s="7"/>
      <c r="M505" s="7"/>
    </row>
    <row r="506" customFormat="false" ht="23.85" hidden="false" customHeight="false" outlineLevel="0" collapsed="false">
      <c r="A506" s="6" t="s">
        <v>1425</v>
      </c>
      <c r="B506" s="6" t="s">
        <v>123</v>
      </c>
      <c r="C506" s="6" t="s">
        <v>98</v>
      </c>
      <c r="D506" s="6" t="s">
        <v>1330</v>
      </c>
      <c r="E506" s="6"/>
      <c r="F506" s="6" t="s">
        <v>1341</v>
      </c>
      <c r="G506" s="6" t="s">
        <v>4415</v>
      </c>
      <c r="H506" s="6" t="s">
        <v>4422</v>
      </c>
      <c r="I506" s="6" t="n">
        <v>18</v>
      </c>
      <c r="J506" s="6"/>
      <c r="K506" s="6" t="s">
        <v>4417</v>
      </c>
      <c r="L506" s="7"/>
      <c r="M506" s="7"/>
    </row>
    <row r="507" customFormat="false" ht="23.85" hidden="false" customHeight="false" outlineLevel="0" collapsed="false">
      <c r="A507" s="6" t="s">
        <v>1428</v>
      </c>
      <c r="B507" s="6" t="s">
        <v>123</v>
      </c>
      <c r="C507" s="6" t="s">
        <v>98</v>
      </c>
      <c r="D507" s="6" t="s">
        <v>1330</v>
      </c>
      <c r="E507" s="6"/>
      <c r="F507" s="6" t="s">
        <v>1347</v>
      </c>
      <c r="G507" s="6" t="s">
        <v>4406</v>
      </c>
      <c r="H507" s="6" t="s">
        <v>4423</v>
      </c>
      <c r="I507" s="6" t="n">
        <v>96</v>
      </c>
      <c r="J507" s="6" t="s">
        <v>83</v>
      </c>
      <c r="K507" s="6" t="s">
        <v>4454</v>
      </c>
      <c r="L507" s="7"/>
      <c r="M507" s="7"/>
    </row>
    <row r="508" customFormat="false" ht="23.85" hidden="false" customHeight="false" outlineLevel="0" collapsed="false">
      <c r="A508" s="6" t="s">
        <v>1428</v>
      </c>
      <c r="B508" s="6" t="s">
        <v>123</v>
      </c>
      <c r="C508" s="6" t="s">
        <v>98</v>
      </c>
      <c r="D508" s="6" t="s">
        <v>1330</v>
      </c>
      <c r="E508" s="6"/>
      <c r="F508" s="6" t="s">
        <v>1347</v>
      </c>
      <c r="G508" s="6" t="s">
        <v>4409</v>
      </c>
      <c r="H508" s="6" t="s">
        <v>4424</v>
      </c>
      <c r="I508" s="6" t="n">
        <v>58</v>
      </c>
      <c r="J508" s="6"/>
      <c r="K508" s="6" t="s">
        <v>4411</v>
      </c>
      <c r="L508" s="7"/>
      <c r="M508" s="7"/>
    </row>
    <row r="509" customFormat="false" ht="23.85" hidden="false" customHeight="false" outlineLevel="0" collapsed="false">
      <c r="A509" s="6" t="s">
        <v>1428</v>
      </c>
      <c r="B509" s="6" t="s">
        <v>123</v>
      </c>
      <c r="C509" s="6" t="s">
        <v>98</v>
      </c>
      <c r="D509" s="6" t="s">
        <v>1330</v>
      </c>
      <c r="E509" s="6"/>
      <c r="F509" s="6" t="s">
        <v>1347</v>
      </c>
      <c r="G509" s="6" t="s">
        <v>4412</v>
      </c>
      <c r="H509" s="6" t="s">
        <v>4425</v>
      </c>
      <c r="I509" s="6" t="n">
        <v>28</v>
      </c>
      <c r="J509" s="6"/>
      <c r="K509" s="6" t="s">
        <v>4414</v>
      </c>
      <c r="L509" s="7"/>
      <c r="M509" s="7"/>
    </row>
    <row r="510" customFormat="false" ht="23.85" hidden="false" customHeight="false" outlineLevel="0" collapsed="false">
      <c r="A510" s="6" t="s">
        <v>1428</v>
      </c>
      <c r="B510" s="6" t="s">
        <v>123</v>
      </c>
      <c r="C510" s="6" t="s">
        <v>98</v>
      </c>
      <c r="D510" s="6" t="s">
        <v>1330</v>
      </c>
      <c r="E510" s="6"/>
      <c r="F510" s="6" t="s">
        <v>1347</v>
      </c>
      <c r="G510" s="6" t="s">
        <v>4415</v>
      </c>
      <c r="H510" s="6" t="s">
        <v>4426</v>
      </c>
      <c r="I510" s="6" t="n">
        <v>18</v>
      </c>
      <c r="J510" s="6"/>
      <c r="K510" s="6" t="s">
        <v>4417</v>
      </c>
      <c r="L510" s="7"/>
      <c r="M510" s="7"/>
    </row>
    <row r="511" customFormat="false" ht="35.05" hidden="false" customHeight="false" outlineLevel="0" collapsed="false">
      <c r="A511" s="6" t="s">
        <v>1430</v>
      </c>
      <c r="B511" s="6" t="s">
        <v>123</v>
      </c>
      <c r="C511" s="6" t="s">
        <v>165</v>
      </c>
      <c r="D511" s="6" t="s">
        <v>1330</v>
      </c>
      <c r="E511" s="6"/>
      <c r="F511" s="6" t="s">
        <v>1352</v>
      </c>
      <c r="G511" s="6" t="s">
        <v>4406</v>
      </c>
      <c r="H511" s="6" t="s">
        <v>4427</v>
      </c>
      <c r="I511" s="6" t="n">
        <v>96</v>
      </c>
      <c r="J511" s="6" t="s">
        <v>83</v>
      </c>
      <c r="K511" s="6" t="s">
        <v>4455</v>
      </c>
      <c r="L511" s="7"/>
      <c r="M511" s="7"/>
    </row>
    <row r="512" customFormat="false" ht="23.85" hidden="false" customHeight="false" outlineLevel="0" collapsed="false">
      <c r="A512" s="6" t="s">
        <v>1430</v>
      </c>
      <c r="B512" s="6" t="s">
        <v>123</v>
      </c>
      <c r="C512" s="6" t="s">
        <v>165</v>
      </c>
      <c r="D512" s="6" t="s">
        <v>1330</v>
      </c>
      <c r="E512" s="6"/>
      <c r="F512" s="6" t="s">
        <v>1352</v>
      </c>
      <c r="G512" s="6" t="s">
        <v>4409</v>
      </c>
      <c r="H512" s="6" t="s">
        <v>4429</v>
      </c>
      <c r="I512" s="6" t="n">
        <v>62</v>
      </c>
      <c r="J512" s="6"/>
      <c r="K512" s="6" t="s">
        <v>4411</v>
      </c>
      <c r="L512" s="7"/>
      <c r="M512" s="7"/>
    </row>
    <row r="513" customFormat="false" ht="23.85" hidden="false" customHeight="false" outlineLevel="0" collapsed="false">
      <c r="A513" s="6" t="s">
        <v>1430</v>
      </c>
      <c r="B513" s="6" t="s">
        <v>123</v>
      </c>
      <c r="C513" s="6" t="s">
        <v>165</v>
      </c>
      <c r="D513" s="6" t="s">
        <v>1330</v>
      </c>
      <c r="E513" s="6"/>
      <c r="F513" s="6" t="s">
        <v>1352</v>
      </c>
      <c r="G513" s="6" t="s">
        <v>4412</v>
      </c>
      <c r="H513" s="6" t="s">
        <v>4430</v>
      </c>
      <c r="I513" s="6" t="n">
        <v>28</v>
      </c>
      <c r="J513" s="6"/>
      <c r="K513" s="6" t="s">
        <v>4414</v>
      </c>
      <c r="L513" s="7"/>
      <c r="M513" s="7"/>
    </row>
    <row r="514" customFormat="false" ht="23.85" hidden="false" customHeight="false" outlineLevel="0" collapsed="false">
      <c r="A514" s="6" t="s">
        <v>1430</v>
      </c>
      <c r="B514" s="6" t="s">
        <v>123</v>
      </c>
      <c r="C514" s="6" t="s">
        <v>165</v>
      </c>
      <c r="D514" s="6" t="s">
        <v>1330</v>
      </c>
      <c r="E514" s="6"/>
      <c r="F514" s="6" t="s">
        <v>1352</v>
      </c>
      <c r="G514" s="6" t="s">
        <v>4415</v>
      </c>
      <c r="H514" s="6" t="s">
        <v>4431</v>
      </c>
      <c r="I514" s="6" t="n">
        <v>18</v>
      </c>
      <c r="J514" s="6"/>
      <c r="K514" s="6" t="s">
        <v>4417</v>
      </c>
      <c r="L514" s="7"/>
      <c r="M514" s="7"/>
    </row>
    <row r="515" customFormat="false" ht="35.05" hidden="false" customHeight="false" outlineLevel="0" collapsed="false">
      <c r="A515" s="6" t="s">
        <v>1433</v>
      </c>
      <c r="B515" s="6" t="s">
        <v>123</v>
      </c>
      <c r="C515" s="6" t="s">
        <v>165</v>
      </c>
      <c r="D515" s="6" t="s">
        <v>1330</v>
      </c>
      <c r="E515" s="6"/>
      <c r="F515" s="6" t="s">
        <v>1358</v>
      </c>
      <c r="G515" s="6" t="s">
        <v>4406</v>
      </c>
      <c r="H515" s="6" t="s">
        <v>4432</v>
      </c>
      <c r="I515" s="6" t="n">
        <v>96</v>
      </c>
      <c r="J515" s="6" t="s">
        <v>83</v>
      </c>
      <c r="K515" s="6" t="s">
        <v>4455</v>
      </c>
      <c r="L515" s="7"/>
      <c r="M515" s="7"/>
    </row>
    <row r="516" customFormat="false" ht="23.85" hidden="false" customHeight="false" outlineLevel="0" collapsed="false">
      <c r="A516" s="6" t="s">
        <v>1433</v>
      </c>
      <c r="B516" s="6" t="s">
        <v>123</v>
      </c>
      <c r="C516" s="6" t="s">
        <v>165</v>
      </c>
      <c r="D516" s="6" t="s">
        <v>1330</v>
      </c>
      <c r="E516" s="6"/>
      <c r="F516" s="6" t="s">
        <v>1358</v>
      </c>
      <c r="G516" s="6" t="s">
        <v>4409</v>
      </c>
      <c r="H516" s="6" t="s">
        <v>4433</v>
      </c>
      <c r="I516" s="6" t="n">
        <v>62</v>
      </c>
      <c r="J516" s="6"/>
      <c r="K516" s="6" t="s">
        <v>4411</v>
      </c>
      <c r="L516" s="7"/>
      <c r="M516" s="7"/>
    </row>
    <row r="517" customFormat="false" ht="23.85" hidden="false" customHeight="false" outlineLevel="0" collapsed="false">
      <c r="A517" s="6" t="s">
        <v>1433</v>
      </c>
      <c r="B517" s="6" t="s">
        <v>123</v>
      </c>
      <c r="C517" s="6" t="s">
        <v>165</v>
      </c>
      <c r="D517" s="6" t="s">
        <v>1330</v>
      </c>
      <c r="E517" s="6"/>
      <c r="F517" s="6" t="s">
        <v>1358</v>
      </c>
      <c r="G517" s="6" t="s">
        <v>4412</v>
      </c>
      <c r="H517" s="6" t="s">
        <v>4434</v>
      </c>
      <c r="I517" s="6" t="n">
        <v>28</v>
      </c>
      <c r="J517" s="6"/>
      <c r="K517" s="6" t="s">
        <v>4414</v>
      </c>
      <c r="L517" s="7"/>
      <c r="M517" s="7"/>
    </row>
    <row r="518" customFormat="false" ht="23.85" hidden="false" customHeight="false" outlineLevel="0" collapsed="false">
      <c r="A518" s="6" t="s">
        <v>1433</v>
      </c>
      <c r="B518" s="6" t="s">
        <v>123</v>
      </c>
      <c r="C518" s="6" t="s">
        <v>165</v>
      </c>
      <c r="D518" s="6" t="s">
        <v>1330</v>
      </c>
      <c r="E518" s="6"/>
      <c r="F518" s="6" t="s">
        <v>1358</v>
      </c>
      <c r="G518" s="6" t="s">
        <v>4415</v>
      </c>
      <c r="H518" s="6" t="s">
        <v>4435</v>
      </c>
      <c r="I518" s="6" t="n">
        <v>18</v>
      </c>
      <c r="J518" s="6"/>
      <c r="K518" s="6" t="s">
        <v>4417</v>
      </c>
      <c r="L518" s="7"/>
      <c r="M518" s="7"/>
    </row>
    <row r="519" customFormat="false" ht="35.05" hidden="false" customHeight="false" outlineLevel="0" collapsed="false">
      <c r="A519" s="6" t="s">
        <v>1435</v>
      </c>
      <c r="B519" s="6" t="s">
        <v>123</v>
      </c>
      <c r="C519" s="6" t="s">
        <v>1362</v>
      </c>
      <c r="D519" s="6" t="s">
        <v>1330</v>
      </c>
      <c r="E519" s="6"/>
      <c r="F519" s="6" t="s">
        <v>1364</v>
      </c>
      <c r="G519" s="6" t="s">
        <v>4406</v>
      </c>
      <c r="H519" s="6" t="s">
        <v>4436</v>
      </c>
      <c r="I519" s="6" t="n">
        <v>96</v>
      </c>
      <c r="J519" s="6" t="s">
        <v>83</v>
      </c>
      <c r="K519" s="6" t="s">
        <v>4456</v>
      </c>
      <c r="L519" s="7"/>
      <c r="M519" s="7"/>
    </row>
    <row r="520" customFormat="false" ht="35.05" hidden="false" customHeight="false" outlineLevel="0" collapsed="false">
      <c r="A520" s="6" t="s">
        <v>1435</v>
      </c>
      <c r="B520" s="6" t="s">
        <v>123</v>
      </c>
      <c r="C520" s="6" t="s">
        <v>1362</v>
      </c>
      <c r="D520" s="6" t="s">
        <v>1330</v>
      </c>
      <c r="E520" s="6"/>
      <c r="F520" s="6" t="s">
        <v>1364</v>
      </c>
      <c r="G520" s="6" t="s">
        <v>4409</v>
      </c>
      <c r="H520" s="6" t="s">
        <v>4438</v>
      </c>
      <c r="I520" s="6" t="n">
        <v>62</v>
      </c>
      <c r="J520" s="6"/>
      <c r="K520" s="6" t="s">
        <v>4411</v>
      </c>
      <c r="L520" s="7"/>
      <c r="M520" s="7"/>
    </row>
    <row r="521" customFormat="false" ht="35.05" hidden="false" customHeight="false" outlineLevel="0" collapsed="false">
      <c r="A521" s="6" t="s">
        <v>1435</v>
      </c>
      <c r="B521" s="6" t="s">
        <v>123</v>
      </c>
      <c r="C521" s="6" t="s">
        <v>1362</v>
      </c>
      <c r="D521" s="6" t="s">
        <v>1330</v>
      </c>
      <c r="E521" s="6"/>
      <c r="F521" s="6" t="s">
        <v>1364</v>
      </c>
      <c r="G521" s="6" t="s">
        <v>4412</v>
      </c>
      <c r="H521" s="6" t="s">
        <v>4439</v>
      </c>
      <c r="I521" s="6" t="n">
        <v>28</v>
      </c>
      <c r="J521" s="6"/>
      <c r="K521" s="6" t="s">
        <v>4414</v>
      </c>
      <c r="L521" s="7"/>
      <c r="M521" s="7"/>
    </row>
    <row r="522" customFormat="false" ht="35.05" hidden="false" customHeight="false" outlineLevel="0" collapsed="false">
      <c r="A522" s="6" t="s">
        <v>1435</v>
      </c>
      <c r="B522" s="6" t="s">
        <v>123</v>
      </c>
      <c r="C522" s="6" t="s">
        <v>1362</v>
      </c>
      <c r="D522" s="6" t="s">
        <v>1330</v>
      </c>
      <c r="E522" s="6"/>
      <c r="F522" s="6" t="s">
        <v>1364</v>
      </c>
      <c r="G522" s="6" t="s">
        <v>4415</v>
      </c>
      <c r="H522" s="6" t="s">
        <v>4440</v>
      </c>
      <c r="I522" s="6" t="n">
        <v>18</v>
      </c>
      <c r="J522" s="6"/>
      <c r="K522" s="6" t="s">
        <v>4417</v>
      </c>
      <c r="L522" s="7"/>
      <c r="M522" s="7"/>
    </row>
    <row r="523" customFormat="false" ht="35.05" hidden="false" customHeight="false" outlineLevel="0" collapsed="false">
      <c r="A523" s="6" t="s">
        <v>1438</v>
      </c>
      <c r="B523" s="6" t="s">
        <v>123</v>
      </c>
      <c r="C523" s="6" t="s">
        <v>1362</v>
      </c>
      <c r="D523" s="6" t="s">
        <v>1330</v>
      </c>
      <c r="E523" s="6"/>
      <c r="F523" s="6" t="s">
        <v>1370</v>
      </c>
      <c r="G523" s="6" t="s">
        <v>4406</v>
      </c>
      <c r="H523" s="6" t="s">
        <v>4441</v>
      </c>
      <c r="I523" s="6" t="n">
        <v>96</v>
      </c>
      <c r="J523" s="6" t="s">
        <v>83</v>
      </c>
      <c r="K523" s="6" t="s">
        <v>4456</v>
      </c>
      <c r="L523" s="7"/>
      <c r="M523" s="7"/>
    </row>
    <row r="524" customFormat="false" ht="23.85" hidden="false" customHeight="false" outlineLevel="0" collapsed="false">
      <c r="A524" s="6" t="s">
        <v>1438</v>
      </c>
      <c r="B524" s="6" t="s">
        <v>123</v>
      </c>
      <c r="C524" s="6" t="s">
        <v>1362</v>
      </c>
      <c r="D524" s="6" t="s">
        <v>1330</v>
      </c>
      <c r="E524" s="6"/>
      <c r="F524" s="6" t="s">
        <v>1370</v>
      </c>
      <c r="G524" s="6" t="s">
        <v>4409</v>
      </c>
      <c r="H524" s="6" t="s">
        <v>4442</v>
      </c>
      <c r="I524" s="6" t="n">
        <v>62</v>
      </c>
      <c r="J524" s="6"/>
      <c r="K524" s="6" t="s">
        <v>4411</v>
      </c>
      <c r="L524" s="7"/>
      <c r="M524" s="7"/>
    </row>
    <row r="525" customFormat="false" ht="23.85" hidden="false" customHeight="false" outlineLevel="0" collapsed="false">
      <c r="A525" s="6" t="s">
        <v>1438</v>
      </c>
      <c r="B525" s="6" t="s">
        <v>123</v>
      </c>
      <c r="C525" s="6" t="s">
        <v>1362</v>
      </c>
      <c r="D525" s="6" t="s">
        <v>1330</v>
      </c>
      <c r="E525" s="6"/>
      <c r="F525" s="6" t="s">
        <v>1370</v>
      </c>
      <c r="G525" s="6" t="s">
        <v>4412</v>
      </c>
      <c r="H525" s="6" t="s">
        <v>4443</v>
      </c>
      <c r="I525" s="6" t="n">
        <v>28</v>
      </c>
      <c r="J525" s="6"/>
      <c r="K525" s="6" t="s">
        <v>4414</v>
      </c>
      <c r="L525" s="7"/>
      <c r="M525" s="7"/>
    </row>
    <row r="526" customFormat="false" ht="23.85" hidden="false" customHeight="false" outlineLevel="0" collapsed="false">
      <c r="A526" s="6" t="s">
        <v>1438</v>
      </c>
      <c r="B526" s="6" t="s">
        <v>123</v>
      </c>
      <c r="C526" s="6" t="s">
        <v>1362</v>
      </c>
      <c r="D526" s="6" t="s">
        <v>1330</v>
      </c>
      <c r="E526" s="6"/>
      <c r="F526" s="6" t="s">
        <v>1370</v>
      </c>
      <c r="G526" s="6" t="s">
        <v>4415</v>
      </c>
      <c r="H526" s="6" t="s">
        <v>4444</v>
      </c>
      <c r="I526" s="6" t="n">
        <v>18</v>
      </c>
      <c r="J526" s="6"/>
      <c r="K526" s="6" t="s">
        <v>4417</v>
      </c>
      <c r="L526" s="7"/>
      <c r="M526" s="7"/>
    </row>
    <row r="527" customFormat="false" ht="35.05" hidden="false" customHeight="false" outlineLevel="0" collapsed="false">
      <c r="A527" s="6" t="s">
        <v>1440</v>
      </c>
      <c r="B527" s="6" t="s">
        <v>77</v>
      </c>
      <c r="C527" s="6" t="s">
        <v>79</v>
      </c>
      <c r="D527" s="6" t="s">
        <v>1330</v>
      </c>
      <c r="E527" s="6"/>
      <c r="F527" s="6" t="s">
        <v>1335</v>
      </c>
      <c r="G527" s="6" t="s">
        <v>4406</v>
      </c>
      <c r="H527" s="6" t="s">
        <v>4407</v>
      </c>
      <c r="I527" s="6" t="n">
        <v>96</v>
      </c>
      <c r="J527" s="6" t="s">
        <v>83</v>
      </c>
      <c r="K527" s="6" t="s">
        <v>4457</v>
      </c>
      <c r="L527" s="7"/>
      <c r="M527" s="7"/>
    </row>
    <row r="528" customFormat="false" ht="35.05" hidden="false" customHeight="false" outlineLevel="0" collapsed="false">
      <c r="A528" s="6" t="s">
        <v>1440</v>
      </c>
      <c r="B528" s="6" t="s">
        <v>77</v>
      </c>
      <c r="C528" s="6" t="s">
        <v>79</v>
      </c>
      <c r="D528" s="6" t="s">
        <v>1330</v>
      </c>
      <c r="E528" s="6"/>
      <c r="F528" s="6" t="s">
        <v>1335</v>
      </c>
      <c r="G528" s="6" t="s">
        <v>4409</v>
      </c>
      <c r="H528" s="6" t="s">
        <v>4410</v>
      </c>
      <c r="I528" s="6" t="n">
        <v>60</v>
      </c>
      <c r="J528" s="6"/>
      <c r="K528" s="6" t="s">
        <v>4411</v>
      </c>
      <c r="L528" s="7"/>
      <c r="M528" s="7"/>
    </row>
    <row r="529" customFormat="false" ht="35.05" hidden="false" customHeight="false" outlineLevel="0" collapsed="false">
      <c r="A529" s="6" t="s">
        <v>1440</v>
      </c>
      <c r="B529" s="6" t="s">
        <v>77</v>
      </c>
      <c r="C529" s="6" t="s">
        <v>79</v>
      </c>
      <c r="D529" s="6" t="s">
        <v>1330</v>
      </c>
      <c r="E529" s="6"/>
      <c r="F529" s="6" t="s">
        <v>1335</v>
      </c>
      <c r="G529" s="6" t="s">
        <v>4412</v>
      </c>
      <c r="H529" s="6" t="s">
        <v>4413</v>
      </c>
      <c r="I529" s="6" t="n">
        <v>28</v>
      </c>
      <c r="J529" s="6"/>
      <c r="K529" s="6" t="s">
        <v>4414</v>
      </c>
      <c r="L529" s="7"/>
      <c r="M529" s="7"/>
    </row>
    <row r="530" customFormat="false" ht="35.05" hidden="false" customHeight="false" outlineLevel="0" collapsed="false">
      <c r="A530" s="6" t="s">
        <v>1440</v>
      </c>
      <c r="B530" s="6" t="s">
        <v>77</v>
      </c>
      <c r="C530" s="6" t="s">
        <v>79</v>
      </c>
      <c r="D530" s="6" t="s">
        <v>1330</v>
      </c>
      <c r="E530" s="6"/>
      <c r="F530" s="6" t="s">
        <v>1335</v>
      </c>
      <c r="G530" s="6" t="s">
        <v>4415</v>
      </c>
      <c r="H530" s="6" t="s">
        <v>4416</v>
      </c>
      <c r="I530" s="6" t="n">
        <v>18</v>
      </c>
      <c r="J530" s="6"/>
      <c r="K530" s="6" t="s">
        <v>4417</v>
      </c>
      <c r="L530" s="7"/>
      <c r="M530" s="7"/>
    </row>
    <row r="531" customFormat="false" ht="23.85" hidden="false" customHeight="false" outlineLevel="0" collapsed="false">
      <c r="A531" s="6" t="s">
        <v>1447</v>
      </c>
      <c r="B531" s="6" t="s">
        <v>77</v>
      </c>
      <c r="C531" s="6" t="s">
        <v>98</v>
      </c>
      <c r="D531" s="6" t="s">
        <v>1330</v>
      </c>
      <c r="E531" s="6"/>
      <c r="F531" s="6" t="s">
        <v>1341</v>
      </c>
      <c r="G531" s="6" t="s">
        <v>4406</v>
      </c>
      <c r="H531" s="6" t="s">
        <v>4418</v>
      </c>
      <c r="I531" s="6" t="n">
        <v>96</v>
      </c>
      <c r="J531" s="6" t="s">
        <v>83</v>
      </c>
      <c r="K531" s="6" t="s">
        <v>4458</v>
      </c>
      <c r="L531" s="7"/>
      <c r="M531" s="7"/>
    </row>
    <row r="532" customFormat="false" ht="23.85" hidden="false" customHeight="false" outlineLevel="0" collapsed="false">
      <c r="A532" s="6" t="s">
        <v>1447</v>
      </c>
      <c r="B532" s="6" t="s">
        <v>77</v>
      </c>
      <c r="C532" s="6" t="s">
        <v>98</v>
      </c>
      <c r="D532" s="6" t="s">
        <v>1330</v>
      </c>
      <c r="E532" s="6"/>
      <c r="F532" s="6" t="s">
        <v>1341</v>
      </c>
      <c r="G532" s="6" t="s">
        <v>4409</v>
      </c>
      <c r="H532" s="6" t="s">
        <v>4420</v>
      </c>
      <c r="I532" s="6" t="n">
        <v>58</v>
      </c>
      <c r="J532" s="6"/>
      <c r="K532" s="6" t="s">
        <v>4411</v>
      </c>
      <c r="L532" s="7"/>
      <c r="M532" s="7"/>
    </row>
    <row r="533" customFormat="false" ht="23.85" hidden="false" customHeight="false" outlineLevel="0" collapsed="false">
      <c r="A533" s="6" t="s">
        <v>1447</v>
      </c>
      <c r="B533" s="6" t="s">
        <v>77</v>
      </c>
      <c r="C533" s="6" t="s">
        <v>98</v>
      </c>
      <c r="D533" s="6" t="s">
        <v>1330</v>
      </c>
      <c r="E533" s="6"/>
      <c r="F533" s="6" t="s">
        <v>1341</v>
      </c>
      <c r="G533" s="6" t="s">
        <v>4412</v>
      </c>
      <c r="H533" s="6" t="s">
        <v>4421</v>
      </c>
      <c r="I533" s="6" t="n">
        <v>28</v>
      </c>
      <c r="J533" s="6"/>
      <c r="K533" s="6" t="s">
        <v>4414</v>
      </c>
      <c r="L533" s="7"/>
      <c r="M533" s="7"/>
    </row>
    <row r="534" customFormat="false" ht="23.85" hidden="false" customHeight="false" outlineLevel="0" collapsed="false">
      <c r="A534" s="6" t="s">
        <v>1447</v>
      </c>
      <c r="B534" s="6" t="s">
        <v>77</v>
      </c>
      <c r="C534" s="6" t="s">
        <v>98</v>
      </c>
      <c r="D534" s="6" t="s">
        <v>1330</v>
      </c>
      <c r="E534" s="6"/>
      <c r="F534" s="6" t="s">
        <v>1341</v>
      </c>
      <c r="G534" s="6" t="s">
        <v>4415</v>
      </c>
      <c r="H534" s="6" t="s">
        <v>4422</v>
      </c>
      <c r="I534" s="6" t="n">
        <v>18</v>
      </c>
      <c r="J534" s="6"/>
      <c r="K534" s="6" t="s">
        <v>4417</v>
      </c>
      <c r="L534" s="7"/>
      <c r="M534" s="7"/>
    </row>
    <row r="535" customFormat="false" ht="23.85" hidden="false" customHeight="false" outlineLevel="0" collapsed="false">
      <c r="A535" s="6" t="s">
        <v>1450</v>
      </c>
      <c r="B535" s="6" t="s">
        <v>77</v>
      </c>
      <c r="C535" s="6" t="s">
        <v>98</v>
      </c>
      <c r="D535" s="6" t="s">
        <v>1330</v>
      </c>
      <c r="E535" s="6"/>
      <c r="F535" s="6" t="s">
        <v>1347</v>
      </c>
      <c r="G535" s="6" t="s">
        <v>4406</v>
      </c>
      <c r="H535" s="6" t="s">
        <v>4423</v>
      </c>
      <c r="I535" s="6" t="n">
        <v>96</v>
      </c>
      <c r="J535" s="6" t="s">
        <v>83</v>
      </c>
      <c r="K535" s="6" t="s">
        <v>4458</v>
      </c>
      <c r="L535" s="7"/>
      <c r="M535" s="7"/>
    </row>
    <row r="536" customFormat="false" ht="23.85" hidden="false" customHeight="false" outlineLevel="0" collapsed="false">
      <c r="A536" s="6" t="s">
        <v>1450</v>
      </c>
      <c r="B536" s="6" t="s">
        <v>77</v>
      </c>
      <c r="C536" s="6" t="s">
        <v>98</v>
      </c>
      <c r="D536" s="6" t="s">
        <v>1330</v>
      </c>
      <c r="E536" s="6"/>
      <c r="F536" s="6" t="s">
        <v>1347</v>
      </c>
      <c r="G536" s="6" t="s">
        <v>4409</v>
      </c>
      <c r="H536" s="6" t="s">
        <v>4424</v>
      </c>
      <c r="I536" s="6" t="n">
        <v>58</v>
      </c>
      <c r="J536" s="6"/>
      <c r="K536" s="6" t="s">
        <v>4411</v>
      </c>
      <c r="L536" s="7"/>
      <c r="M536" s="7"/>
    </row>
    <row r="537" customFormat="false" ht="23.85" hidden="false" customHeight="false" outlineLevel="0" collapsed="false">
      <c r="A537" s="6" t="s">
        <v>1450</v>
      </c>
      <c r="B537" s="6" t="s">
        <v>77</v>
      </c>
      <c r="C537" s="6" t="s">
        <v>98</v>
      </c>
      <c r="D537" s="6" t="s">
        <v>1330</v>
      </c>
      <c r="E537" s="6"/>
      <c r="F537" s="6" t="s">
        <v>1347</v>
      </c>
      <c r="G537" s="6" t="s">
        <v>4412</v>
      </c>
      <c r="H537" s="6" t="s">
        <v>4425</v>
      </c>
      <c r="I537" s="6" t="n">
        <v>28</v>
      </c>
      <c r="J537" s="6"/>
      <c r="K537" s="6" t="s">
        <v>4414</v>
      </c>
      <c r="L537" s="7"/>
      <c r="M537" s="7"/>
    </row>
    <row r="538" customFormat="false" ht="23.85" hidden="false" customHeight="false" outlineLevel="0" collapsed="false">
      <c r="A538" s="6" t="s">
        <v>1450</v>
      </c>
      <c r="B538" s="6" t="s">
        <v>77</v>
      </c>
      <c r="C538" s="6" t="s">
        <v>98</v>
      </c>
      <c r="D538" s="6" t="s">
        <v>1330</v>
      </c>
      <c r="E538" s="6"/>
      <c r="F538" s="6" t="s">
        <v>1347</v>
      </c>
      <c r="G538" s="6" t="s">
        <v>4415</v>
      </c>
      <c r="H538" s="6" t="s">
        <v>4426</v>
      </c>
      <c r="I538" s="6" t="n">
        <v>18</v>
      </c>
      <c r="J538" s="6"/>
      <c r="K538" s="6" t="s">
        <v>4417</v>
      </c>
      <c r="L538" s="7"/>
      <c r="M538" s="7"/>
    </row>
    <row r="539" customFormat="false" ht="35.05" hidden="false" customHeight="false" outlineLevel="0" collapsed="false">
      <c r="A539" s="6" t="s">
        <v>1452</v>
      </c>
      <c r="B539" s="6" t="s">
        <v>77</v>
      </c>
      <c r="C539" s="6" t="s">
        <v>165</v>
      </c>
      <c r="D539" s="6" t="s">
        <v>1330</v>
      </c>
      <c r="E539" s="6"/>
      <c r="F539" s="6" t="s">
        <v>1352</v>
      </c>
      <c r="G539" s="6" t="s">
        <v>4406</v>
      </c>
      <c r="H539" s="6" t="s">
        <v>4427</v>
      </c>
      <c r="I539" s="6" t="n">
        <v>96</v>
      </c>
      <c r="J539" s="6" t="s">
        <v>83</v>
      </c>
      <c r="K539" s="6" t="s">
        <v>4459</v>
      </c>
      <c r="L539" s="7"/>
      <c r="M539" s="7"/>
    </row>
    <row r="540" customFormat="false" ht="23.85" hidden="false" customHeight="false" outlineLevel="0" collapsed="false">
      <c r="A540" s="6" t="s">
        <v>1452</v>
      </c>
      <c r="B540" s="6" t="s">
        <v>77</v>
      </c>
      <c r="C540" s="6" t="s">
        <v>165</v>
      </c>
      <c r="D540" s="6" t="s">
        <v>1330</v>
      </c>
      <c r="E540" s="6"/>
      <c r="F540" s="6" t="s">
        <v>1352</v>
      </c>
      <c r="G540" s="6" t="s">
        <v>4409</v>
      </c>
      <c r="H540" s="6" t="s">
        <v>4429</v>
      </c>
      <c r="I540" s="6" t="n">
        <v>62</v>
      </c>
      <c r="J540" s="6"/>
      <c r="K540" s="6" t="s">
        <v>4411</v>
      </c>
      <c r="L540" s="7"/>
      <c r="M540" s="7"/>
    </row>
    <row r="541" customFormat="false" ht="23.85" hidden="false" customHeight="false" outlineLevel="0" collapsed="false">
      <c r="A541" s="6" t="s">
        <v>1452</v>
      </c>
      <c r="B541" s="6" t="s">
        <v>77</v>
      </c>
      <c r="C541" s="6" t="s">
        <v>165</v>
      </c>
      <c r="D541" s="6" t="s">
        <v>1330</v>
      </c>
      <c r="E541" s="6"/>
      <c r="F541" s="6" t="s">
        <v>1352</v>
      </c>
      <c r="G541" s="6" t="s">
        <v>4412</v>
      </c>
      <c r="H541" s="6" t="s">
        <v>4430</v>
      </c>
      <c r="I541" s="6" t="n">
        <v>28</v>
      </c>
      <c r="J541" s="6"/>
      <c r="K541" s="6" t="s">
        <v>4414</v>
      </c>
      <c r="L541" s="7"/>
      <c r="M541" s="7"/>
    </row>
    <row r="542" customFormat="false" ht="23.85" hidden="false" customHeight="false" outlineLevel="0" collapsed="false">
      <c r="A542" s="6" t="s">
        <v>1452</v>
      </c>
      <c r="B542" s="6" t="s">
        <v>77</v>
      </c>
      <c r="C542" s="6" t="s">
        <v>165</v>
      </c>
      <c r="D542" s="6" t="s">
        <v>1330</v>
      </c>
      <c r="E542" s="6"/>
      <c r="F542" s="6" t="s">
        <v>1352</v>
      </c>
      <c r="G542" s="6" t="s">
        <v>4415</v>
      </c>
      <c r="H542" s="6" t="s">
        <v>4431</v>
      </c>
      <c r="I542" s="6" t="n">
        <v>18</v>
      </c>
      <c r="J542" s="6"/>
      <c r="K542" s="6" t="s">
        <v>4417</v>
      </c>
      <c r="L542" s="7"/>
      <c r="M542" s="7"/>
    </row>
    <row r="543" customFormat="false" ht="35.05" hidden="false" customHeight="false" outlineLevel="0" collapsed="false">
      <c r="A543" s="6" t="s">
        <v>1455</v>
      </c>
      <c r="B543" s="6" t="s">
        <v>77</v>
      </c>
      <c r="C543" s="6" t="s">
        <v>165</v>
      </c>
      <c r="D543" s="6" t="s">
        <v>1330</v>
      </c>
      <c r="E543" s="6"/>
      <c r="F543" s="6" t="s">
        <v>1358</v>
      </c>
      <c r="G543" s="6" t="s">
        <v>4406</v>
      </c>
      <c r="H543" s="6" t="s">
        <v>4432</v>
      </c>
      <c r="I543" s="6" t="n">
        <v>96</v>
      </c>
      <c r="J543" s="6" t="s">
        <v>83</v>
      </c>
      <c r="K543" s="6" t="s">
        <v>4459</v>
      </c>
      <c r="L543" s="7"/>
      <c r="M543" s="7"/>
    </row>
    <row r="544" customFormat="false" ht="23.85" hidden="false" customHeight="false" outlineLevel="0" collapsed="false">
      <c r="A544" s="6" t="s">
        <v>1455</v>
      </c>
      <c r="B544" s="6" t="s">
        <v>77</v>
      </c>
      <c r="C544" s="6" t="s">
        <v>165</v>
      </c>
      <c r="D544" s="6" t="s">
        <v>1330</v>
      </c>
      <c r="E544" s="6"/>
      <c r="F544" s="6" t="s">
        <v>1358</v>
      </c>
      <c r="G544" s="6" t="s">
        <v>4409</v>
      </c>
      <c r="H544" s="6" t="s">
        <v>4433</v>
      </c>
      <c r="I544" s="6" t="n">
        <v>62</v>
      </c>
      <c r="J544" s="6"/>
      <c r="K544" s="6" t="s">
        <v>4411</v>
      </c>
      <c r="L544" s="7"/>
      <c r="M544" s="7"/>
    </row>
    <row r="545" customFormat="false" ht="23.85" hidden="false" customHeight="false" outlineLevel="0" collapsed="false">
      <c r="A545" s="6" t="s">
        <v>1455</v>
      </c>
      <c r="B545" s="6" t="s">
        <v>77</v>
      </c>
      <c r="C545" s="6" t="s">
        <v>165</v>
      </c>
      <c r="D545" s="6" t="s">
        <v>1330</v>
      </c>
      <c r="E545" s="6"/>
      <c r="F545" s="6" t="s">
        <v>1358</v>
      </c>
      <c r="G545" s="6" t="s">
        <v>4412</v>
      </c>
      <c r="H545" s="6" t="s">
        <v>4434</v>
      </c>
      <c r="I545" s="6" t="n">
        <v>28</v>
      </c>
      <c r="J545" s="6"/>
      <c r="K545" s="6" t="s">
        <v>4414</v>
      </c>
      <c r="L545" s="7"/>
      <c r="M545" s="7"/>
    </row>
    <row r="546" customFormat="false" ht="23.85" hidden="false" customHeight="false" outlineLevel="0" collapsed="false">
      <c r="A546" s="6" t="s">
        <v>1455</v>
      </c>
      <c r="B546" s="6" t="s">
        <v>77</v>
      </c>
      <c r="C546" s="6" t="s">
        <v>165</v>
      </c>
      <c r="D546" s="6" t="s">
        <v>1330</v>
      </c>
      <c r="E546" s="6"/>
      <c r="F546" s="6" t="s">
        <v>1358</v>
      </c>
      <c r="G546" s="6" t="s">
        <v>4415</v>
      </c>
      <c r="H546" s="6" t="s">
        <v>4435</v>
      </c>
      <c r="I546" s="6" t="n">
        <v>18</v>
      </c>
      <c r="J546" s="6"/>
      <c r="K546" s="6" t="s">
        <v>4417</v>
      </c>
      <c r="L546" s="7"/>
      <c r="M546" s="7"/>
    </row>
    <row r="547" customFormat="false" ht="35.05" hidden="false" customHeight="false" outlineLevel="0" collapsed="false">
      <c r="A547" s="6" t="s">
        <v>1457</v>
      </c>
      <c r="B547" s="6" t="s">
        <v>77</v>
      </c>
      <c r="C547" s="6" t="s">
        <v>1362</v>
      </c>
      <c r="D547" s="6" t="s">
        <v>1330</v>
      </c>
      <c r="E547" s="6"/>
      <c r="F547" s="6" t="s">
        <v>1364</v>
      </c>
      <c r="G547" s="6" t="s">
        <v>4406</v>
      </c>
      <c r="H547" s="6" t="s">
        <v>4436</v>
      </c>
      <c r="I547" s="6" t="n">
        <v>96</v>
      </c>
      <c r="J547" s="6" t="s">
        <v>83</v>
      </c>
      <c r="K547" s="6" t="s">
        <v>4460</v>
      </c>
      <c r="L547" s="7"/>
      <c r="M547" s="7"/>
    </row>
    <row r="548" customFormat="false" ht="35.05" hidden="false" customHeight="false" outlineLevel="0" collapsed="false">
      <c r="A548" s="6" t="s">
        <v>1457</v>
      </c>
      <c r="B548" s="6" t="s">
        <v>77</v>
      </c>
      <c r="C548" s="6" t="s">
        <v>1362</v>
      </c>
      <c r="D548" s="6" t="s">
        <v>1330</v>
      </c>
      <c r="E548" s="6"/>
      <c r="F548" s="6" t="s">
        <v>1364</v>
      </c>
      <c r="G548" s="6" t="s">
        <v>4409</v>
      </c>
      <c r="H548" s="6" t="s">
        <v>4438</v>
      </c>
      <c r="I548" s="6" t="n">
        <v>62</v>
      </c>
      <c r="J548" s="6"/>
      <c r="K548" s="6" t="s">
        <v>4411</v>
      </c>
      <c r="L548" s="7"/>
      <c r="M548" s="7"/>
    </row>
    <row r="549" customFormat="false" ht="35.05" hidden="false" customHeight="false" outlineLevel="0" collapsed="false">
      <c r="A549" s="6" t="s">
        <v>1457</v>
      </c>
      <c r="B549" s="6" t="s">
        <v>77</v>
      </c>
      <c r="C549" s="6" t="s">
        <v>1362</v>
      </c>
      <c r="D549" s="6" t="s">
        <v>1330</v>
      </c>
      <c r="E549" s="6"/>
      <c r="F549" s="6" t="s">
        <v>1364</v>
      </c>
      <c r="G549" s="6" t="s">
        <v>4412</v>
      </c>
      <c r="H549" s="6" t="s">
        <v>4439</v>
      </c>
      <c r="I549" s="6" t="n">
        <v>28</v>
      </c>
      <c r="J549" s="6"/>
      <c r="K549" s="6" t="s">
        <v>4414</v>
      </c>
      <c r="L549" s="7"/>
      <c r="M549" s="7"/>
    </row>
    <row r="550" customFormat="false" ht="35.05" hidden="false" customHeight="false" outlineLevel="0" collapsed="false">
      <c r="A550" s="6" t="s">
        <v>1457</v>
      </c>
      <c r="B550" s="6" t="s">
        <v>77</v>
      </c>
      <c r="C550" s="6" t="s">
        <v>1362</v>
      </c>
      <c r="D550" s="6" t="s">
        <v>1330</v>
      </c>
      <c r="E550" s="6"/>
      <c r="F550" s="6" t="s">
        <v>1364</v>
      </c>
      <c r="G550" s="6" t="s">
        <v>4415</v>
      </c>
      <c r="H550" s="6" t="s">
        <v>4440</v>
      </c>
      <c r="I550" s="6" t="n">
        <v>18</v>
      </c>
      <c r="J550" s="6"/>
      <c r="K550" s="6" t="s">
        <v>4417</v>
      </c>
      <c r="L550" s="7"/>
      <c r="M550" s="7"/>
    </row>
    <row r="551" customFormat="false" ht="35.05" hidden="false" customHeight="false" outlineLevel="0" collapsed="false">
      <c r="A551" s="6" t="s">
        <v>1460</v>
      </c>
      <c r="B551" s="6" t="s">
        <v>77</v>
      </c>
      <c r="C551" s="6" t="s">
        <v>1362</v>
      </c>
      <c r="D551" s="6" t="s">
        <v>1330</v>
      </c>
      <c r="E551" s="6"/>
      <c r="F551" s="6" t="s">
        <v>1370</v>
      </c>
      <c r="G551" s="6" t="s">
        <v>4406</v>
      </c>
      <c r="H551" s="6" t="s">
        <v>4441</v>
      </c>
      <c r="I551" s="6" t="n">
        <v>96</v>
      </c>
      <c r="J551" s="6" t="s">
        <v>83</v>
      </c>
      <c r="K551" s="6" t="s">
        <v>4460</v>
      </c>
      <c r="L551" s="7"/>
      <c r="M551" s="7"/>
    </row>
    <row r="552" customFormat="false" ht="23.85" hidden="false" customHeight="false" outlineLevel="0" collapsed="false">
      <c r="A552" s="6" t="s">
        <v>1460</v>
      </c>
      <c r="B552" s="6" t="s">
        <v>77</v>
      </c>
      <c r="C552" s="6" t="s">
        <v>1362</v>
      </c>
      <c r="D552" s="6" t="s">
        <v>1330</v>
      </c>
      <c r="E552" s="6"/>
      <c r="F552" s="6" t="s">
        <v>1370</v>
      </c>
      <c r="G552" s="6" t="s">
        <v>4409</v>
      </c>
      <c r="H552" s="6" t="s">
        <v>4442</v>
      </c>
      <c r="I552" s="6" t="n">
        <v>62</v>
      </c>
      <c r="J552" s="6"/>
      <c r="K552" s="6" t="s">
        <v>4411</v>
      </c>
      <c r="L552" s="7"/>
      <c r="M552" s="7"/>
    </row>
    <row r="553" customFormat="false" ht="23.85" hidden="false" customHeight="false" outlineLevel="0" collapsed="false">
      <c r="A553" s="6" t="s">
        <v>1460</v>
      </c>
      <c r="B553" s="6" t="s">
        <v>77</v>
      </c>
      <c r="C553" s="6" t="s">
        <v>1362</v>
      </c>
      <c r="D553" s="6" t="s">
        <v>1330</v>
      </c>
      <c r="E553" s="6"/>
      <c r="F553" s="6" t="s">
        <v>1370</v>
      </c>
      <c r="G553" s="6" t="s">
        <v>4412</v>
      </c>
      <c r="H553" s="6" t="s">
        <v>4443</v>
      </c>
      <c r="I553" s="6" t="n">
        <v>28</v>
      </c>
      <c r="J553" s="6"/>
      <c r="K553" s="6" t="s">
        <v>4414</v>
      </c>
      <c r="L553" s="7"/>
      <c r="M553" s="7"/>
    </row>
    <row r="554" customFormat="false" ht="23.85" hidden="false" customHeight="false" outlineLevel="0" collapsed="false">
      <c r="A554" s="6" t="s">
        <v>1460</v>
      </c>
      <c r="B554" s="6" t="s">
        <v>77</v>
      </c>
      <c r="C554" s="6" t="s">
        <v>1362</v>
      </c>
      <c r="D554" s="6" t="s">
        <v>1330</v>
      </c>
      <c r="E554" s="6"/>
      <c r="F554" s="6" t="s">
        <v>1370</v>
      </c>
      <c r="G554" s="6" t="s">
        <v>4415</v>
      </c>
      <c r="H554" s="6" t="s">
        <v>4444</v>
      </c>
      <c r="I554" s="6" t="n">
        <v>18</v>
      </c>
      <c r="J554" s="6"/>
      <c r="K554" s="6" t="s">
        <v>4417</v>
      </c>
      <c r="L554" s="7"/>
      <c r="M554" s="7"/>
    </row>
    <row r="555" customFormat="false" ht="35.05" hidden="false" customHeight="false" outlineLevel="0" collapsed="false">
      <c r="A555" s="6" t="s">
        <v>1462</v>
      </c>
      <c r="B555" s="6" t="s">
        <v>77</v>
      </c>
      <c r="C555" s="6" t="s">
        <v>79</v>
      </c>
      <c r="D555" s="6" t="s">
        <v>1330</v>
      </c>
      <c r="E555" s="6"/>
      <c r="F555" s="6" t="s">
        <v>1335</v>
      </c>
      <c r="G555" s="6" t="s">
        <v>4406</v>
      </c>
      <c r="H555" s="6" t="s">
        <v>4407</v>
      </c>
      <c r="I555" s="6" t="n">
        <v>96</v>
      </c>
      <c r="J555" s="6" t="s">
        <v>83</v>
      </c>
      <c r="K555" s="6" t="s">
        <v>4461</v>
      </c>
      <c r="L555" s="7"/>
      <c r="M555" s="7"/>
    </row>
    <row r="556" customFormat="false" ht="35.05" hidden="false" customHeight="false" outlineLevel="0" collapsed="false">
      <c r="A556" s="6" t="s">
        <v>1462</v>
      </c>
      <c r="B556" s="6" t="s">
        <v>77</v>
      </c>
      <c r="C556" s="6" t="s">
        <v>79</v>
      </c>
      <c r="D556" s="6" t="s">
        <v>1330</v>
      </c>
      <c r="E556" s="6"/>
      <c r="F556" s="6" t="s">
        <v>1335</v>
      </c>
      <c r="G556" s="6" t="s">
        <v>4409</v>
      </c>
      <c r="H556" s="6" t="s">
        <v>4410</v>
      </c>
      <c r="I556" s="6" t="n">
        <v>60</v>
      </c>
      <c r="J556" s="6"/>
      <c r="K556" s="6" t="s">
        <v>4411</v>
      </c>
      <c r="L556" s="7"/>
      <c r="M556" s="7"/>
    </row>
    <row r="557" customFormat="false" ht="35.05" hidden="false" customHeight="false" outlineLevel="0" collapsed="false">
      <c r="A557" s="6" t="s">
        <v>1462</v>
      </c>
      <c r="B557" s="6" t="s">
        <v>77</v>
      </c>
      <c r="C557" s="6" t="s">
        <v>79</v>
      </c>
      <c r="D557" s="6" t="s">
        <v>1330</v>
      </c>
      <c r="E557" s="6"/>
      <c r="F557" s="6" t="s">
        <v>1335</v>
      </c>
      <c r="G557" s="6" t="s">
        <v>4412</v>
      </c>
      <c r="H557" s="6" t="s">
        <v>4413</v>
      </c>
      <c r="I557" s="6" t="n">
        <v>28</v>
      </c>
      <c r="J557" s="6"/>
      <c r="K557" s="6" t="s">
        <v>4414</v>
      </c>
      <c r="L557" s="7"/>
      <c r="M557" s="7"/>
    </row>
    <row r="558" customFormat="false" ht="35.05" hidden="false" customHeight="false" outlineLevel="0" collapsed="false">
      <c r="A558" s="6" t="s">
        <v>1462</v>
      </c>
      <c r="B558" s="6" t="s">
        <v>77</v>
      </c>
      <c r="C558" s="6" t="s">
        <v>79</v>
      </c>
      <c r="D558" s="6" t="s">
        <v>1330</v>
      </c>
      <c r="E558" s="6"/>
      <c r="F558" s="6" t="s">
        <v>1335</v>
      </c>
      <c r="G558" s="6" t="s">
        <v>4415</v>
      </c>
      <c r="H558" s="6" t="s">
        <v>4416</v>
      </c>
      <c r="I558" s="6" t="n">
        <v>18</v>
      </c>
      <c r="J558" s="6"/>
      <c r="K558" s="6" t="s">
        <v>4417</v>
      </c>
      <c r="L558" s="7"/>
      <c r="M558" s="7"/>
    </row>
    <row r="559" customFormat="false" ht="23.85" hidden="false" customHeight="false" outlineLevel="0" collapsed="false">
      <c r="A559" s="6" t="s">
        <v>1466</v>
      </c>
      <c r="B559" s="6" t="s">
        <v>77</v>
      </c>
      <c r="C559" s="6" t="s">
        <v>98</v>
      </c>
      <c r="D559" s="6" t="s">
        <v>1330</v>
      </c>
      <c r="E559" s="6"/>
      <c r="F559" s="6" t="s">
        <v>1341</v>
      </c>
      <c r="G559" s="6" t="s">
        <v>4406</v>
      </c>
      <c r="H559" s="6" t="s">
        <v>4418</v>
      </c>
      <c r="I559" s="6" t="n">
        <v>96</v>
      </c>
      <c r="J559" s="6" t="s">
        <v>83</v>
      </c>
      <c r="K559" s="6" t="s">
        <v>4462</v>
      </c>
      <c r="L559" s="7"/>
      <c r="M559" s="7"/>
    </row>
    <row r="560" customFormat="false" ht="23.85" hidden="false" customHeight="false" outlineLevel="0" collapsed="false">
      <c r="A560" s="6" t="s">
        <v>1466</v>
      </c>
      <c r="B560" s="6" t="s">
        <v>77</v>
      </c>
      <c r="C560" s="6" t="s">
        <v>98</v>
      </c>
      <c r="D560" s="6" t="s">
        <v>1330</v>
      </c>
      <c r="E560" s="6"/>
      <c r="F560" s="6" t="s">
        <v>1341</v>
      </c>
      <c r="G560" s="6" t="s">
        <v>4409</v>
      </c>
      <c r="H560" s="6" t="s">
        <v>4420</v>
      </c>
      <c r="I560" s="6" t="n">
        <v>58</v>
      </c>
      <c r="J560" s="6"/>
      <c r="K560" s="6" t="s">
        <v>4411</v>
      </c>
      <c r="L560" s="7"/>
      <c r="M560" s="7"/>
    </row>
    <row r="561" customFormat="false" ht="23.85" hidden="false" customHeight="false" outlineLevel="0" collapsed="false">
      <c r="A561" s="6" t="s">
        <v>1466</v>
      </c>
      <c r="B561" s="6" t="s">
        <v>77</v>
      </c>
      <c r="C561" s="6" t="s">
        <v>98</v>
      </c>
      <c r="D561" s="6" t="s">
        <v>1330</v>
      </c>
      <c r="E561" s="6"/>
      <c r="F561" s="6" t="s">
        <v>1341</v>
      </c>
      <c r="G561" s="6" t="s">
        <v>4412</v>
      </c>
      <c r="H561" s="6" t="s">
        <v>4421</v>
      </c>
      <c r="I561" s="6" t="n">
        <v>28</v>
      </c>
      <c r="J561" s="6"/>
      <c r="K561" s="6" t="s">
        <v>4414</v>
      </c>
      <c r="L561" s="7"/>
      <c r="M561" s="7"/>
    </row>
    <row r="562" customFormat="false" ht="23.85" hidden="false" customHeight="false" outlineLevel="0" collapsed="false">
      <c r="A562" s="6" t="s">
        <v>1466</v>
      </c>
      <c r="B562" s="6" t="s">
        <v>77</v>
      </c>
      <c r="C562" s="6" t="s">
        <v>98</v>
      </c>
      <c r="D562" s="6" t="s">
        <v>1330</v>
      </c>
      <c r="E562" s="6"/>
      <c r="F562" s="6" t="s">
        <v>1341</v>
      </c>
      <c r="G562" s="6" t="s">
        <v>4415</v>
      </c>
      <c r="H562" s="6" t="s">
        <v>4422</v>
      </c>
      <c r="I562" s="6" t="n">
        <v>18</v>
      </c>
      <c r="J562" s="6"/>
      <c r="K562" s="6" t="s">
        <v>4417</v>
      </c>
      <c r="L562" s="7"/>
      <c r="M562" s="7"/>
    </row>
    <row r="563" customFormat="false" ht="23.85" hidden="false" customHeight="false" outlineLevel="0" collapsed="false">
      <c r="A563" s="6" t="s">
        <v>1469</v>
      </c>
      <c r="B563" s="6" t="s">
        <v>77</v>
      </c>
      <c r="C563" s="6" t="s">
        <v>98</v>
      </c>
      <c r="D563" s="6" t="s">
        <v>1330</v>
      </c>
      <c r="E563" s="6"/>
      <c r="F563" s="6" t="s">
        <v>1347</v>
      </c>
      <c r="G563" s="6" t="s">
        <v>4406</v>
      </c>
      <c r="H563" s="6" t="s">
        <v>4423</v>
      </c>
      <c r="I563" s="6" t="n">
        <v>96</v>
      </c>
      <c r="J563" s="6" t="s">
        <v>83</v>
      </c>
      <c r="K563" s="6" t="s">
        <v>4462</v>
      </c>
      <c r="L563" s="7"/>
      <c r="M563" s="7"/>
    </row>
    <row r="564" customFormat="false" ht="23.85" hidden="false" customHeight="false" outlineLevel="0" collapsed="false">
      <c r="A564" s="6" t="s">
        <v>1469</v>
      </c>
      <c r="B564" s="6" t="s">
        <v>77</v>
      </c>
      <c r="C564" s="6" t="s">
        <v>98</v>
      </c>
      <c r="D564" s="6" t="s">
        <v>1330</v>
      </c>
      <c r="E564" s="6"/>
      <c r="F564" s="6" t="s">
        <v>1347</v>
      </c>
      <c r="G564" s="6" t="s">
        <v>4409</v>
      </c>
      <c r="H564" s="6" t="s">
        <v>4424</v>
      </c>
      <c r="I564" s="6" t="n">
        <v>58</v>
      </c>
      <c r="J564" s="6"/>
      <c r="K564" s="6" t="s">
        <v>4411</v>
      </c>
      <c r="L564" s="7"/>
      <c r="M564" s="7"/>
    </row>
    <row r="565" customFormat="false" ht="23.85" hidden="false" customHeight="false" outlineLevel="0" collapsed="false">
      <c r="A565" s="6" t="s">
        <v>1469</v>
      </c>
      <c r="B565" s="6" t="s">
        <v>77</v>
      </c>
      <c r="C565" s="6" t="s">
        <v>98</v>
      </c>
      <c r="D565" s="6" t="s">
        <v>1330</v>
      </c>
      <c r="E565" s="6"/>
      <c r="F565" s="6" t="s">
        <v>1347</v>
      </c>
      <c r="G565" s="6" t="s">
        <v>4412</v>
      </c>
      <c r="H565" s="6" t="s">
        <v>4425</v>
      </c>
      <c r="I565" s="6" t="n">
        <v>28</v>
      </c>
      <c r="J565" s="6"/>
      <c r="K565" s="6" t="s">
        <v>4414</v>
      </c>
      <c r="L565" s="7"/>
      <c r="M565" s="7"/>
    </row>
    <row r="566" customFormat="false" ht="23.85" hidden="false" customHeight="false" outlineLevel="0" collapsed="false">
      <c r="A566" s="6" t="s">
        <v>1469</v>
      </c>
      <c r="B566" s="6" t="s">
        <v>77</v>
      </c>
      <c r="C566" s="6" t="s">
        <v>98</v>
      </c>
      <c r="D566" s="6" t="s">
        <v>1330</v>
      </c>
      <c r="E566" s="6"/>
      <c r="F566" s="6" t="s">
        <v>1347</v>
      </c>
      <c r="G566" s="6" t="s">
        <v>4415</v>
      </c>
      <c r="H566" s="6" t="s">
        <v>4426</v>
      </c>
      <c r="I566" s="6" t="n">
        <v>18</v>
      </c>
      <c r="J566" s="6"/>
      <c r="K566" s="6" t="s">
        <v>4417</v>
      </c>
      <c r="L566" s="7"/>
      <c r="M566" s="7"/>
    </row>
    <row r="567" customFormat="false" ht="35.05" hidden="false" customHeight="false" outlineLevel="0" collapsed="false">
      <c r="A567" s="6" t="s">
        <v>1471</v>
      </c>
      <c r="B567" s="6" t="s">
        <v>77</v>
      </c>
      <c r="C567" s="6" t="s">
        <v>165</v>
      </c>
      <c r="D567" s="6" t="s">
        <v>1330</v>
      </c>
      <c r="E567" s="6"/>
      <c r="F567" s="6" t="s">
        <v>1352</v>
      </c>
      <c r="G567" s="6" t="s">
        <v>4406</v>
      </c>
      <c r="H567" s="6" t="s">
        <v>4427</v>
      </c>
      <c r="I567" s="6" t="n">
        <v>96</v>
      </c>
      <c r="J567" s="6" t="s">
        <v>83</v>
      </c>
      <c r="K567" s="6" t="s">
        <v>4463</v>
      </c>
      <c r="L567" s="7"/>
      <c r="M567" s="7"/>
    </row>
    <row r="568" customFormat="false" ht="35.05" hidden="false" customHeight="false" outlineLevel="0" collapsed="false">
      <c r="A568" s="6" t="s">
        <v>1471</v>
      </c>
      <c r="B568" s="6" t="s">
        <v>77</v>
      </c>
      <c r="C568" s="6" t="s">
        <v>165</v>
      </c>
      <c r="D568" s="6" t="s">
        <v>1330</v>
      </c>
      <c r="E568" s="6"/>
      <c r="F568" s="6" t="s">
        <v>1352</v>
      </c>
      <c r="G568" s="6" t="s">
        <v>4409</v>
      </c>
      <c r="H568" s="6" t="s">
        <v>4429</v>
      </c>
      <c r="I568" s="6" t="n">
        <v>62</v>
      </c>
      <c r="J568" s="6"/>
      <c r="K568" s="6" t="s">
        <v>4411</v>
      </c>
      <c r="L568" s="7"/>
      <c r="M568" s="7"/>
    </row>
    <row r="569" customFormat="false" ht="35.05" hidden="false" customHeight="false" outlineLevel="0" collapsed="false">
      <c r="A569" s="6" t="s">
        <v>1471</v>
      </c>
      <c r="B569" s="6" t="s">
        <v>77</v>
      </c>
      <c r="C569" s="6" t="s">
        <v>165</v>
      </c>
      <c r="D569" s="6" t="s">
        <v>1330</v>
      </c>
      <c r="E569" s="6"/>
      <c r="F569" s="6" t="s">
        <v>1352</v>
      </c>
      <c r="G569" s="6" t="s">
        <v>4412</v>
      </c>
      <c r="H569" s="6" t="s">
        <v>4430</v>
      </c>
      <c r="I569" s="6" t="n">
        <v>28</v>
      </c>
      <c r="J569" s="6"/>
      <c r="K569" s="6" t="s">
        <v>4414</v>
      </c>
      <c r="L569" s="7"/>
      <c r="M569" s="7"/>
    </row>
    <row r="570" customFormat="false" ht="35.05" hidden="false" customHeight="false" outlineLevel="0" collapsed="false">
      <c r="A570" s="6" t="s">
        <v>1471</v>
      </c>
      <c r="B570" s="6" t="s">
        <v>77</v>
      </c>
      <c r="C570" s="6" t="s">
        <v>165</v>
      </c>
      <c r="D570" s="6" t="s">
        <v>1330</v>
      </c>
      <c r="E570" s="6"/>
      <c r="F570" s="6" t="s">
        <v>1352</v>
      </c>
      <c r="G570" s="6" t="s">
        <v>4415</v>
      </c>
      <c r="H570" s="6" t="s">
        <v>4431</v>
      </c>
      <c r="I570" s="6" t="n">
        <v>18</v>
      </c>
      <c r="J570" s="6"/>
      <c r="K570" s="6" t="s">
        <v>4417</v>
      </c>
      <c r="L570" s="7"/>
      <c r="M570" s="7"/>
    </row>
    <row r="571" customFormat="false" ht="35.05" hidden="false" customHeight="false" outlineLevel="0" collapsed="false">
      <c r="A571" s="6" t="s">
        <v>1474</v>
      </c>
      <c r="B571" s="6" t="s">
        <v>77</v>
      </c>
      <c r="C571" s="6" t="s">
        <v>165</v>
      </c>
      <c r="D571" s="6" t="s">
        <v>1330</v>
      </c>
      <c r="E571" s="6"/>
      <c r="F571" s="6" t="s">
        <v>1358</v>
      </c>
      <c r="G571" s="6" t="s">
        <v>4406</v>
      </c>
      <c r="H571" s="6" t="s">
        <v>4432</v>
      </c>
      <c r="I571" s="6" t="n">
        <v>96</v>
      </c>
      <c r="J571" s="6" t="s">
        <v>83</v>
      </c>
      <c r="K571" s="6" t="s">
        <v>4463</v>
      </c>
      <c r="L571" s="7"/>
      <c r="M571" s="7"/>
    </row>
    <row r="572" customFormat="false" ht="35.05" hidden="false" customHeight="false" outlineLevel="0" collapsed="false">
      <c r="A572" s="6" t="s">
        <v>1474</v>
      </c>
      <c r="B572" s="6" t="s">
        <v>77</v>
      </c>
      <c r="C572" s="6" t="s">
        <v>165</v>
      </c>
      <c r="D572" s="6" t="s">
        <v>1330</v>
      </c>
      <c r="E572" s="6"/>
      <c r="F572" s="6" t="s">
        <v>1358</v>
      </c>
      <c r="G572" s="6" t="s">
        <v>4409</v>
      </c>
      <c r="H572" s="6" t="s">
        <v>4433</v>
      </c>
      <c r="I572" s="6" t="n">
        <v>62</v>
      </c>
      <c r="J572" s="6"/>
      <c r="K572" s="6" t="s">
        <v>4411</v>
      </c>
      <c r="L572" s="7"/>
      <c r="M572" s="7"/>
    </row>
    <row r="573" customFormat="false" ht="35.05" hidden="false" customHeight="false" outlineLevel="0" collapsed="false">
      <c r="A573" s="6" t="s">
        <v>1474</v>
      </c>
      <c r="B573" s="6" t="s">
        <v>77</v>
      </c>
      <c r="C573" s="6" t="s">
        <v>165</v>
      </c>
      <c r="D573" s="6" t="s">
        <v>1330</v>
      </c>
      <c r="E573" s="6"/>
      <c r="F573" s="6" t="s">
        <v>1358</v>
      </c>
      <c r="G573" s="6" t="s">
        <v>4412</v>
      </c>
      <c r="H573" s="6" t="s">
        <v>4434</v>
      </c>
      <c r="I573" s="6" t="n">
        <v>28</v>
      </c>
      <c r="J573" s="6"/>
      <c r="K573" s="6" t="s">
        <v>4414</v>
      </c>
      <c r="L573" s="7"/>
      <c r="M573" s="7"/>
    </row>
    <row r="574" customFormat="false" ht="35.05" hidden="false" customHeight="false" outlineLevel="0" collapsed="false">
      <c r="A574" s="6" t="s">
        <v>1474</v>
      </c>
      <c r="B574" s="6" t="s">
        <v>77</v>
      </c>
      <c r="C574" s="6" t="s">
        <v>165</v>
      </c>
      <c r="D574" s="6" t="s">
        <v>1330</v>
      </c>
      <c r="E574" s="6"/>
      <c r="F574" s="6" t="s">
        <v>1358</v>
      </c>
      <c r="G574" s="6" t="s">
        <v>4415</v>
      </c>
      <c r="H574" s="6" t="s">
        <v>4435</v>
      </c>
      <c r="I574" s="6" t="n">
        <v>18</v>
      </c>
      <c r="J574" s="6"/>
      <c r="K574" s="6" t="s">
        <v>4417</v>
      </c>
      <c r="L574" s="7"/>
      <c r="M574" s="7"/>
    </row>
    <row r="575" customFormat="false" ht="35.05" hidden="false" customHeight="false" outlineLevel="0" collapsed="false">
      <c r="A575" s="6" t="s">
        <v>1476</v>
      </c>
      <c r="B575" s="6" t="s">
        <v>77</v>
      </c>
      <c r="C575" s="6" t="s">
        <v>1362</v>
      </c>
      <c r="D575" s="6" t="s">
        <v>1330</v>
      </c>
      <c r="E575" s="6"/>
      <c r="F575" s="6" t="s">
        <v>1364</v>
      </c>
      <c r="G575" s="6" t="s">
        <v>4406</v>
      </c>
      <c r="H575" s="6" t="s">
        <v>4436</v>
      </c>
      <c r="I575" s="6" t="n">
        <v>96</v>
      </c>
      <c r="J575" s="6" t="s">
        <v>83</v>
      </c>
      <c r="K575" s="6" t="s">
        <v>4464</v>
      </c>
      <c r="L575" s="7"/>
      <c r="M575" s="7"/>
    </row>
    <row r="576" customFormat="false" ht="35.05" hidden="false" customHeight="false" outlineLevel="0" collapsed="false">
      <c r="A576" s="6" t="s">
        <v>1476</v>
      </c>
      <c r="B576" s="6" t="s">
        <v>77</v>
      </c>
      <c r="C576" s="6" t="s">
        <v>1362</v>
      </c>
      <c r="D576" s="6" t="s">
        <v>1330</v>
      </c>
      <c r="E576" s="6"/>
      <c r="F576" s="6" t="s">
        <v>1364</v>
      </c>
      <c r="G576" s="6" t="s">
        <v>4409</v>
      </c>
      <c r="H576" s="6" t="s">
        <v>4438</v>
      </c>
      <c r="I576" s="6" t="n">
        <v>62</v>
      </c>
      <c r="J576" s="6"/>
      <c r="K576" s="6" t="s">
        <v>4411</v>
      </c>
      <c r="L576" s="7"/>
      <c r="M576" s="7"/>
    </row>
    <row r="577" customFormat="false" ht="35.05" hidden="false" customHeight="false" outlineLevel="0" collapsed="false">
      <c r="A577" s="6" t="s">
        <v>1476</v>
      </c>
      <c r="B577" s="6" t="s">
        <v>77</v>
      </c>
      <c r="C577" s="6" t="s">
        <v>1362</v>
      </c>
      <c r="D577" s="6" t="s">
        <v>1330</v>
      </c>
      <c r="E577" s="6"/>
      <c r="F577" s="6" t="s">
        <v>1364</v>
      </c>
      <c r="G577" s="6" t="s">
        <v>4412</v>
      </c>
      <c r="H577" s="6" t="s">
        <v>4439</v>
      </c>
      <c r="I577" s="6" t="n">
        <v>28</v>
      </c>
      <c r="J577" s="6"/>
      <c r="K577" s="6" t="s">
        <v>4414</v>
      </c>
      <c r="L577" s="7"/>
      <c r="M577" s="7"/>
    </row>
    <row r="578" customFormat="false" ht="35.05" hidden="false" customHeight="false" outlineLevel="0" collapsed="false">
      <c r="A578" s="6" t="s">
        <v>1476</v>
      </c>
      <c r="B578" s="6" t="s">
        <v>77</v>
      </c>
      <c r="C578" s="6" t="s">
        <v>1362</v>
      </c>
      <c r="D578" s="6" t="s">
        <v>1330</v>
      </c>
      <c r="E578" s="6"/>
      <c r="F578" s="6" t="s">
        <v>1364</v>
      </c>
      <c r="G578" s="6" t="s">
        <v>4415</v>
      </c>
      <c r="H578" s="6" t="s">
        <v>4440</v>
      </c>
      <c r="I578" s="6" t="n">
        <v>18</v>
      </c>
      <c r="J578" s="6"/>
      <c r="K578" s="6" t="s">
        <v>4417</v>
      </c>
      <c r="L578" s="7"/>
      <c r="M578" s="7"/>
    </row>
    <row r="579" customFormat="false" ht="35.05" hidden="false" customHeight="false" outlineLevel="0" collapsed="false">
      <c r="A579" s="6" t="s">
        <v>1479</v>
      </c>
      <c r="B579" s="6" t="s">
        <v>77</v>
      </c>
      <c r="C579" s="6" t="s">
        <v>1362</v>
      </c>
      <c r="D579" s="6" t="s">
        <v>1330</v>
      </c>
      <c r="E579" s="6"/>
      <c r="F579" s="6" t="s">
        <v>1370</v>
      </c>
      <c r="G579" s="6" t="s">
        <v>4406</v>
      </c>
      <c r="H579" s="6" t="s">
        <v>4441</v>
      </c>
      <c r="I579" s="6" t="n">
        <v>96</v>
      </c>
      <c r="J579" s="6" t="s">
        <v>83</v>
      </c>
      <c r="K579" s="6" t="s">
        <v>4464</v>
      </c>
      <c r="L579" s="7"/>
      <c r="M579" s="7"/>
    </row>
    <row r="580" customFormat="false" ht="35.05" hidden="false" customHeight="false" outlineLevel="0" collapsed="false">
      <c r="A580" s="6" t="s">
        <v>1479</v>
      </c>
      <c r="B580" s="6" t="s">
        <v>77</v>
      </c>
      <c r="C580" s="6" t="s">
        <v>1362</v>
      </c>
      <c r="D580" s="6" t="s">
        <v>1330</v>
      </c>
      <c r="E580" s="6"/>
      <c r="F580" s="6" t="s">
        <v>1370</v>
      </c>
      <c r="G580" s="6" t="s">
        <v>4409</v>
      </c>
      <c r="H580" s="6" t="s">
        <v>4442</v>
      </c>
      <c r="I580" s="6" t="n">
        <v>62</v>
      </c>
      <c r="J580" s="6"/>
      <c r="K580" s="6" t="s">
        <v>4411</v>
      </c>
      <c r="L580" s="7"/>
      <c r="M580" s="7"/>
    </row>
    <row r="581" customFormat="false" ht="35.05" hidden="false" customHeight="false" outlineLevel="0" collapsed="false">
      <c r="A581" s="6" t="s">
        <v>1479</v>
      </c>
      <c r="B581" s="6" t="s">
        <v>77</v>
      </c>
      <c r="C581" s="6" t="s">
        <v>1362</v>
      </c>
      <c r="D581" s="6" t="s">
        <v>1330</v>
      </c>
      <c r="E581" s="6"/>
      <c r="F581" s="6" t="s">
        <v>1370</v>
      </c>
      <c r="G581" s="6" t="s">
        <v>4412</v>
      </c>
      <c r="H581" s="6" t="s">
        <v>4443</v>
      </c>
      <c r="I581" s="6" t="n">
        <v>28</v>
      </c>
      <c r="J581" s="6"/>
      <c r="K581" s="6" t="s">
        <v>4414</v>
      </c>
      <c r="L581" s="7"/>
      <c r="M581" s="7"/>
    </row>
    <row r="582" customFormat="false" ht="35.05" hidden="false" customHeight="false" outlineLevel="0" collapsed="false">
      <c r="A582" s="6" t="s">
        <v>1479</v>
      </c>
      <c r="B582" s="6" t="s">
        <v>77</v>
      </c>
      <c r="C582" s="6" t="s">
        <v>1362</v>
      </c>
      <c r="D582" s="6" t="s">
        <v>1330</v>
      </c>
      <c r="E582" s="6"/>
      <c r="F582" s="6" t="s">
        <v>1370</v>
      </c>
      <c r="G582" s="6" t="s">
        <v>4415</v>
      </c>
      <c r="H582" s="6" t="s">
        <v>4444</v>
      </c>
      <c r="I582" s="6" t="n">
        <v>18</v>
      </c>
      <c r="J582" s="6"/>
      <c r="K582" s="6" t="s">
        <v>4417</v>
      </c>
      <c r="L582" s="7"/>
      <c r="M582" s="7"/>
    </row>
    <row r="583" customFormat="false" ht="35.05" hidden="false" customHeight="false" outlineLevel="0" collapsed="false">
      <c r="A583" s="6" t="s">
        <v>1481</v>
      </c>
      <c r="B583" s="6" t="s">
        <v>77</v>
      </c>
      <c r="C583" s="6" t="s">
        <v>79</v>
      </c>
      <c r="D583" s="6" t="s">
        <v>1330</v>
      </c>
      <c r="E583" s="6"/>
      <c r="F583" s="6" t="s">
        <v>1335</v>
      </c>
      <c r="G583" s="6" t="s">
        <v>4406</v>
      </c>
      <c r="H583" s="6" t="s">
        <v>4407</v>
      </c>
      <c r="I583" s="6" t="n">
        <v>96</v>
      </c>
      <c r="J583" s="6" t="s">
        <v>83</v>
      </c>
      <c r="K583" s="6" t="s">
        <v>4465</v>
      </c>
      <c r="L583" s="7"/>
      <c r="M583" s="7"/>
    </row>
    <row r="584" customFormat="false" ht="35.05" hidden="false" customHeight="false" outlineLevel="0" collapsed="false">
      <c r="A584" s="6" t="s">
        <v>1481</v>
      </c>
      <c r="B584" s="6" t="s">
        <v>77</v>
      </c>
      <c r="C584" s="6" t="s">
        <v>79</v>
      </c>
      <c r="D584" s="6" t="s">
        <v>1330</v>
      </c>
      <c r="E584" s="6"/>
      <c r="F584" s="6" t="s">
        <v>1335</v>
      </c>
      <c r="G584" s="6" t="s">
        <v>4409</v>
      </c>
      <c r="H584" s="6" t="s">
        <v>4410</v>
      </c>
      <c r="I584" s="6" t="n">
        <v>60</v>
      </c>
      <c r="J584" s="6"/>
      <c r="K584" s="6" t="s">
        <v>4411</v>
      </c>
      <c r="L584" s="7"/>
      <c r="M584" s="7"/>
    </row>
    <row r="585" customFormat="false" ht="35.05" hidden="false" customHeight="false" outlineLevel="0" collapsed="false">
      <c r="A585" s="6" t="s">
        <v>1481</v>
      </c>
      <c r="B585" s="6" t="s">
        <v>77</v>
      </c>
      <c r="C585" s="6" t="s">
        <v>79</v>
      </c>
      <c r="D585" s="6" t="s">
        <v>1330</v>
      </c>
      <c r="E585" s="6"/>
      <c r="F585" s="6" t="s">
        <v>1335</v>
      </c>
      <c r="G585" s="6" t="s">
        <v>4412</v>
      </c>
      <c r="H585" s="6" t="s">
        <v>4413</v>
      </c>
      <c r="I585" s="6" t="n">
        <v>28</v>
      </c>
      <c r="J585" s="6"/>
      <c r="K585" s="6" t="s">
        <v>4414</v>
      </c>
      <c r="L585" s="7"/>
      <c r="M585" s="7"/>
    </row>
    <row r="586" customFormat="false" ht="35.05" hidden="false" customHeight="false" outlineLevel="0" collapsed="false">
      <c r="A586" s="6" t="s">
        <v>1481</v>
      </c>
      <c r="B586" s="6" t="s">
        <v>77</v>
      </c>
      <c r="C586" s="6" t="s">
        <v>79</v>
      </c>
      <c r="D586" s="6" t="s">
        <v>1330</v>
      </c>
      <c r="E586" s="6"/>
      <c r="F586" s="6" t="s">
        <v>1335</v>
      </c>
      <c r="G586" s="6" t="s">
        <v>4415</v>
      </c>
      <c r="H586" s="6" t="s">
        <v>4416</v>
      </c>
      <c r="I586" s="6" t="n">
        <v>18</v>
      </c>
      <c r="J586" s="6"/>
      <c r="K586" s="6" t="s">
        <v>4417</v>
      </c>
      <c r="L586" s="7"/>
      <c r="M586" s="7"/>
    </row>
    <row r="587" customFormat="false" ht="35.05" hidden="false" customHeight="false" outlineLevel="0" collapsed="false">
      <c r="A587" s="6" t="s">
        <v>1488</v>
      </c>
      <c r="B587" s="6" t="s">
        <v>77</v>
      </c>
      <c r="C587" s="6" t="s">
        <v>98</v>
      </c>
      <c r="D587" s="6" t="s">
        <v>1330</v>
      </c>
      <c r="E587" s="6"/>
      <c r="F587" s="6" t="s">
        <v>1341</v>
      </c>
      <c r="G587" s="6" t="s">
        <v>4406</v>
      </c>
      <c r="H587" s="6" t="s">
        <v>4418</v>
      </c>
      <c r="I587" s="6" t="n">
        <v>96</v>
      </c>
      <c r="J587" s="6" t="s">
        <v>83</v>
      </c>
      <c r="K587" s="6" t="s">
        <v>4466</v>
      </c>
      <c r="L587" s="7"/>
      <c r="M587" s="7"/>
    </row>
    <row r="588" customFormat="false" ht="35.05" hidden="false" customHeight="false" outlineLevel="0" collapsed="false">
      <c r="A588" s="6" t="s">
        <v>1488</v>
      </c>
      <c r="B588" s="6" t="s">
        <v>77</v>
      </c>
      <c r="C588" s="6" t="s">
        <v>98</v>
      </c>
      <c r="D588" s="6" t="s">
        <v>1330</v>
      </c>
      <c r="E588" s="6"/>
      <c r="F588" s="6" t="s">
        <v>1341</v>
      </c>
      <c r="G588" s="6" t="s">
        <v>4409</v>
      </c>
      <c r="H588" s="6" t="s">
        <v>4420</v>
      </c>
      <c r="I588" s="6" t="n">
        <v>58</v>
      </c>
      <c r="J588" s="6"/>
      <c r="K588" s="6" t="s">
        <v>4411</v>
      </c>
      <c r="L588" s="7"/>
      <c r="M588" s="7"/>
    </row>
    <row r="589" customFormat="false" ht="35.05" hidden="false" customHeight="false" outlineLevel="0" collapsed="false">
      <c r="A589" s="6" t="s">
        <v>1488</v>
      </c>
      <c r="B589" s="6" t="s">
        <v>77</v>
      </c>
      <c r="C589" s="6" t="s">
        <v>98</v>
      </c>
      <c r="D589" s="6" t="s">
        <v>1330</v>
      </c>
      <c r="E589" s="6"/>
      <c r="F589" s="6" t="s">
        <v>1341</v>
      </c>
      <c r="G589" s="6" t="s">
        <v>4412</v>
      </c>
      <c r="H589" s="6" t="s">
        <v>4421</v>
      </c>
      <c r="I589" s="6" t="n">
        <v>28</v>
      </c>
      <c r="J589" s="6"/>
      <c r="K589" s="6" t="s">
        <v>4414</v>
      </c>
      <c r="L589" s="7"/>
      <c r="M589" s="7"/>
    </row>
    <row r="590" customFormat="false" ht="35.05" hidden="false" customHeight="false" outlineLevel="0" collapsed="false">
      <c r="A590" s="6" t="s">
        <v>1488</v>
      </c>
      <c r="B590" s="6" t="s">
        <v>77</v>
      </c>
      <c r="C590" s="6" t="s">
        <v>98</v>
      </c>
      <c r="D590" s="6" t="s">
        <v>1330</v>
      </c>
      <c r="E590" s="6"/>
      <c r="F590" s="6" t="s">
        <v>1341</v>
      </c>
      <c r="G590" s="6" t="s">
        <v>4415</v>
      </c>
      <c r="H590" s="6" t="s">
        <v>4422</v>
      </c>
      <c r="I590" s="6" t="n">
        <v>18</v>
      </c>
      <c r="J590" s="6"/>
      <c r="K590" s="6" t="s">
        <v>4417</v>
      </c>
      <c r="L590" s="7"/>
      <c r="M590" s="7"/>
    </row>
    <row r="591" customFormat="false" ht="35.05" hidden="false" customHeight="false" outlineLevel="0" collapsed="false">
      <c r="A591" s="6" t="s">
        <v>1491</v>
      </c>
      <c r="B591" s="6" t="s">
        <v>77</v>
      </c>
      <c r="C591" s="6" t="s">
        <v>98</v>
      </c>
      <c r="D591" s="6" t="s">
        <v>1330</v>
      </c>
      <c r="E591" s="6"/>
      <c r="F591" s="6" t="s">
        <v>1347</v>
      </c>
      <c r="G591" s="6" t="s">
        <v>4406</v>
      </c>
      <c r="H591" s="6" t="s">
        <v>4423</v>
      </c>
      <c r="I591" s="6" t="n">
        <v>96</v>
      </c>
      <c r="J591" s="6" t="s">
        <v>83</v>
      </c>
      <c r="K591" s="6" t="s">
        <v>4466</v>
      </c>
      <c r="L591" s="7"/>
      <c r="M591" s="7"/>
    </row>
    <row r="592" customFormat="false" ht="35.05" hidden="false" customHeight="false" outlineLevel="0" collapsed="false">
      <c r="A592" s="6" t="s">
        <v>1491</v>
      </c>
      <c r="B592" s="6" t="s">
        <v>77</v>
      </c>
      <c r="C592" s="6" t="s">
        <v>98</v>
      </c>
      <c r="D592" s="6" t="s">
        <v>1330</v>
      </c>
      <c r="E592" s="6"/>
      <c r="F592" s="6" t="s">
        <v>1347</v>
      </c>
      <c r="G592" s="6" t="s">
        <v>4409</v>
      </c>
      <c r="H592" s="6" t="s">
        <v>4424</v>
      </c>
      <c r="I592" s="6" t="n">
        <v>58</v>
      </c>
      <c r="J592" s="6"/>
      <c r="K592" s="6" t="s">
        <v>4411</v>
      </c>
      <c r="L592" s="7"/>
      <c r="M592" s="7"/>
    </row>
    <row r="593" customFormat="false" ht="35.05" hidden="false" customHeight="false" outlineLevel="0" collapsed="false">
      <c r="A593" s="6" t="s">
        <v>1491</v>
      </c>
      <c r="B593" s="6" t="s">
        <v>77</v>
      </c>
      <c r="C593" s="6" t="s">
        <v>98</v>
      </c>
      <c r="D593" s="6" t="s">
        <v>1330</v>
      </c>
      <c r="E593" s="6"/>
      <c r="F593" s="6" t="s">
        <v>1347</v>
      </c>
      <c r="G593" s="6" t="s">
        <v>4412</v>
      </c>
      <c r="H593" s="6" t="s">
        <v>4425</v>
      </c>
      <c r="I593" s="6" t="n">
        <v>28</v>
      </c>
      <c r="J593" s="6"/>
      <c r="K593" s="6" t="s">
        <v>4414</v>
      </c>
      <c r="L593" s="7"/>
      <c r="M593" s="7"/>
    </row>
    <row r="594" customFormat="false" ht="35.05" hidden="false" customHeight="false" outlineLevel="0" collapsed="false">
      <c r="A594" s="6" t="s">
        <v>1491</v>
      </c>
      <c r="B594" s="6" t="s">
        <v>77</v>
      </c>
      <c r="C594" s="6" t="s">
        <v>98</v>
      </c>
      <c r="D594" s="6" t="s">
        <v>1330</v>
      </c>
      <c r="E594" s="6"/>
      <c r="F594" s="6" t="s">
        <v>1347</v>
      </c>
      <c r="G594" s="6" t="s">
        <v>4415</v>
      </c>
      <c r="H594" s="6" t="s">
        <v>4426</v>
      </c>
      <c r="I594" s="6" t="n">
        <v>18</v>
      </c>
      <c r="J594" s="6"/>
      <c r="K594" s="6" t="s">
        <v>4417</v>
      </c>
      <c r="L594" s="7"/>
      <c r="M594" s="7"/>
    </row>
    <row r="595" customFormat="false" ht="35.05" hidden="false" customHeight="false" outlineLevel="0" collapsed="false">
      <c r="A595" s="6" t="s">
        <v>1493</v>
      </c>
      <c r="B595" s="6" t="s">
        <v>77</v>
      </c>
      <c r="C595" s="6" t="s">
        <v>165</v>
      </c>
      <c r="D595" s="6" t="s">
        <v>1330</v>
      </c>
      <c r="E595" s="6"/>
      <c r="F595" s="6" t="s">
        <v>1352</v>
      </c>
      <c r="G595" s="6" t="s">
        <v>4406</v>
      </c>
      <c r="H595" s="6" t="s">
        <v>4427</v>
      </c>
      <c r="I595" s="6" t="n">
        <v>96</v>
      </c>
      <c r="J595" s="6" t="s">
        <v>83</v>
      </c>
      <c r="K595" s="6" t="s">
        <v>4467</v>
      </c>
      <c r="L595" s="7"/>
      <c r="M595" s="7"/>
    </row>
    <row r="596" customFormat="false" ht="35.05" hidden="false" customHeight="false" outlineLevel="0" collapsed="false">
      <c r="A596" s="6" t="s">
        <v>1493</v>
      </c>
      <c r="B596" s="6" t="s">
        <v>77</v>
      </c>
      <c r="C596" s="6" t="s">
        <v>165</v>
      </c>
      <c r="D596" s="6" t="s">
        <v>1330</v>
      </c>
      <c r="E596" s="6"/>
      <c r="F596" s="6" t="s">
        <v>1352</v>
      </c>
      <c r="G596" s="6" t="s">
        <v>4409</v>
      </c>
      <c r="H596" s="6" t="s">
        <v>4429</v>
      </c>
      <c r="I596" s="6" t="n">
        <v>62</v>
      </c>
      <c r="J596" s="6"/>
      <c r="K596" s="6" t="s">
        <v>4411</v>
      </c>
      <c r="L596" s="7"/>
      <c r="M596" s="7"/>
    </row>
    <row r="597" customFormat="false" ht="35.05" hidden="false" customHeight="false" outlineLevel="0" collapsed="false">
      <c r="A597" s="6" t="s">
        <v>1493</v>
      </c>
      <c r="B597" s="6" t="s">
        <v>77</v>
      </c>
      <c r="C597" s="6" t="s">
        <v>165</v>
      </c>
      <c r="D597" s="6" t="s">
        <v>1330</v>
      </c>
      <c r="E597" s="6"/>
      <c r="F597" s="6" t="s">
        <v>1352</v>
      </c>
      <c r="G597" s="6" t="s">
        <v>4412</v>
      </c>
      <c r="H597" s="6" t="s">
        <v>4430</v>
      </c>
      <c r="I597" s="6" t="n">
        <v>28</v>
      </c>
      <c r="J597" s="6"/>
      <c r="K597" s="6" t="s">
        <v>4414</v>
      </c>
      <c r="L597" s="7"/>
      <c r="M597" s="7"/>
    </row>
    <row r="598" customFormat="false" ht="35.05" hidden="false" customHeight="false" outlineLevel="0" collapsed="false">
      <c r="A598" s="6" t="s">
        <v>1493</v>
      </c>
      <c r="B598" s="6" t="s">
        <v>77</v>
      </c>
      <c r="C598" s="6" t="s">
        <v>165</v>
      </c>
      <c r="D598" s="6" t="s">
        <v>1330</v>
      </c>
      <c r="E598" s="6"/>
      <c r="F598" s="6" t="s">
        <v>1352</v>
      </c>
      <c r="G598" s="6" t="s">
        <v>4415</v>
      </c>
      <c r="H598" s="6" t="s">
        <v>4431</v>
      </c>
      <c r="I598" s="6" t="n">
        <v>18</v>
      </c>
      <c r="J598" s="6"/>
      <c r="K598" s="6" t="s">
        <v>4417</v>
      </c>
      <c r="L598" s="7"/>
      <c r="M598" s="7"/>
    </row>
    <row r="599" customFormat="false" ht="35.05" hidden="false" customHeight="false" outlineLevel="0" collapsed="false">
      <c r="A599" s="6" t="s">
        <v>1496</v>
      </c>
      <c r="B599" s="6" t="s">
        <v>77</v>
      </c>
      <c r="C599" s="6" t="s">
        <v>165</v>
      </c>
      <c r="D599" s="6" t="s">
        <v>1330</v>
      </c>
      <c r="E599" s="6"/>
      <c r="F599" s="6" t="s">
        <v>1358</v>
      </c>
      <c r="G599" s="6" t="s">
        <v>4406</v>
      </c>
      <c r="H599" s="6" t="s">
        <v>4432</v>
      </c>
      <c r="I599" s="6" t="n">
        <v>96</v>
      </c>
      <c r="J599" s="6" t="s">
        <v>83</v>
      </c>
      <c r="K599" s="6" t="s">
        <v>4467</v>
      </c>
      <c r="L599" s="7"/>
      <c r="M599" s="7"/>
    </row>
    <row r="600" customFormat="false" ht="35.05" hidden="false" customHeight="false" outlineLevel="0" collapsed="false">
      <c r="A600" s="6" t="s">
        <v>1496</v>
      </c>
      <c r="B600" s="6" t="s">
        <v>77</v>
      </c>
      <c r="C600" s="6" t="s">
        <v>165</v>
      </c>
      <c r="D600" s="6" t="s">
        <v>1330</v>
      </c>
      <c r="E600" s="6"/>
      <c r="F600" s="6" t="s">
        <v>1358</v>
      </c>
      <c r="G600" s="6" t="s">
        <v>4409</v>
      </c>
      <c r="H600" s="6" t="s">
        <v>4433</v>
      </c>
      <c r="I600" s="6" t="n">
        <v>62</v>
      </c>
      <c r="J600" s="6"/>
      <c r="K600" s="6" t="s">
        <v>4411</v>
      </c>
      <c r="L600" s="7"/>
      <c r="M600" s="7"/>
    </row>
    <row r="601" customFormat="false" ht="35.05" hidden="false" customHeight="false" outlineLevel="0" collapsed="false">
      <c r="A601" s="6" t="s">
        <v>1496</v>
      </c>
      <c r="B601" s="6" t="s">
        <v>77</v>
      </c>
      <c r="C601" s="6" t="s">
        <v>165</v>
      </c>
      <c r="D601" s="6" t="s">
        <v>1330</v>
      </c>
      <c r="E601" s="6"/>
      <c r="F601" s="6" t="s">
        <v>1358</v>
      </c>
      <c r="G601" s="6" t="s">
        <v>4412</v>
      </c>
      <c r="H601" s="6" t="s">
        <v>4434</v>
      </c>
      <c r="I601" s="6" t="n">
        <v>28</v>
      </c>
      <c r="J601" s="6"/>
      <c r="K601" s="6" t="s">
        <v>4414</v>
      </c>
      <c r="L601" s="7"/>
      <c r="M601" s="7"/>
    </row>
    <row r="602" customFormat="false" ht="35.05" hidden="false" customHeight="false" outlineLevel="0" collapsed="false">
      <c r="A602" s="6" t="s">
        <v>1496</v>
      </c>
      <c r="B602" s="6" t="s">
        <v>77</v>
      </c>
      <c r="C602" s="6" t="s">
        <v>165</v>
      </c>
      <c r="D602" s="6" t="s">
        <v>1330</v>
      </c>
      <c r="E602" s="6"/>
      <c r="F602" s="6" t="s">
        <v>1358</v>
      </c>
      <c r="G602" s="6" t="s">
        <v>4415</v>
      </c>
      <c r="H602" s="6" t="s">
        <v>4435</v>
      </c>
      <c r="I602" s="6" t="n">
        <v>18</v>
      </c>
      <c r="J602" s="6"/>
      <c r="K602" s="6" t="s">
        <v>4417</v>
      </c>
      <c r="L602" s="7"/>
      <c r="M602" s="7"/>
    </row>
    <row r="603" customFormat="false" ht="35.05" hidden="false" customHeight="false" outlineLevel="0" collapsed="false">
      <c r="A603" s="6" t="s">
        <v>1498</v>
      </c>
      <c r="B603" s="6" t="s">
        <v>77</v>
      </c>
      <c r="C603" s="6" t="s">
        <v>1362</v>
      </c>
      <c r="D603" s="6" t="s">
        <v>1330</v>
      </c>
      <c r="E603" s="6"/>
      <c r="F603" s="6" t="s">
        <v>1364</v>
      </c>
      <c r="G603" s="6" t="s">
        <v>4406</v>
      </c>
      <c r="H603" s="6" t="s">
        <v>4436</v>
      </c>
      <c r="I603" s="6" t="n">
        <v>96</v>
      </c>
      <c r="J603" s="6" t="s">
        <v>83</v>
      </c>
      <c r="K603" s="6" t="s">
        <v>4468</v>
      </c>
      <c r="L603" s="7"/>
      <c r="M603" s="7"/>
    </row>
    <row r="604" customFormat="false" ht="35.05" hidden="false" customHeight="false" outlineLevel="0" collapsed="false">
      <c r="A604" s="6" t="s">
        <v>1498</v>
      </c>
      <c r="B604" s="6" t="s">
        <v>77</v>
      </c>
      <c r="C604" s="6" t="s">
        <v>1362</v>
      </c>
      <c r="D604" s="6" t="s">
        <v>1330</v>
      </c>
      <c r="E604" s="6"/>
      <c r="F604" s="6" t="s">
        <v>1364</v>
      </c>
      <c r="G604" s="6" t="s">
        <v>4409</v>
      </c>
      <c r="H604" s="6" t="s">
        <v>4438</v>
      </c>
      <c r="I604" s="6" t="n">
        <v>62</v>
      </c>
      <c r="J604" s="6"/>
      <c r="K604" s="6" t="s">
        <v>4411</v>
      </c>
      <c r="L604" s="7"/>
      <c r="M604" s="7"/>
    </row>
    <row r="605" customFormat="false" ht="35.05" hidden="false" customHeight="false" outlineLevel="0" collapsed="false">
      <c r="A605" s="6" t="s">
        <v>1498</v>
      </c>
      <c r="B605" s="6" t="s">
        <v>77</v>
      </c>
      <c r="C605" s="6" t="s">
        <v>1362</v>
      </c>
      <c r="D605" s="6" t="s">
        <v>1330</v>
      </c>
      <c r="E605" s="6"/>
      <c r="F605" s="6" t="s">
        <v>1364</v>
      </c>
      <c r="G605" s="6" t="s">
        <v>4412</v>
      </c>
      <c r="H605" s="6" t="s">
        <v>4439</v>
      </c>
      <c r="I605" s="6" t="n">
        <v>28</v>
      </c>
      <c r="J605" s="6"/>
      <c r="K605" s="6" t="s">
        <v>4414</v>
      </c>
      <c r="L605" s="7"/>
      <c r="M605" s="7"/>
    </row>
    <row r="606" customFormat="false" ht="35.05" hidden="false" customHeight="false" outlineLevel="0" collapsed="false">
      <c r="A606" s="6" t="s">
        <v>1498</v>
      </c>
      <c r="B606" s="6" t="s">
        <v>77</v>
      </c>
      <c r="C606" s="6" t="s">
        <v>1362</v>
      </c>
      <c r="D606" s="6" t="s">
        <v>1330</v>
      </c>
      <c r="E606" s="6"/>
      <c r="F606" s="6" t="s">
        <v>1364</v>
      </c>
      <c r="G606" s="6" t="s">
        <v>4415</v>
      </c>
      <c r="H606" s="6" t="s">
        <v>4440</v>
      </c>
      <c r="I606" s="6" t="n">
        <v>18</v>
      </c>
      <c r="J606" s="6"/>
      <c r="K606" s="6" t="s">
        <v>4417</v>
      </c>
      <c r="L606" s="7"/>
      <c r="M606" s="7"/>
    </row>
    <row r="607" customFormat="false" ht="35.05" hidden="false" customHeight="false" outlineLevel="0" collapsed="false">
      <c r="A607" s="6" t="s">
        <v>1501</v>
      </c>
      <c r="B607" s="6" t="s">
        <v>77</v>
      </c>
      <c r="C607" s="6" t="s">
        <v>1362</v>
      </c>
      <c r="D607" s="6" t="s">
        <v>1330</v>
      </c>
      <c r="E607" s="6"/>
      <c r="F607" s="6" t="s">
        <v>1370</v>
      </c>
      <c r="G607" s="6" t="s">
        <v>4406</v>
      </c>
      <c r="H607" s="6" t="s">
        <v>4441</v>
      </c>
      <c r="I607" s="6" t="n">
        <v>96</v>
      </c>
      <c r="J607" s="6" t="s">
        <v>83</v>
      </c>
      <c r="K607" s="6" t="s">
        <v>4468</v>
      </c>
      <c r="L607" s="7"/>
      <c r="M607" s="7"/>
    </row>
    <row r="608" customFormat="false" ht="35.05" hidden="false" customHeight="false" outlineLevel="0" collapsed="false">
      <c r="A608" s="6" t="s">
        <v>1501</v>
      </c>
      <c r="B608" s="6" t="s">
        <v>77</v>
      </c>
      <c r="C608" s="6" t="s">
        <v>1362</v>
      </c>
      <c r="D608" s="6" t="s">
        <v>1330</v>
      </c>
      <c r="E608" s="6"/>
      <c r="F608" s="6" t="s">
        <v>1370</v>
      </c>
      <c r="G608" s="6" t="s">
        <v>4409</v>
      </c>
      <c r="H608" s="6" t="s">
        <v>4442</v>
      </c>
      <c r="I608" s="6" t="n">
        <v>62</v>
      </c>
      <c r="J608" s="6"/>
      <c r="K608" s="6" t="s">
        <v>4411</v>
      </c>
      <c r="L608" s="7"/>
      <c r="M608" s="7"/>
    </row>
    <row r="609" customFormat="false" ht="35.05" hidden="false" customHeight="false" outlineLevel="0" collapsed="false">
      <c r="A609" s="6" t="s">
        <v>1501</v>
      </c>
      <c r="B609" s="6" t="s">
        <v>77</v>
      </c>
      <c r="C609" s="6" t="s">
        <v>1362</v>
      </c>
      <c r="D609" s="6" t="s">
        <v>1330</v>
      </c>
      <c r="E609" s="6"/>
      <c r="F609" s="6" t="s">
        <v>1370</v>
      </c>
      <c r="G609" s="6" t="s">
        <v>4412</v>
      </c>
      <c r="H609" s="6" t="s">
        <v>4443</v>
      </c>
      <c r="I609" s="6" t="n">
        <v>28</v>
      </c>
      <c r="J609" s="6"/>
      <c r="K609" s="6" t="s">
        <v>4414</v>
      </c>
      <c r="L609" s="7"/>
      <c r="M609" s="7"/>
    </row>
    <row r="610" customFormat="false" ht="35.05" hidden="false" customHeight="false" outlineLevel="0" collapsed="false">
      <c r="A610" s="6" t="s">
        <v>1501</v>
      </c>
      <c r="B610" s="6" t="s">
        <v>77</v>
      </c>
      <c r="C610" s="6" t="s">
        <v>1362</v>
      </c>
      <c r="D610" s="6" t="s">
        <v>1330</v>
      </c>
      <c r="E610" s="6"/>
      <c r="F610" s="6" t="s">
        <v>1370</v>
      </c>
      <c r="G610" s="6" t="s">
        <v>4415</v>
      </c>
      <c r="H610" s="6" t="s">
        <v>4444</v>
      </c>
      <c r="I610" s="6" t="n">
        <v>18</v>
      </c>
      <c r="J610" s="6"/>
      <c r="K610" s="6" t="s">
        <v>4417</v>
      </c>
      <c r="L610" s="7"/>
      <c r="M610" s="7"/>
    </row>
    <row r="611" customFormat="false" ht="35.05" hidden="false" customHeight="false" outlineLevel="0" collapsed="false">
      <c r="A611" s="6" t="s">
        <v>1503</v>
      </c>
      <c r="B611" s="6" t="s">
        <v>77</v>
      </c>
      <c r="C611" s="6" t="s">
        <v>79</v>
      </c>
      <c r="D611" s="6" t="s">
        <v>1330</v>
      </c>
      <c r="E611" s="6"/>
      <c r="F611" s="6" t="s">
        <v>1335</v>
      </c>
      <c r="G611" s="6" t="s">
        <v>4406</v>
      </c>
      <c r="H611" s="6" t="s">
        <v>4407</v>
      </c>
      <c r="I611" s="6" t="n">
        <v>96</v>
      </c>
      <c r="J611" s="6" t="s">
        <v>83</v>
      </c>
      <c r="K611" s="6" t="s">
        <v>4469</v>
      </c>
      <c r="L611" s="7"/>
      <c r="M611" s="7"/>
    </row>
    <row r="612" customFormat="false" ht="35.05" hidden="false" customHeight="false" outlineLevel="0" collapsed="false">
      <c r="A612" s="6" t="s">
        <v>1503</v>
      </c>
      <c r="B612" s="6" t="s">
        <v>77</v>
      </c>
      <c r="C612" s="6" t="s">
        <v>79</v>
      </c>
      <c r="D612" s="6" t="s">
        <v>1330</v>
      </c>
      <c r="E612" s="6"/>
      <c r="F612" s="6" t="s">
        <v>1335</v>
      </c>
      <c r="G612" s="6" t="s">
        <v>4409</v>
      </c>
      <c r="H612" s="6" t="s">
        <v>4410</v>
      </c>
      <c r="I612" s="6" t="n">
        <v>60</v>
      </c>
      <c r="J612" s="6"/>
      <c r="K612" s="6" t="s">
        <v>4411</v>
      </c>
      <c r="L612" s="7"/>
      <c r="M612" s="7"/>
    </row>
    <row r="613" customFormat="false" ht="35.05" hidden="false" customHeight="false" outlineLevel="0" collapsed="false">
      <c r="A613" s="6" t="s">
        <v>1503</v>
      </c>
      <c r="B613" s="6" t="s">
        <v>77</v>
      </c>
      <c r="C613" s="6" t="s">
        <v>79</v>
      </c>
      <c r="D613" s="6" t="s">
        <v>1330</v>
      </c>
      <c r="E613" s="6"/>
      <c r="F613" s="6" t="s">
        <v>1335</v>
      </c>
      <c r="G613" s="6" t="s">
        <v>4412</v>
      </c>
      <c r="H613" s="6" t="s">
        <v>4413</v>
      </c>
      <c r="I613" s="6" t="n">
        <v>28</v>
      </c>
      <c r="J613" s="6"/>
      <c r="K613" s="6" t="s">
        <v>4414</v>
      </c>
      <c r="L613" s="7"/>
      <c r="M613" s="7"/>
    </row>
    <row r="614" customFormat="false" ht="35.05" hidden="false" customHeight="false" outlineLevel="0" collapsed="false">
      <c r="A614" s="6" t="s">
        <v>1503</v>
      </c>
      <c r="B614" s="6" t="s">
        <v>77</v>
      </c>
      <c r="C614" s="6" t="s">
        <v>79</v>
      </c>
      <c r="D614" s="6" t="s">
        <v>1330</v>
      </c>
      <c r="E614" s="6"/>
      <c r="F614" s="6" t="s">
        <v>1335</v>
      </c>
      <c r="G614" s="6" t="s">
        <v>4415</v>
      </c>
      <c r="H614" s="6" t="s">
        <v>4416</v>
      </c>
      <c r="I614" s="6" t="n">
        <v>18</v>
      </c>
      <c r="J614" s="6"/>
      <c r="K614" s="6" t="s">
        <v>4417</v>
      </c>
      <c r="L614" s="7"/>
      <c r="M614" s="7"/>
    </row>
    <row r="615" customFormat="false" ht="35.05" hidden="false" customHeight="false" outlineLevel="0" collapsed="false">
      <c r="A615" s="6" t="s">
        <v>1507</v>
      </c>
      <c r="B615" s="6" t="s">
        <v>77</v>
      </c>
      <c r="C615" s="6" t="s">
        <v>98</v>
      </c>
      <c r="D615" s="6" t="s">
        <v>1330</v>
      </c>
      <c r="E615" s="6"/>
      <c r="F615" s="6" t="s">
        <v>1341</v>
      </c>
      <c r="G615" s="6" t="s">
        <v>4406</v>
      </c>
      <c r="H615" s="6" t="s">
        <v>4418</v>
      </c>
      <c r="I615" s="6" t="n">
        <v>96</v>
      </c>
      <c r="J615" s="6" t="s">
        <v>83</v>
      </c>
      <c r="K615" s="6" t="s">
        <v>4470</v>
      </c>
      <c r="L615" s="7"/>
      <c r="M615" s="7"/>
    </row>
    <row r="616" customFormat="false" ht="35.05" hidden="false" customHeight="false" outlineLevel="0" collapsed="false">
      <c r="A616" s="6" t="s">
        <v>1507</v>
      </c>
      <c r="B616" s="6" t="s">
        <v>77</v>
      </c>
      <c r="C616" s="6" t="s">
        <v>98</v>
      </c>
      <c r="D616" s="6" t="s">
        <v>1330</v>
      </c>
      <c r="E616" s="6"/>
      <c r="F616" s="6" t="s">
        <v>1341</v>
      </c>
      <c r="G616" s="6" t="s">
        <v>4409</v>
      </c>
      <c r="H616" s="6" t="s">
        <v>4420</v>
      </c>
      <c r="I616" s="6" t="n">
        <v>58</v>
      </c>
      <c r="J616" s="6"/>
      <c r="K616" s="6" t="s">
        <v>4411</v>
      </c>
      <c r="L616" s="7"/>
      <c r="M616" s="7"/>
    </row>
    <row r="617" customFormat="false" ht="35.05" hidden="false" customHeight="false" outlineLevel="0" collapsed="false">
      <c r="A617" s="6" t="s">
        <v>1507</v>
      </c>
      <c r="B617" s="6" t="s">
        <v>77</v>
      </c>
      <c r="C617" s="6" t="s">
        <v>98</v>
      </c>
      <c r="D617" s="6" t="s">
        <v>1330</v>
      </c>
      <c r="E617" s="6"/>
      <c r="F617" s="6" t="s">
        <v>1341</v>
      </c>
      <c r="G617" s="6" t="s">
        <v>4412</v>
      </c>
      <c r="H617" s="6" t="s">
        <v>4421</v>
      </c>
      <c r="I617" s="6" t="n">
        <v>28</v>
      </c>
      <c r="J617" s="6"/>
      <c r="K617" s="6" t="s">
        <v>4414</v>
      </c>
      <c r="L617" s="7"/>
      <c r="M617" s="7"/>
    </row>
    <row r="618" customFormat="false" ht="35.05" hidden="false" customHeight="false" outlineLevel="0" collapsed="false">
      <c r="A618" s="6" t="s">
        <v>1507</v>
      </c>
      <c r="B618" s="6" t="s">
        <v>77</v>
      </c>
      <c r="C618" s="6" t="s">
        <v>98</v>
      </c>
      <c r="D618" s="6" t="s">
        <v>1330</v>
      </c>
      <c r="E618" s="6"/>
      <c r="F618" s="6" t="s">
        <v>1341</v>
      </c>
      <c r="G618" s="6" t="s">
        <v>4415</v>
      </c>
      <c r="H618" s="6" t="s">
        <v>4422</v>
      </c>
      <c r="I618" s="6" t="n">
        <v>18</v>
      </c>
      <c r="J618" s="6"/>
      <c r="K618" s="6" t="s">
        <v>4417</v>
      </c>
      <c r="L618" s="7"/>
      <c r="M618" s="7"/>
    </row>
    <row r="619" customFormat="false" ht="35.05" hidden="false" customHeight="false" outlineLevel="0" collapsed="false">
      <c r="A619" s="6" t="s">
        <v>1510</v>
      </c>
      <c r="B619" s="6" t="s">
        <v>77</v>
      </c>
      <c r="C619" s="6" t="s">
        <v>98</v>
      </c>
      <c r="D619" s="6" t="s">
        <v>1330</v>
      </c>
      <c r="E619" s="6"/>
      <c r="F619" s="6" t="s">
        <v>1347</v>
      </c>
      <c r="G619" s="6" t="s">
        <v>4406</v>
      </c>
      <c r="H619" s="6" t="s">
        <v>4423</v>
      </c>
      <c r="I619" s="6" t="n">
        <v>96</v>
      </c>
      <c r="J619" s="6" t="s">
        <v>83</v>
      </c>
      <c r="K619" s="6" t="s">
        <v>4470</v>
      </c>
      <c r="L619" s="7"/>
      <c r="M619" s="7"/>
    </row>
    <row r="620" customFormat="false" ht="35.05" hidden="false" customHeight="false" outlineLevel="0" collapsed="false">
      <c r="A620" s="6" t="s">
        <v>1510</v>
      </c>
      <c r="B620" s="6" t="s">
        <v>77</v>
      </c>
      <c r="C620" s="6" t="s">
        <v>98</v>
      </c>
      <c r="D620" s="6" t="s">
        <v>1330</v>
      </c>
      <c r="E620" s="6"/>
      <c r="F620" s="6" t="s">
        <v>1347</v>
      </c>
      <c r="G620" s="6" t="s">
        <v>4409</v>
      </c>
      <c r="H620" s="6" t="s">
        <v>4424</v>
      </c>
      <c r="I620" s="6" t="n">
        <v>58</v>
      </c>
      <c r="J620" s="6"/>
      <c r="K620" s="6" t="s">
        <v>4411</v>
      </c>
      <c r="L620" s="7"/>
      <c r="M620" s="7"/>
    </row>
    <row r="621" customFormat="false" ht="35.05" hidden="false" customHeight="false" outlineLevel="0" collapsed="false">
      <c r="A621" s="6" t="s">
        <v>1510</v>
      </c>
      <c r="B621" s="6" t="s">
        <v>77</v>
      </c>
      <c r="C621" s="6" t="s">
        <v>98</v>
      </c>
      <c r="D621" s="6" t="s">
        <v>1330</v>
      </c>
      <c r="E621" s="6"/>
      <c r="F621" s="6" t="s">
        <v>1347</v>
      </c>
      <c r="G621" s="6" t="s">
        <v>4412</v>
      </c>
      <c r="H621" s="6" t="s">
        <v>4425</v>
      </c>
      <c r="I621" s="6" t="n">
        <v>28</v>
      </c>
      <c r="J621" s="6"/>
      <c r="K621" s="6" t="s">
        <v>4414</v>
      </c>
      <c r="L621" s="7"/>
      <c r="M621" s="7"/>
    </row>
    <row r="622" customFormat="false" ht="35.05" hidden="false" customHeight="false" outlineLevel="0" collapsed="false">
      <c r="A622" s="6" t="s">
        <v>1510</v>
      </c>
      <c r="B622" s="6" t="s">
        <v>77</v>
      </c>
      <c r="C622" s="6" t="s">
        <v>98</v>
      </c>
      <c r="D622" s="6" t="s">
        <v>1330</v>
      </c>
      <c r="E622" s="6"/>
      <c r="F622" s="6" t="s">
        <v>1347</v>
      </c>
      <c r="G622" s="6" t="s">
        <v>4415</v>
      </c>
      <c r="H622" s="6" t="s">
        <v>4426</v>
      </c>
      <c r="I622" s="6" t="n">
        <v>18</v>
      </c>
      <c r="J622" s="6"/>
      <c r="K622" s="6" t="s">
        <v>4417</v>
      </c>
      <c r="L622" s="7"/>
      <c r="M622" s="7"/>
    </row>
    <row r="623" customFormat="false" ht="35.05" hidden="false" customHeight="false" outlineLevel="0" collapsed="false">
      <c r="A623" s="6" t="s">
        <v>1512</v>
      </c>
      <c r="B623" s="6" t="s">
        <v>77</v>
      </c>
      <c r="C623" s="6" t="s">
        <v>165</v>
      </c>
      <c r="D623" s="6" t="s">
        <v>1330</v>
      </c>
      <c r="E623" s="6"/>
      <c r="F623" s="6" t="s">
        <v>1352</v>
      </c>
      <c r="G623" s="6" t="s">
        <v>4406</v>
      </c>
      <c r="H623" s="6" t="s">
        <v>4427</v>
      </c>
      <c r="I623" s="6" t="n">
        <v>96</v>
      </c>
      <c r="J623" s="6" t="s">
        <v>83</v>
      </c>
      <c r="K623" s="6" t="s">
        <v>4471</v>
      </c>
      <c r="L623" s="7"/>
      <c r="M623" s="7"/>
    </row>
    <row r="624" customFormat="false" ht="35.05" hidden="false" customHeight="false" outlineLevel="0" collapsed="false">
      <c r="A624" s="6" t="s">
        <v>1512</v>
      </c>
      <c r="B624" s="6" t="s">
        <v>77</v>
      </c>
      <c r="C624" s="6" t="s">
        <v>165</v>
      </c>
      <c r="D624" s="6" t="s">
        <v>1330</v>
      </c>
      <c r="E624" s="6"/>
      <c r="F624" s="6" t="s">
        <v>1352</v>
      </c>
      <c r="G624" s="6" t="s">
        <v>4409</v>
      </c>
      <c r="H624" s="6" t="s">
        <v>4429</v>
      </c>
      <c r="I624" s="6" t="n">
        <v>62</v>
      </c>
      <c r="J624" s="6"/>
      <c r="K624" s="6" t="s">
        <v>4411</v>
      </c>
      <c r="L624" s="7"/>
      <c r="M624" s="7"/>
    </row>
    <row r="625" customFormat="false" ht="35.05" hidden="false" customHeight="false" outlineLevel="0" collapsed="false">
      <c r="A625" s="6" t="s">
        <v>1512</v>
      </c>
      <c r="B625" s="6" t="s">
        <v>77</v>
      </c>
      <c r="C625" s="6" t="s">
        <v>165</v>
      </c>
      <c r="D625" s="6" t="s">
        <v>1330</v>
      </c>
      <c r="E625" s="6"/>
      <c r="F625" s="6" t="s">
        <v>1352</v>
      </c>
      <c r="G625" s="6" t="s">
        <v>4412</v>
      </c>
      <c r="H625" s="6" t="s">
        <v>4430</v>
      </c>
      <c r="I625" s="6" t="n">
        <v>28</v>
      </c>
      <c r="J625" s="6"/>
      <c r="K625" s="6" t="s">
        <v>4414</v>
      </c>
      <c r="L625" s="7"/>
      <c r="M625" s="7"/>
    </row>
    <row r="626" customFormat="false" ht="35.05" hidden="false" customHeight="false" outlineLevel="0" collapsed="false">
      <c r="A626" s="6" t="s">
        <v>1512</v>
      </c>
      <c r="B626" s="6" t="s">
        <v>77</v>
      </c>
      <c r="C626" s="6" t="s">
        <v>165</v>
      </c>
      <c r="D626" s="6" t="s">
        <v>1330</v>
      </c>
      <c r="E626" s="6"/>
      <c r="F626" s="6" t="s">
        <v>1352</v>
      </c>
      <c r="G626" s="6" t="s">
        <v>4415</v>
      </c>
      <c r="H626" s="6" t="s">
        <v>4431</v>
      </c>
      <c r="I626" s="6" t="n">
        <v>18</v>
      </c>
      <c r="J626" s="6"/>
      <c r="K626" s="6" t="s">
        <v>4417</v>
      </c>
      <c r="L626" s="7"/>
      <c r="M626" s="7"/>
    </row>
    <row r="627" customFormat="false" ht="35.05" hidden="false" customHeight="false" outlineLevel="0" collapsed="false">
      <c r="A627" s="6" t="s">
        <v>1515</v>
      </c>
      <c r="B627" s="6" t="s">
        <v>77</v>
      </c>
      <c r="C627" s="6" t="s">
        <v>165</v>
      </c>
      <c r="D627" s="6" t="s">
        <v>1330</v>
      </c>
      <c r="E627" s="6"/>
      <c r="F627" s="6" t="s">
        <v>1358</v>
      </c>
      <c r="G627" s="6" t="s">
        <v>4406</v>
      </c>
      <c r="H627" s="6" t="s">
        <v>4432</v>
      </c>
      <c r="I627" s="6" t="n">
        <v>96</v>
      </c>
      <c r="J627" s="6" t="s">
        <v>83</v>
      </c>
      <c r="K627" s="6" t="s">
        <v>4471</v>
      </c>
      <c r="L627" s="7"/>
      <c r="M627" s="7"/>
    </row>
    <row r="628" customFormat="false" ht="35.05" hidden="false" customHeight="false" outlineLevel="0" collapsed="false">
      <c r="A628" s="6" t="s">
        <v>1515</v>
      </c>
      <c r="B628" s="6" t="s">
        <v>77</v>
      </c>
      <c r="C628" s="6" t="s">
        <v>165</v>
      </c>
      <c r="D628" s="6" t="s">
        <v>1330</v>
      </c>
      <c r="E628" s="6"/>
      <c r="F628" s="6" t="s">
        <v>1358</v>
      </c>
      <c r="G628" s="6" t="s">
        <v>4409</v>
      </c>
      <c r="H628" s="6" t="s">
        <v>4433</v>
      </c>
      <c r="I628" s="6" t="n">
        <v>62</v>
      </c>
      <c r="J628" s="6"/>
      <c r="K628" s="6" t="s">
        <v>4411</v>
      </c>
      <c r="L628" s="7"/>
      <c r="M628" s="7"/>
    </row>
    <row r="629" customFormat="false" ht="35.05" hidden="false" customHeight="false" outlineLevel="0" collapsed="false">
      <c r="A629" s="6" t="s">
        <v>1515</v>
      </c>
      <c r="B629" s="6" t="s">
        <v>77</v>
      </c>
      <c r="C629" s="6" t="s">
        <v>165</v>
      </c>
      <c r="D629" s="6" t="s">
        <v>1330</v>
      </c>
      <c r="E629" s="6"/>
      <c r="F629" s="6" t="s">
        <v>1358</v>
      </c>
      <c r="G629" s="6" t="s">
        <v>4412</v>
      </c>
      <c r="H629" s="6" t="s">
        <v>4434</v>
      </c>
      <c r="I629" s="6" t="n">
        <v>28</v>
      </c>
      <c r="J629" s="6"/>
      <c r="K629" s="6" t="s">
        <v>4414</v>
      </c>
      <c r="L629" s="7"/>
      <c r="M629" s="7"/>
    </row>
    <row r="630" customFormat="false" ht="35.05" hidden="false" customHeight="false" outlineLevel="0" collapsed="false">
      <c r="A630" s="6" t="s">
        <v>1515</v>
      </c>
      <c r="B630" s="6" t="s">
        <v>77</v>
      </c>
      <c r="C630" s="6" t="s">
        <v>165</v>
      </c>
      <c r="D630" s="6" t="s">
        <v>1330</v>
      </c>
      <c r="E630" s="6"/>
      <c r="F630" s="6" t="s">
        <v>1358</v>
      </c>
      <c r="G630" s="6" t="s">
        <v>4415</v>
      </c>
      <c r="H630" s="6" t="s">
        <v>4435</v>
      </c>
      <c r="I630" s="6" t="n">
        <v>18</v>
      </c>
      <c r="J630" s="6"/>
      <c r="K630" s="6" t="s">
        <v>4417</v>
      </c>
      <c r="L630" s="7"/>
      <c r="M630" s="7"/>
    </row>
    <row r="631" customFormat="false" ht="35.05" hidden="false" customHeight="false" outlineLevel="0" collapsed="false">
      <c r="A631" s="6" t="s">
        <v>1517</v>
      </c>
      <c r="B631" s="6" t="s">
        <v>77</v>
      </c>
      <c r="C631" s="6" t="s">
        <v>1362</v>
      </c>
      <c r="D631" s="6" t="s">
        <v>1330</v>
      </c>
      <c r="E631" s="6"/>
      <c r="F631" s="6" t="s">
        <v>1364</v>
      </c>
      <c r="G631" s="6" t="s">
        <v>4406</v>
      </c>
      <c r="H631" s="6" t="s">
        <v>4436</v>
      </c>
      <c r="I631" s="6" t="n">
        <v>96</v>
      </c>
      <c r="J631" s="6" t="s">
        <v>83</v>
      </c>
      <c r="K631" s="6" t="s">
        <v>4472</v>
      </c>
      <c r="L631" s="7"/>
      <c r="M631" s="7"/>
    </row>
    <row r="632" customFormat="false" ht="35.05" hidden="false" customHeight="false" outlineLevel="0" collapsed="false">
      <c r="A632" s="6" t="s">
        <v>1517</v>
      </c>
      <c r="B632" s="6" t="s">
        <v>77</v>
      </c>
      <c r="C632" s="6" t="s">
        <v>1362</v>
      </c>
      <c r="D632" s="6" t="s">
        <v>1330</v>
      </c>
      <c r="E632" s="6"/>
      <c r="F632" s="6" t="s">
        <v>1364</v>
      </c>
      <c r="G632" s="6" t="s">
        <v>4409</v>
      </c>
      <c r="H632" s="6" t="s">
        <v>4438</v>
      </c>
      <c r="I632" s="6" t="n">
        <v>62</v>
      </c>
      <c r="J632" s="6"/>
      <c r="K632" s="6" t="s">
        <v>4411</v>
      </c>
      <c r="L632" s="7"/>
      <c r="M632" s="7"/>
    </row>
    <row r="633" customFormat="false" ht="35.05" hidden="false" customHeight="false" outlineLevel="0" collapsed="false">
      <c r="A633" s="6" t="s">
        <v>1517</v>
      </c>
      <c r="B633" s="6" t="s">
        <v>77</v>
      </c>
      <c r="C633" s="6" t="s">
        <v>1362</v>
      </c>
      <c r="D633" s="6" t="s">
        <v>1330</v>
      </c>
      <c r="E633" s="6"/>
      <c r="F633" s="6" t="s">
        <v>1364</v>
      </c>
      <c r="G633" s="6" t="s">
        <v>4412</v>
      </c>
      <c r="H633" s="6" t="s">
        <v>4439</v>
      </c>
      <c r="I633" s="6" t="n">
        <v>28</v>
      </c>
      <c r="J633" s="6"/>
      <c r="K633" s="6" t="s">
        <v>4414</v>
      </c>
      <c r="L633" s="7"/>
      <c r="M633" s="7"/>
    </row>
    <row r="634" customFormat="false" ht="35.05" hidden="false" customHeight="false" outlineLevel="0" collapsed="false">
      <c r="A634" s="6" t="s">
        <v>1517</v>
      </c>
      <c r="B634" s="6" t="s">
        <v>77</v>
      </c>
      <c r="C634" s="6" t="s">
        <v>1362</v>
      </c>
      <c r="D634" s="6" t="s">
        <v>1330</v>
      </c>
      <c r="E634" s="6"/>
      <c r="F634" s="6" t="s">
        <v>1364</v>
      </c>
      <c r="G634" s="6" t="s">
        <v>4415</v>
      </c>
      <c r="H634" s="6" t="s">
        <v>4440</v>
      </c>
      <c r="I634" s="6" t="n">
        <v>18</v>
      </c>
      <c r="J634" s="6"/>
      <c r="K634" s="6" t="s">
        <v>4417</v>
      </c>
      <c r="L634" s="7"/>
      <c r="M634" s="7"/>
    </row>
    <row r="635" customFormat="false" ht="35.05" hidden="false" customHeight="false" outlineLevel="0" collapsed="false">
      <c r="A635" s="6" t="s">
        <v>1520</v>
      </c>
      <c r="B635" s="6" t="s">
        <v>77</v>
      </c>
      <c r="C635" s="6" t="s">
        <v>1362</v>
      </c>
      <c r="D635" s="6" t="s">
        <v>1330</v>
      </c>
      <c r="E635" s="6"/>
      <c r="F635" s="6" t="s">
        <v>1370</v>
      </c>
      <c r="G635" s="6" t="s">
        <v>4406</v>
      </c>
      <c r="H635" s="6" t="s">
        <v>4441</v>
      </c>
      <c r="I635" s="6" t="n">
        <v>96</v>
      </c>
      <c r="J635" s="6" t="s">
        <v>83</v>
      </c>
      <c r="K635" s="6" t="s">
        <v>4472</v>
      </c>
      <c r="L635" s="7"/>
      <c r="M635" s="7"/>
    </row>
    <row r="636" customFormat="false" ht="35.05" hidden="false" customHeight="false" outlineLevel="0" collapsed="false">
      <c r="A636" s="6" t="s">
        <v>1520</v>
      </c>
      <c r="B636" s="6" t="s">
        <v>77</v>
      </c>
      <c r="C636" s="6" t="s">
        <v>1362</v>
      </c>
      <c r="D636" s="6" t="s">
        <v>1330</v>
      </c>
      <c r="E636" s="6"/>
      <c r="F636" s="6" t="s">
        <v>1370</v>
      </c>
      <c r="G636" s="6" t="s">
        <v>4409</v>
      </c>
      <c r="H636" s="6" t="s">
        <v>4442</v>
      </c>
      <c r="I636" s="6" t="n">
        <v>62</v>
      </c>
      <c r="J636" s="6"/>
      <c r="K636" s="6" t="s">
        <v>4411</v>
      </c>
      <c r="L636" s="7"/>
      <c r="M636" s="7"/>
    </row>
    <row r="637" customFormat="false" ht="35.05" hidden="false" customHeight="false" outlineLevel="0" collapsed="false">
      <c r="A637" s="6" t="s">
        <v>1520</v>
      </c>
      <c r="B637" s="6" t="s">
        <v>77</v>
      </c>
      <c r="C637" s="6" t="s">
        <v>1362</v>
      </c>
      <c r="D637" s="6" t="s">
        <v>1330</v>
      </c>
      <c r="E637" s="6"/>
      <c r="F637" s="6" t="s">
        <v>1370</v>
      </c>
      <c r="G637" s="6" t="s">
        <v>4412</v>
      </c>
      <c r="H637" s="6" t="s">
        <v>4443</v>
      </c>
      <c r="I637" s="6" t="n">
        <v>28</v>
      </c>
      <c r="J637" s="6"/>
      <c r="K637" s="6" t="s">
        <v>4414</v>
      </c>
      <c r="L637" s="7"/>
      <c r="M637" s="7"/>
    </row>
    <row r="638" customFormat="false" ht="35.05" hidden="false" customHeight="false" outlineLevel="0" collapsed="false">
      <c r="A638" s="6" t="s">
        <v>1520</v>
      </c>
      <c r="B638" s="6" t="s">
        <v>77</v>
      </c>
      <c r="C638" s="6" t="s">
        <v>1362</v>
      </c>
      <c r="D638" s="6" t="s">
        <v>1330</v>
      </c>
      <c r="E638" s="6"/>
      <c r="F638" s="6" t="s">
        <v>1370</v>
      </c>
      <c r="G638" s="6" t="s">
        <v>4415</v>
      </c>
      <c r="H638" s="6" t="s">
        <v>4444</v>
      </c>
      <c r="I638" s="6" t="n">
        <v>18</v>
      </c>
      <c r="J638" s="6"/>
      <c r="K638" s="6" t="s">
        <v>4417</v>
      </c>
      <c r="L638" s="7"/>
      <c r="M638" s="7"/>
    </row>
    <row r="639" customFormat="false" ht="35.05" hidden="false" customHeight="false" outlineLevel="0" collapsed="false">
      <c r="A639" s="6" t="s">
        <v>1522</v>
      </c>
      <c r="B639" s="6" t="s">
        <v>96</v>
      </c>
      <c r="C639" s="6" t="s">
        <v>79</v>
      </c>
      <c r="D639" s="6" t="s">
        <v>1330</v>
      </c>
      <c r="E639" s="6"/>
      <c r="F639" s="6" t="s">
        <v>1335</v>
      </c>
      <c r="G639" s="6" t="s">
        <v>4406</v>
      </c>
      <c r="H639" s="6" t="s">
        <v>4407</v>
      </c>
      <c r="I639" s="6" t="n">
        <v>96</v>
      </c>
      <c r="J639" s="6" t="s">
        <v>83</v>
      </c>
      <c r="K639" s="6" t="s">
        <v>4473</v>
      </c>
      <c r="L639" s="7"/>
      <c r="M639" s="7"/>
    </row>
    <row r="640" customFormat="false" ht="35.05" hidden="false" customHeight="false" outlineLevel="0" collapsed="false">
      <c r="A640" s="6" t="s">
        <v>1522</v>
      </c>
      <c r="B640" s="6" t="s">
        <v>96</v>
      </c>
      <c r="C640" s="6" t="s">
        <v>79</v>
      </c>
      <c r="D640" s="6" t="s">
        <v>1330</v>
      </c>
      <c r="E640" s="6"/>
      <c r="F640" s="6" t="s">
        <v>1335</v>
      </c>
      <c r="G640" s="6" t="s">
        <v>4409</v>
      </c>
      <c r="H640" s="6" t="s">
        <v>4410</v>
      </c>
      <c r="I640" s="6" t="n">
        <v>60</v>
      </c>
      <c r="J640" s="6"/>
      <c r="K640" s="6" t="s">
        <v>4411</v>
      </c>
      <c r="L640" s="7"/>
      <c r="M640" s="7"/>
    </row>
    <row r="641" customFormat="false" ht="35.05" hidden="false" customHeight="false" outlineLevel="0" collapsed="false">
      <c r="A641" s="6" t="s">
        <v>1522</v>
      </c>
      <c r="B641" s="6" t="s">
        <v>96</v>
      </c>
      <c r="C641" s="6" t="s">
        <v>79</v>
      </c>
      <c r="D641" s="6" t="s">
        <v>1330</v>
      </c>
      <c r="E641" s="6"/>
      <c r="F641" s="6" t="s">
        <v>1335</v>
      </c>
      <c r="G641" s="6" t="s">
        <v>4412</v>
      </c>
      <c r="H641" s="6" t="s">
        <v>4413</v>
      </c>
      <c r="I641" s="6" t="n">
        <v>28</v>
      </c>
      <c r="J641" s="6"/>
      <c r="K641" s="6" t="s">
        <v>4414</v>
      </c>
      <c r="L641" s="7"/>
      <c r="M641" s="7"/>
    </row>
    <row r="642" customFormat="false" ht="35.05" hidden="false" customHeight="false" outlineLevel="0" collapsed="false">
      <c r="A642" s="6" t="s">
        <v>1522</v>
      </c>
      <c r="B642" s="6" t="s">
        <v>96</v>
      </c>
      <c r="C642" s="6" t="s">
        <v>79</v>
      </c>
      <c r="D642" s="6" t="s">
        <v>1330</v>
      </c>
      <c r="E642" s="6"/>
      <c r="F642" s="6" t="s">
        <v>1335</v>
      </c>
      <c r="G642" s="6" t="s">
        <v>4415</v>
      </c>
      <c r="H642" s="6" t="s">
        <v>4416</v>
      </c>
      <c r="I642" s="6" t="n">
        <v>18</v>
      </c>
      <c r="J642" s="6"/>
      <c r="K642" s="6" t="s">
        <v>4417</v>
      </c>
      <c r="L642" s="7"/>
      <c r="M642" s="7"/>
    </row>
    <row r="643" customFormat="false" ht="35.05" hidden="false" customHeight="false" outlineLevel="0" collapsed="false">
      <c r="A643" s="6" t="s">
        <v>1528</v>
      </c>
      <c r="B643" s="6" t="s">
        <v>96</v>
      </c>
      <c r="C643" s="6" t="s">
        <v>98</v>
      </c>
      <c r="D643" s="6" t="s">
        <v>1330</v>
      </c>
      <c r="E643" s="6"/>
      <c r="F643" s="6" t="s">
        <v>1341</v>
      </c>
      <c r="G643" s="6" t="s">
        <v>4406</v>
      </c>
      <c r="H643" s="6" t="s">
        <v>4418</v>
      </c>
      <c r="I643" s="6" t="n">
        <v>96</v>
      </c>
      <c r="J643" s="6" t="s">
        <v>83</v>
      </c>
      <c r="K643" s="6" t="s">
        <v>4474</v>
      </c>
      <c r="L643" s="7"/>
      <c r="M643" s="7"/>
    </row>
    <row r="644" customFormat="false" ht="35.05" hidden="false" customHeight="false" outlineLevel="0" collapsed="false">
      <c r="A644" s="6" t="s">
        <v>1528</v>
      </c>
      <c r="B644" s="6" t="s">
        <v>96</v>
      </c>
      <c r="C644" s="6" t="s">
        <v>98</v>
      </c>
      <c r="D644" s="6" t="s">
        <v>1330</v>
      </c>
      <c r="E644" s="6"/>
      <c r="F644" s="6" t="s">
        <v>1341</v>
      </c>
      <c r="G644" s="6" t="s">
        <v>4409</v>
      </c>
      <c r="H644" s="6" t="s">
        <v>4420</v>
      </c>
      <c r="I644" s="6" t="n">
        <v>58</v>
      </c>
      <c r="J644" s="6"/>
      <c r="K644" s="6" t="s">
        <v>4411</v>
      </c>
      <c r="L644" s="7"/>
      <c r="M644" s="7"/>
    </row>
    <row r="645" customFormat="false" ht="35.05" hidden="false" customHeight="false" outlineLevel="0" collapsed="false">
      <c r="A645" s="6" t="s">
        <v>1528</v>
      </c>
      <c r="B645" s="6" t="s">
        <v>96</v>
      </c>
      <c r="C645" s="6" t="s">
        <v>98</v>
      </c>
      <c r="D645" s="6" t="s">
        <v>1330</v>
      </c>
      <c r="E645" s="6"/>
      <c r="F645" s="6" t="s">
        <v>1341</v>
      </c>
      <c r="G645" s="6" t="s">
        <v>4412</v>
      </c>
      <c r="H645" s="6" t="s">
        <v>4421</v>
      </c>
      <c r="I645" s="6" t="n">
        <v>28</v>
      </c>
      <c r="J645" s="6"/>
      <c r="K645" s="6" t="s">
        <v>4414</v>
      </c>
      <c r="L645" s="7"/>
      <c r="M645" s="7"/>
    </row>
    <row r="646" customFormat="false" ht="35.05" hidden="false" customHeight="false" outlineLevel="0" collapsed="false">
      <c r="A646" s="6" t="s">
        <v>1528</v>
      </c>
      <c r="B646" s="6" t="s">
        <v>96</v>
      </c>
      <c r="C646" s="6" t="s">
        <v>98</v>
      </c>
      <c r="D646" s="6" t="s">
        <v>1330</v>
      </c>
      <c r="E646" s="6"/>
      <c r="F646" s="6" t="s">
        <v>1341</v>
      </c>
      <c r="G646" s="6" t="s">
        <v>4415</v>
      </c>
      <c r="H646" s="6" t="s">
        <v>4422</v>
      </c>
      <c r="I646" s="6" t="n">
        <v>18</v>
      </c>
      <c r="J646" s="6"/>
      <c r="K646" s="6" t="s">
        <v>4417</v>
      </c>
      <c r="L646" s="7"/>
      <c r="M646" s="7"/>
    </row>
    <row r="647" customFormat="false" ht="35.05" hidden="false" customHeight="false" outlineLevel="0" collapsed="false">
      <c r="A647" s="6" t="s">
        <v>1531</v>
      </c>
      <c r="B647" s="6" t="s">
        <v>96</v>
      </c>
      <c r="C647" s="6" t="s">
        <v>98</v>
      </c>
      <c r="D647" s="6" t="s">
        <v>1330</v>
      </c>
      <c r="E647" s="6"/>
      <c r="F647" s="6" t="s">
        <v>1347</v>
      </c>
      <c r="G647" s="6" t="s">
        <v>4406</v>
      </c>
      <c r="H647" s="6" t="s">
        <v>4423</v>
      </c>
      <c r="I647" s="6" t="n">
        <v>96</v>
      </c>
      <c r="J647" s="6" t="s">
        <v>83</v>
      </c>
      <c r="K647" s="6" t="s">
        <v>4474</v>
      </c>
      <c r="L647" s="7"/>
      <c r="M647" s="7"/>
    </row>
    <row r="648" customFormat="false" ht="35.05" hidden="false" customHeight="false" outlineLevel="0" collapsed="false">
      <c r="A648" s="6" t="s">
        <v>1531</v>
      </c>
      <c r="B648" s="6" t="s">
        <v>96</v>
      </c>
      <c r="C648" s="6" t="s">
        <v>98</v>
      </c>
      <c r="D648" s="6" t="s">
        <v>1330</v>
      </c>
      <c r="E648" s="6"/>
      <c r="F648" s="6" t="s">
        <v>1347</v>
      </c>
      <c r="G648" s="6" t="s">
        <v>4409</v>
      </c>
      <c r="H648" s="6" t="s">
        <v>4424</v>
      </c>
      <c r="I648" s="6" t="n">
        <v>58</v>
      </c>
      <c r="J648" s="6"/>
      <c r="K648" s="6" t="s">
        <v>4411</v>
      </c>
      <c r="L648" s="7"/>
      <c r="M648" s="7"/>
    </row>
    <row r="649" customFormat="false" ht="35.05" hidden="false" customHeight="false" outlineLevel="0" collapsed="false">
      <c r="A649" s="6" t="s">
        <v>1531</v>
      </c>
      <c r="B649" s="6" t="s">
        <v>96</v>
      </c>
      <c r="C649" s="6" t="s">
        <v>98</v>
      </c>
      <c r="D649" s="6" t="s">
        <v>1330</v>
      </c>
      <c r="E649" s="6"/>
      <c r="F649" s="6" t="s">
        <v>1347</v>
      </c>
      <c r="G649" s="6" t="s">
        <v>4412</v>
      </c>
      <c r="H649" s="6" t="s">
        <v>4425</v>
      </c>
      <c r="I649" s="6" t="n">
        <v>28</v>
      </c>
      <c r="J649" s="6"/>
      <c r="K649" s="6" t="s">
        <v>4414</v>
      </c>
      <c r="L649" s="7"/>
      <c r="M649" s="7"/>
    </row>
    <row r="650" customFormat="false" ht="35.05" hidden="false" customHeight="false" outlineLevel="0" collapsed="false">
      <c r="A650" s="6" t="s">
        <v>1531</v>
      </c>
      <c r="B650" s="6" t="s">
        <v>96</v>
      </c>
      <c r="C650" s="6" t="s">
        <v>98</v>
      </c>
      <c r="D650" s="6" t="s">
        <v>1330</v>
      </c>
      <c r="E650" s="6"/>
      <c r="F650" s="6" t="s">
        <v>1347</v>
      </c>
      <c r="G650" s="6" t="s">
        <v>4415</v>
      </c>
      <c r="H650" s="6" t="s">
        <v>4426</v>
      </c>
      <c r="I650" s="6" t="n">
        <v>18</v>
      </c>
      <c r="J650" s="6"/>
      <c r="K650" s="6" t="s">
        <v>4417</v>
      </c>
      <c r="L650" s="7"/>
      <c r="M650" s="7"/>
    </row>
    <row r="651" customFormat="false" ht="35.05" hidden="false" customHeight="false" outlineLevel="0" collapsed="false">
      <c r="A651" s="6" t="s">
        <v>1533</v>
      </c>
      <c r="B651" s="6" t="s">
        <v>96</v>
      </c>
      <c r="C651" s="6" t="s">
        <v>165</v>
      </c>
      <c r="D651" s="6" t="s">
        <v>1330</v>
      </c>
      <c r="E651" s="6"/>
      <c r="F651" s="6" t="s">
        <v>1352</v>
      </c>
      <c r="G651" s="6" t="s">
        <v>4406</v>
      </c>
      <c r="H651" s="6" t="s">
        <v>4427</v>
      </c>
      <c r="I651" s="6" t="n">
        <v>96</v>
      </c>
      <c r="J651" s="6" t="s">
        <v>83</v>
      </c>
      <c r="K651" s="6" t="s">
        <v>4475</v>
      </c>
      <c r="L651" s="7"/>
      <c r="M651" s="7"/>
    </row>
    <row r="652" customFormat="false" ht="35.05" hidden="false" customHeight="false" outlineLevel="0" collapsed="false">
      <c r="A652" s="6" t="s">
        <v>1533</v>
      </c>
      <c r="B652" s="6" t="s">
        <v>96</v>
      </c>
      <c r="C652" s="6" t="s">
        <v>165</v>
      </c>
      <c r="D652" s="6" t="s">
        <v>1330</v>
      </c>
      <c r="E652" s="6"/>
      <c r="F652" s="6" t="s">
        <v>1352</v>
      </c>
      <c r="G652" s="6" t="s">
        <v>4409</v>
      </c>
      <c r="H652" s="6" t="s">
        <v>4429</v>
      </c>
      <c r="I652" s="6" t="n">
        <v>62</v>
      </c>
      <c r="J652" s="6"/>
      <c r="K652" s="6" t="s">
        <v>4411</v>
      </c>
      <c r="L652" s="7"/>
      <c r="M652" s="7"/>
    </row>
    <row r="653" customFormat="false" ht="35.05" hidden="false" customHeight="false" outlineLevel="0" collapsed="false">
      <c r="A653" s="6" t="s">
        <v>1533</v>
      </c>
      <c r="B653" s="6" t="s">
        <v>96</v>
      </c>
      <c r="C653" s="6" t="s">
        <v>165</v>
      </c>
      <c r="D653" s="6" t="s">
        <v>1330</v>
      </c>
      <c r="E653" s="6"/>
      <c r="F653" s="6" t="s">
        <v>1352</v>
      </c>
      <c r="G653" s="6" t="s">
        <v>4412</v>
      </c>
      <c r="H653" s="6" t="s">
        <v>4430</v>
      </c>
      <c r="I653" s="6" t="n">
        <v>28</v>
      </c>
      <c r="J653" s="6"/>
      <c r="K653" s="6" t="s">
        <v>4414</v>
      </c>
      <c r="L653" s="7"/>
      <c r="M653" s="7"/>
    </row>
    <row r="654" customFormat="false" ht="35.05" hidden="false" customHeight="false" outlineLevel="0" collapsed="false">
      <c r="A654" s="6" t="s">
        <v>1533</v>
      </c>
      <c r="B654" s="6" t="s">
        <v>96</v>
      </c>
      <c r="C654" s="6" t="s">
        <v>165</v>
      </c>
      <c r="D654" s="6" t="s">
        <v>1330</v>
      </c>
      <c r="E654" s="6"/>
      <c r="F654" s="6" t="s">
        <v>1352</v>
      </c>
      <c r="G654" s="6" t="s">
        <v>4415</v>
      </c>
      <c r="H654" s="6" t="s">
        <v>4431</v>
      </c>
      <c r="I654" s="6" t="n">
        <v>18</v>
      </c>
      <c r="J654" s="6"/>
      <c r="K654" s="6" t="s">
        <v>4417</v>
      </c>
      <c r="L654" s="7"/>
      <c r="M654" s="7"/>
    </row>
    <row r="655" customFormat="false" ht="35.05" hidden="false" customHeight="false" outlineLevel="0" collapsed="false">
      <c r="A655" s="6" t="s">
        <v>1536</v>
      </c>
      <c r="B655" s="6" t="s">
        <v>96</v>
      </c>
      <c r="C655" s="6" t="s">
        <v>165</v>
      </c>
      <c r="D655" s="6" t="s">
        <v>1330</v>
      </c>
      <c r="E655" s="6"/>
      <c r="F655" s="6" t="s">
        <v>1358</v>
      </c>
      <c r="G655" s="6" t="s">
        <v>4406</v>
      </c>
      <c r="H655" s="6" t="s">
        <v>4432</v>
      </c>
      <c r="I655" s="6" t="n">
        <v>96</v>
      </c>
      <c r="J655" s="6" t="s">
        <v>83</v>
      </c>
      <c r="K655" s="6" t="s">
        <v>4475</v>
      </c>
      <c r="L655" s="7"/>
      <c r="M655" s="7"/>
    </row>
    <row r="656" customFormat="false" ht="35.05" hidden="false" customHeight="false" outlineLevel="0" collapsed="false">
      <c r="A656" s="6" t="s">
        <v>1536</v>
      </c>
      <c r="B656" s="6" t="s">
        <v>96</v>
      </c>
      <c r="C656" s="6" t="s">
        <v>165</v>
      </c>
      <c r="D656" s="6" t="s">
        <v>1330</v>
      </c>
      <c r="E656" s="6"/>
      <c r="F656" s="6" t="s">
        <v>1358</v>
      </c>
      <c r="G656" s="6" t="s">
        <v>4409</v>
      </c>
      <c r="H656" s="6" t="s">
        <v>4433</v>
      </c>
      <c r="I656" s="6" t="n">
        <v>62</v>
      </c>
      <c r="J656" s="6"/>
      <c r="K656" s="6" t="s">
        <v>4411</v>
      </c>
      <c r="L656" s="7"/>
      <c r="M656" s="7"/>
    </row>
    <row r="657" customFormat="false" ht="35.05" hidden="false" customHeight="false" outlineLevel="0" collapsed="false">
      <c r="A657" s="6" t="s">
        <v>1536</v>
      </c>
      <c r="B657" s="6" t="s">
        <v>96</v>
      </c>
      <c r="C657" s="6" t="s">
        <v>165</v>
      </c>
      <c r="D657" s="6" t="s">
        <v>1330</v>
      </c>
      <c r="E657" s="6"/>
      <c r="F657" s="6" t="s">
        <v>1358</v>
      </c>
      <c r="G657" s="6" t="s">
        <v>4412</v>
      </c>
      <c r="H657" s="6" t="s">
        <v>4434</v>
      </c>
      <c r="I657" s="6" t="n">
        <v>28</v>
      </c>
      <c r="J657" s="6"/>
      <c r="K657" s="6" t="s">
        <v>4414</v>
      </c>
      <c r="L657" s="7"/>
      <c r="M657" s="7"/>
    </row>
    <row r="658" customFormat="false" ht="35.05" hidden="false" customHeight="false" outlineLevel="0" collapsed="false">
      <c r="A658" s="6" t="s">
        <v>1536</v>
      </c>
      <c r="B658" s="6" t="s">
        <v>96</v>
      </c>
      <c r="C658" s="6" t="s">
        <v>165</v>
      </c>
      <c r="D658" s="6" t="s">
        <v>1330</v>
      </c>
      <c r="E658" s="6"/>
      <c r="F658" s="6" t="s">
        <v>1358</v>
      </c>
      <c r="G658" s="6" t="s">
        <v>4415</v>
      </c>
      <c r="H658" s="6" t="s">
        <v>4435</v>
      </c>
      <c r="I658" s="6" t="n">
        <v>18</v>
      </c>
      <c r="J658" s="6"/>
      <c r="K658" s="6" t="s">
        <v>4417</v>
      </c>
      <c r="L658" s="7"/>
      <c r="M658" s="7"/>
    </row>
    <row r="659" customFormat="false" ht="35.05" hidden="false" customHeight="false" outlineLevel="0" collapsed="false">
      <c r="A659" s="6" t="s">
        <v>1538</v>
      </c>
      <c r="B659" s="6" t="s">
        <v>96</v>
      </c>
      <c r="C659" s="6" t="s">
        <v>1362</v>
      </c>
      <c r="D659" s="6" t="s">
        <v>1330</v>
      </c>
      <c r="E659" s="6"/>
      <c r="F659" s="6" t="s">
        <v>1364</v>
      </c>
      <c r="G659" s="6" t="s">
        <v>4406</v>
      </c>
      <c r="H659" s="6" t="s">
        <v>4436</v>
      </c>
      <c r="I659" s="6" t="n">
        <v>96</v>
      </c>
      <c r="J659" s="6" t="s">
        <v>83</v>
      </c>
      <c r="K659" s="6" t="s">
        <v>4476</v>
      </c>
      <c r="L659" s="7"/>
      <c r="M659" s="7"/>
    </row>
    <row r="660" customFormat="false" ht="35.05" hidden="false" customHeight="false" outlineLevel="0" collapsed="false">
      <c r="A660" s="6" t="s">
        <v>1538</v>
      </c>
      <c r="B660" s="6" t="s">
        <v>96</v>
      </c>
      <c r="C660" s="6" t="s">
        <v>1362</v>
      </c>
      <c r="D660" s="6" t="s">
        <v>1330</v>
      </c>
      <c r="E660" s="6"/>
      <c r="F660" s="6" t="s">
        <v>1364</v>
      </c>
      <c r="G660" s="6" t="s">
        <v>4409</v>
      </c>
      <c r="H660" s="6" t="s">
        <v>4438</v>
      </c>
      <c r="I660" s="6" t="n">
        <v>62</v>
      </c>
      <c r="J660" s="6"/>
      <c r="K660" s="6" t="s">
        <v>4411</v>
      </c>
      <c r="L660" s="7"/>
      <c r="M660" s="7"/>
    </row>
    <row r="661" customFormat="false" ht="35.05" hidden="false" customHeight="false" outlineLevel="0" collapsed="false">
      <c r="A661" s="6" t="s">
        <v>1538</v>
      </c>
      <c r="B661" s="6" t="s">
        <v>96</v>
      </c>
      <c r="C661" s="6" t="s">
        <v>1362</v>
      </c>
      <c r="D661" s="6" t="s">
        <v>1330</v>
      </c>
      <c r="E661" s="6"/>
      <c r="F661" s="6" t="s">
        <v>1364</v>
      </c>
      <c r="G661" s="6" t="s">
        <v>4412</v>
      </c>
      <c r="H661" s="6" t="s">
        <v>4439</v>
      </c>
      <c r="I661" s="6" t="n">
        <v>28</v>
      </c>
      <c r="J661" s="6"/>
      <c r="K661" s="6" t="s">
        <v>4414</v>
      </c>
      <c r="L661" s="7"/>
      <c r="M661" s="7"/>
    </row>
    <row r="662" customFormat="false" ht="35.05" hidden="false" customHeight="false" outlineLevel="0" collapsed="false">
      <c r="A662" s="6" t="s">
        <v>1538</v>
      </c>
      <c r="B662" s="6" t="s">
        <v>96</v>
      </c>
      <c r="C662" s="6" t="s">
        <v>1362</v>
      </c>
      <c r="D662" s="6" t="s">
        <v>1330</v>
      </c>
      <c r="E662" s="6"/>
      <c r="F662" s="6" t="s">
        <v>1364</v>
      </c>
      <c r="G662" s="6" t="s">
        <v>4415</v>
      </c>
      <c r="H662" s="6" t="s">
        <v>4440</v>
      </c>
      <c r="I662" s="6" t="n">
        <v>18</v>
      </c>
      <c r="J662" s="6"/>
      <c r="K662" s="6" t="s">
        <v>4417</v>
      </c>
      <c r="L662" s="7"/>
      <c r="M662" s="7"/>
    </row>
    <row r="663" customFormat="false" ht="35.05" hidden="false" customHeight="false" outlineLevel="0" collapsed="false">
      <c r="A663" s="6" t="s">
        <v>1541</v>
      </c>
      <c r="B663" s="6" t="s">
        <v>96</v>
      </c>
      <c r="C663" s="6" t="s">
        <v>1362</v>
      </c>
      <c r="D663" s="6" t="s">
        <v>1330</v>
      </c>
      <c r="E663" s="6"/>
      <c r="F663" s="6" t="s">
        <v>1370</v>
      </c>
      <c r="G663" s="6" t="s">
        <v>4406</v>
      </c>
      <c r="H663" s="6" t="s">
        <v>4441</v>
      </c>
      <c r="I663" s="6" t="n">
        <v>96</v>
      </c>
      <c r="J663" s="6" t="s">
        <v>83</v>
      </c>
      <c r="K663" s="6" t="s">
        <v>4476</v>
      </c>
      <c r="L663" s="7"/>
      <c r="M663" s="7"/>
    </row>
    <row r="664" customFormat="false" ht="35.05" hidden="false" customHeight="false" outlineLevel="0" collapsed="false">
      <c r="A664" s="6" t="s">
        <v>1541</v>
      </c>
      <c r="B664" s="6" t="s">
        <v>96</v>
      </c>
      <c r="C664" s="6" t="s">
        <v>1362</v>
      </c>
      <c r="D664" s="6" t="s">
        <v>1330</v>
      </c>
      <c r="E664" s="6"/>
      <c r="F664" s="6" t="s">
        <v>1370</v>
      </c>
      <c r="G664" s="6" t="s">
        <v>4409</v>
      </c>
      <c r="H664" s="6" t="s">
        <v>4442</v>
      </c>
      <c r="I664" s="6" t="n">
        <v>62</v>
      </c>
      <c r="J664" s="6"/>
      <c r="K664" s="6" t="s">
        <v>4411</v>
      </c>
      <c r="L664" s="7"/>
      <c r="M664" s="7"/>
    </row>
    <row r="665" customFormat="false" ht="35.05" hidden="false" customHeight="false" outlineLevel="0" collapsed="false">
      <c r="A665" s="6" t="s">
        <v>1541</v>
      </c>
      <c r="B665" s="6" t="s">
        <v>96</v>
      </c>
      <c r="C665" s="6" t="s">
        <v>1362</v>
      </c>
      <c r="D665" s="6" t="s">
        <v>1330</v>
      </c>
      <c r="E665" s="6"/>
      <c r="F665" s="6" t="s">
        <v>1370</v>
      </c>
      <c r="G665" s="6" t="s">
        <v>4412</v>
      </c>
      <c r="H665" s="6" t="s">
        <v>4443</v>
      </c>
      <c r="I665" s="6" t="n">
        <v>28</v>
      </c>
      <c r="J665" s="6"/>
      <c r="K665" s="6" t="s">
        <v>4414</v>
      </c>
      <c r="L665" s="7"/>
      <c r="M665" s="7"/>
    </row>
    <row r="666" customFormat="false" ht="35.05" hidden="false" customHeight="false" outlineLevel="0" collapsed="false">
      <c r="A666" s="6" t="s">
        <v>1541</v>
      </c>
      <c r="B666" s="6" t="s">
        <v>96</v>
      </c>
      <c r="C666" s="6" t="s">
        <v>1362</v>
      </c>
      <c r="D666" s="6" t="s">
        <v>1330</v>
      </c>
      <c r="E666" s="6"/>
      <c r="F666" s="6" t="s">
        <v>1370</v>
      </c>
      <c r="G666" s="6" t="s">
        <v>4415</v>
      </c>
      <c r="H666" s="6" t="s">
        <v>4444</v>
      </c>
      <c r="I666" s="6" t="n">
        <v>18</v>
      </c>
      <c r="J666" s="6"/>
      <c r="K666" s="6" t="s">
        <v>4417</v>
      </c>
      <c r="L666" s="7"/>
      <c r="M666" s="7"/>
    </row>
    <row r="667" customFormat="false" ht="35.05" hidden="false" customHeight="false" outlineLevel="0" collapsed="false">
      <c r="A667" s="6" t="s">
        <v>1543</v>
      </c>
      <c r="B667" s="6" t="s">
        <v>96</v>
      </c>
      <c r="C667" s="6" t="s">
        <v>79</v>
      </c>
      <c r="D667" s="6" t="s">
        <v>1330</v>
      </c>
      <c r="E667" s="6"/>
      <c r="F667" s="6" t="s">
        <v>1335</v>
      </c>
      <c r="G667" s="6" t="s">
        <v>4406</v>
      </c>
      <c r="H667" s="6" t="s">
        <v>4407</v>
      </c>
      <c r="I667" s="6" t="n">
        <v>96</v>
      </c>
      <c r="J667" s="6" t="s">
        <v>83</v>
      </c>
      <c r="K667" s="6" t="s">
        <v>4477</v>
      </c>
      <c r="L667" s="7"/>
      <c r="M667" s="7"/>
    </row>
    <row r="668" customFormat="false" ht="35.05" hidden="false" customHeight="false" outlineLevel="0" collapsed="false">
      <c r="A668" s="6" t="s">
        <v>1543</v>
      </c>
      <c r="B668" s="6" t="s">
        <v>96</v>
      </c>
      <c r="C668" s="6" t="s">
        <v>79</v>
      </c>
      <c r="D668" s="6" t="s">
        <v>1330</v>
      </c>
      <c r="E668" s="6"/>
      <c r="F668" s="6" t="s">
        <v>1335</v>
      </c>
      <c r="G668" s="6" t="s">
        <v>4409</v>
      </c>
      <c r="H668" s="6" t="s">
        <v>4410</v>
      </c>
      <c r="I668" s="6" t="n">
        <v>60</v>
      </c>
      <c r="J668" s="6"/>
      <c r="K668" s="6" t="s">
        <v>4411</v>
      </c>
      <c r="L668" s="7"/>
      <c r="M668" s="7"/>
    </row>
    <row r="669" customFormat="false" ht="35.05" hidden="false" customHeight="false" outlineLevel="0" collapsed="false">
      <c r="A669" s="6" t="s">
        <v>1543</v>
      </c>
      <c r="B669" s="6" t="s">
        <v>96</v>
      </c>
      <c r="C669" s="6" t="s">
        <v>79</v>
      </c>
      <c r="D669" s="6" t="s">
        <v>1330</v>
      </c>
      <c r="E669" s="6"/>
      <c r="F669" s="6" t="s">
        <v>1335</v>
      </c>
      <c r="G669" s="6" t="s">
        <v>4412</v>
      </c>
      <c r="H669" s="6" t="s">
        <v>4413</v>
      </c>
      <c r="I669" s="6" t="n">
        <v>28</v>
      </c>
      <c r="J669" s="6"/>
      <c r="K669" s="6" t="s">
        <v>4414</v>
      </c>
      <c r="L669" s="7"/>
      <c r="M669" s="7"/>
    </row>
    <row r="670" customFormat="false" ht="35.05" hidden="false" customHeight="false" outlineLevel="0" collapsed="false">
      <c r="A670" s="6" t="s">
        <v>1543</v>
      </c>
      <c r="B670" s="6" t="s">
        <v>96</v>
      </c>
      <c r="C670" s="6" t="s">
        <v>79</v>
      </c>
      <c r="D670" s="6" t="s">
        <v>1330</v>
      </c>
      <c r="E670" s="6"/>
      <c r="F670" s="6" t="s">
        <v>1335</v>
      </c>
      <c r="G670" s="6" t="s">
        <v>4415</v>
      </c>
      <c r="H670" s="6" t="s">
        <v>4416</v>
      </c>
      <c r="I670" s="6" t="n">
        <v>18</v>
      </c>
      <c r="J670" s="6"/>
      <c r="K670" s="6" t="s">
        <v>4417</v>
      </c>
      <c r="L670" s="7"/>
      <c r="M670" s="7"/>
    </row>
    <row r="671" customFormat="false" ht="35.05" hidden="false" customHeight="false" outlineLevel="0" collapsed="false">
      <c r="A671" s="6" t="s">
        <v>1550</v>
      </c>
      <c r="B671" s="6" t="s">
        <v>96</v>
      </c>
      <c r="C671" s="6" t="s">
        <v>98</v>
      </c>
      <c r="D671" s="6" t="s">
        <v>1330</v>
      </c>
      <c r="E671" s="6"/>
      <c r="F671" s="6" t="s">
        <v>1341</v>
      </c>
      <c r="G671" s="6" t="s">
        <v>4406</v>
      </c>
      <c r="H671" s="6" t="s">
        <v>4418</v>
      </c>
      <c r="I671" s="6" t="n">
        <v>96</v>
      </c>
      <c r="J671" s="6" t="s">
        <v>83</v>
      </c>
      <c r="K671" s="6" t="s">
        <v>4478</v>
      </c>
      <c r="L671" s="7"/>
      <c r="M671" s="7"/>
    </row>
    <row r="672" customFormat="false" ht="35.05" hidden="false" customHeight="false" outlineLevel="0" collapsed="false">
      <c r="A672" s="6" t="s">
        <v>1550</v>
      </c>
      <c r="B672" s="6" t="s">
        <v>96</v>
      </c>
      <c r="C672" s="6" t="s">
        <v>98</v>
      </c>
      <c r="D672" s="6" t="s">
        <v>1330</v>
      </c>
      <c r="E672" s="6"/>
      <c r="F672" s="6" t="s">
        <v>1341</v>
      </c>
      <c r="G672" s="6" t="s">
        <v>4409</v>
      </c>
      <c r="H672" s="6" t="s">
        <v>4420</v>
      </c>
      <c r="I672" s="6" t="n">
        <v>58</v>
      </c>
      <c r="J672" s="6"/>
      <c r="K672" s="6" t="s">
        <v>4411</v>
      </c>
      <c r="L672" s="7"/>
      <c r="M672" s="7"/>
    </row>
    <row r="673" customFormat="false" ht="35.05" hidden="false" customHeight="false" outlineLevel="0" collapsed="false">
      <c r="A673" s="6" t="s">
        <v>1550</v>
      </c>
      <c r="B673" s="6" t="s">
        <v>96</v>
      </c>
      <c r="C673" s="6" t="s">
        <v>98</v>
      </c>
      <c r="D673" s="6" t="s">
        <v>1330</v>
      </c>
      <c r="E673" s="6"/>
      <c r="F673" s="6" t="s">
        <v>1341</v>
      </c>
      <c r="G673" s="6" t="s">
        <v>4412</v>
      </c>
      <c r="H673" s="6" t="s">
        <v>4421</v>
      </c>
      <c r="I673" s="6" t="n">
        <v>28</v>
      </c>
      <c r="J673" s="6"/>
      <c r="K673" s="6" t="s">
        <v>4414</v>
      </c>
      <c r="L673" s="7"/>
      <c r="M673" s="7"/>
    </row>
    <row r="674" customFormat="false" ht="35.05" hidden="false" customHeight="false" outlineLevel="0" collapsed="false">
      <c r="A674" s="6" t="s">
        <v>1550</v>
      </c>
      <c r="B674" s="6" t="s">
        <v>96</v>
      </c>
      <c r="C674" s="6" t="s">
        <v>98</v>
      </c>
      <c r="D674" s="6" t="s">
        <v>1330</v>
      </c>
      <c r="E674" s="6"/>
      <c r="F674" s="6" t="s">
        <v>1341</v>
      </c>
      <c r="G674" s="6" t="s">
        <v>4415</v>
      </c>
      <c r="H674" s="6" t="s">
        <v>4422</v>
      </c>
      <c r="I674" s="6" t="n">
        <v>18</v>
      </c>
      <c r="J674" s="6"/>
      <c r="K674" s="6" t="s">
        <v>4417</v>
      </c>
      <c r="L674" s="7"/>
      <c r="M674" s="7"/>
    </row>
    <row r="675" customFormat="false" ht="35.05" hidden="false" customHeight="false" outlineLevel="0" collapsed="false">
      <c r="A675" s="6" t="s">
        <v>1553</v>
      </c>
      <c r="B675" s="6" t="s">
        <v>96</v>
      </c>
      <c r="C675" s="6" t="s">
        <v>98</v>
      </c>
      <c r="D675" s="6" t="s">
        <v>1330</v>
      </c>
      <c r="E675" s="6"/>
      <c r="F675" s="6" t="s">
        <v>1347</v>
      </c>
      <c r="G675" s="6" t="s">
        <v>4406</v>
      </c>
      <c r="H675" s="6" t="s">
        <v>4423</v>
      </c>
      <c r="I675" s="6" t="n">
        <v>96</v>
      </c>
      <c r="J675" s="6" t="s">
        <v>83</v>
      </c>
      <c r="K675" s="6" t="s">
        <v>4478</v>
      </c>
      <c r="L675" s="7"/>
      <c r="M675" s="7"/>
    </row>
    <row r="676" customFormat="false" ht="35.05" hidden="false" customHeight="false" outlineLevel="0" collapsed="false">
      <c r="A676" s="6" t="s">
        <v>1553</v>
      </c>
      <c r="B676" s="6" t="s">
        <v>96</v>
      </c>
      <c r="C676" s="6" t="s">
        <v>98</v>
      </c>
      <c r="D676" s="6" t="s">
        <v>1330</v>
      </c>
      <c r="E676" s="6"/>
      <c r="F676" s="6" t="s">
        <v>1347</v>
      </c>
      <c r="G676" s="6" t="s">
        <v>4409</v>
      </c>
      <c r="H676" s="6" t="s">
        <v>4424</v>
      </c>
      <c r="I676" s="6" t="n">
        <v>58</v>
      </c>
      <c r="J676" s="6"/>
      <c r="K676" s="6" t="s">
        <v>4411</v>
      </c>
      <c r="L676" s="7"/>
      <c r="M676" s="7"/>
    </row>
    <row r="677" customFormat="false" ht="35.05" hidden="false" customHeight="false" outlineLevel="0" collapsed="false">
      <c r="A677" s="6" t="s">
        <v>1553</v>
      </c>
      <c r="B677" s="6" t="s">
        <v>96</v>
      </c>
      <c r="C677" s="6" t="s">
        <v>98</v>
      </c>
      <c r="D677" s="6" t="s">
        <v>1330</v>
      </c>
      <c r="E677" s="6"/>
      <c r="F677" s="6" t="s">
        <v>1347</v>
      </c>
      <c r="G677" s="6" t="s">
        <v>4412</v>
      </c>
      <c r="H677" s="6" t="s">
        <v>4425</v>
      </c>
      <c r="I677" s="6" t="n">
        <v>28</v>
      </c>
      <c r="J677" s="6"/>
      <c r="K677" s="6" t="s">
        <v>4414</v>
      </c>
      <c r="L677" s="7"/>
      <c r="M677" s="7"/>
    </row>
    <row r="678" customFormat="false" ht="35.05" hidden="false" customHeight="false" outlineLevel="0" collapsed="false">
      <c r="A678" s="6" t="s">
        <v>1553</v>
      </c>
      <c r="B678" s="6" t="s">
        <v>96</v>
      </c>
      <c r="C678" s="6" t="s">
        <v>98</v>
      </c>
      <c r="D678" s="6" t="s">
        <v>1330</v>
      </c>
      <c r="E678" s="6"/>
      <c r="F678" s="6" t="s">
        <v>1347</v>
      </c>
      <c r="G678" s="6" t="s">
        <v>4415</v>
      </c>
      <c r="H678" s="6" t="s">
        <v>4426</v>
      </c>
      <c r="I678" s="6" t="n">
        <v>18</v>
      </c>
      <c r="J678" s="6"/>
      <c r="K678" s="6" t="s">
        <v>4417</v>
      </c>
      <c r="L678" s="7"/>
      <c r="M678" s="7"/>
    </row>
    <row r="679" customFormat="false" ht="35.05" hidden="false" customHeight="false" outlineLevel="0" collapsed="false">
      <c r="A679" s="6" t="s">
        <v>1555</v>
      </c>
      <c r="B679" s="6" t="s">
        <v>96</v>
      </c>
      <c r="C679" s="6" t="s">
        <v>165</v>
      </c>
      <c r="D679" s="6" t="s">
        <v>1330</v>
      </c>
      <c r="E679" s="6"/>
      <c r="F679" s="6" t="s">
        <v>1352</v>
      </c>
      <c r="G679" s="6" t="s">
        <v>4406</v>
      </c>
      <c r="H679" s="6" t="s">
        <v>4427</v>
      </c>
      <c r="I679" s="6" t="n">
        <v>96</v>
      </c>
      <c r="J679" s="6" t="s">
        <v>83</v>
      </c>
      <c r="K679" s="6" t="s">
        <v>4479</v>
      </c>
      <c r="L679" s="7"/>
      <c r="M679" s="7"/>
    </row>
    <row r="680" customFormat="false" ht="35.05" hidden="false" customHeight="false" outlineLevel="0" collapsed="false">
      <c r="A680" s="6" t="s">
        <v>1555</v>
      </c>
      <c r="B680" s="6" t="s">
        <v>96</v>
      </c>
      <c r="C680" s="6" t="s">
        <v>165</v>
      </c>
      <c r="D680" s="6" t="s">
        <v>1330</v>
      </c>
      <c r="E680" s="6"/>
      <c r="F680" s="6" t="s">
        <v>1352</v>
      </c>
      <c r="G680" s="6" t="s">
        <v>4409</v>
      </c>
      <c r="H680" s="6" t="s">
        <v>4429</v>
      </c>
      <c r="I680" s="6" t="n">
        <v>62</v>
      </c>
      <c r="J680" s="6"/>
      <c r="K680" s="6" t="s">
        <v>4411</v>
      </c>
      <c r="L680" s="7"/>
      <c r="M680" s="7"/>
    </row>
    <row r="681" customFormat="false" ht="35.05" hidden="false" customHeight="false" outlineLevel="0" collapsed="false">
      <c r="A681" s="6" t="s">
        <v>1555</v>
      </c>
      <c r="B681" s="6" t="s">
        <v>96</v>
      </c>
      <c r="C681" s="6" t="s">
        <v>165</v>
      </c>
      <c r="D681" s="6" t="s">
        <v>1330</v>
      </c>
      <c r="E681" s="6"/>
      <c r="F681" s="6" t="s">
        <v>1352</v>
      </c>
      <c r="G681" s="6" t="s">
        <v>4412</v>
      </c>
      <c r="H681" s="6" t="s">
        <v>4430</v>
      </c>
      <c r="I681" s="6" t="n">
        <v>28</v>
      </c>
      <c r="J681" s="6"/>
      <c r="K681" s="6" t="s">
        <v>4414</v>
      </c>
      <c r="L681" s="7"/>
      <c r="M681" s="7"/>
    </row>
    <row r="682" customFormat="false" ht="35.05" hidden="false" customHeight="false" outlineLevel="0" collapsed="false">
      <c r="A682" s="6" t="s">
        <v>1555</v>
      </c>
      <c r="B682" s="6" t="s">
        <v>96</v>
      </c>
      <c r="C682" s="6" t="s">
        <v>165</v>
      </c>
      <c r="D682" s="6" t="s">
        <v>1330</v>
      </c>
      <c r="E682" s="6"/>
      <c r="F682" s="6" t="s">
        <v>1352</v>
      </c>
      <c r="G682" s="6" t="s">
        <v>4415</v>
      </c>
      <c r="H682" s="6" t="s">
        <v>4431</v>
      </c>
      <c r="I682" s="6" t="n">
        <v>18</v>
      </c>
      <c r="J682" s="6"/>
      <c r="K682" s="6" t="s">
        <v>4417</v>
      </c>
      <c r="L682" s="7"/>
      <c r="M682" s="7"/>
    </row>
    <row r="683" customFormat="false" ht="35.05" hidden="false" customHeight="false" outlineLevel="0" collapsed="false">
      <c r="A683" s="6" t="s">
        <v>1558</v>
      </c>
      <c r="B683" s="6" t="s">
        <v>96</v>
      </c>
      <c r="C683" s="6" t="s">
        <v>165</v>
      </c>
      <c r="D683" s="6" t="s">
        <v>1330</v>
      </c>
      <c r="E683" s="6"/>
      <c r="F683" s="6" t="s">
        <v>1358</v>
      </c>
      <c r="G683" s="6" t="s">
        <v>4406</v>
      </c>
      <c r="H683" s="6" t="s">
        <v>4432</v>
      </c>
      <c r="I683" s="6" t="n">
        <v>96</v>
      </c>
      <c r="J683" s="6" t="s">
        <v>83</v>
      </c>
      <c r="K683" s="6" t="s">
        <v>4479</v>
      </c>
      <c r="L683" s="7"/>
      <c r="M683" s="7"/>
    </row>
    <row r="684" customFormat="false" ht="35.05" hidden="false" customHeight="false" outlineLevel="0" collapsed="false">
      <c r="A684" s="6" t="s">
        <v>1558</v>
      </c>
      <c r="B684" s="6" t="s">
        <v>96</v>
      </c>
      <c r="C684" s="6" t="s">
        <v>165</v>
      </c>
      <c r="D684" s="6" t="s">
        <v>1330</v>
      </c>
      <c r="E684" s="6"/>
      <c r="F684" s="6" t="s">
        <v>1358</v>
      </c>
      <c r="G684" s="6" t="s">
        <v>4409</v>
      </c>
      <c r="H684" s="6" t="s">
        <v>4433</v>
      </c>
      <c r="I684" s="6" t="n">
        <v>62</v>
      </c>
      <c r="J684" s="6"/>
      <c r="K684" s="6" t="s">
        <v>4411</v>
      </c>
      <c r="L684" s="7"/>
      <c r="M684" s="7"/>
    </row>
    <row r="685" customFormat="false" ht="35.05" hidden="false" customHeight="false" outlineLevel="0" collapsed="false">
      <c r="A685" s="6" t="s">
        <v>1558</v>
      </c>
      <c r="B685" s="6" t="s">
        <v>96</v>
      </c>
      <c r="C685" s="6" t="s">
        <v>165</v>
      </c>
      <c r="D685" s="6" t="s">
        <v>1330</v>
      </c>
      <c r="E685" s="6"/>
      <c r="F685" s="6" t="s">
        <v>1358</v>
      </c>
      <c r="G685" s="6" t="s">
        <v>4412</v>
      </c>
      <c r="H685" s="6" t="s">
        <v>4434</v>
      </c>
      <c r="I685" s="6" t="n">
        <v>28</v>
      </c>
      <c r="J685" s="6"/>
      <c r="K685" s="6" t="s">
        <v>4414</v>
      </c>
      <c r="L685" s="7"/>
      <c r="M685" s="7"/>
    </row>
    <row r="686" customFormat="false" ht="35.05" hidden="false" customHeight="false" outlineLevel="0" collapsed="false">
      <c r="A686" s="6" t="s">
        <v>1558</v>
      </c>
      <c r="B686" s="6" t="s">
        <v>96</v>
      </c>
      <c r="C686" s="6" t="s">
        <v>165</v>
      </c>
      <c r="D686" s="6" t="s">
        <v>1330</v>
      </c>
      <c r="E686" s="6"/>
      <c r="F686" s="6" t="s">
        <v>1358</v>
      </c>
      <c r="G686" s="6" t="s">
        <v>4415</v>
      </c>
      <c r="H686" s="6" t="s">
        <v>4435</v>
      </c>
      <c r="I686" s="6" t="n">
        <v>18</v>
      </c>
      <c r="J686" s="6"/>
      <c r="K686" s="6" t="s">
        <v>4417</v>
      </c>
      <c r="L686" s="7"/>
      <c r="M686" s="7"/>
    </row>
    <row r="687" customFormat="false" ht="35.05" hidden="false" customHeight="false" outlineLevel="0" collapsed="false">
      <c r="A687" s="6" t="s">
        <v>1560</v>
      </c>
      <c r="B687" s="6" t="s">
        <v>96</v>
      </c>
      <c r="C687" s="6" t="s">
        <v>1362</v>
      </c>
      <c r="D687" s="6" t="s">
        <v>1330</v>
      </c>
      <c r="E687" s="6"/>
      <c r="F687" s="6" t="s">
        <v>1364</v>
      </c>
      <c r="G687" s="6" t="s">
        <v>4406</v>
      </c>
      <c r="H687" s="6" t="s">
        <v>4436</v>
      </c>
      <c r="I687" s="6" t="n">
        <v>96</v>
      </c>
      <c r="J687" s="6" t="s">
        <v>83</v>
      </c>
      <c r="K687" s="6" t="s">
        <v>4480</v>
      </c>
      <c r="L687" s="7"/>
      <c r="M687" s="7"/>
    </row>
    <row r="688" customFormat="false" ht="35.05" hidden="false" customHeight="false" outlineLevel="0" collapsed="false">
      <c r="A688" s="6" t="s">
        <v>1560</v>
      </c>
      <c r="B688" s="6" t="s">
        <v>96</v>
      </c>
      <c r="C688" s="6" t="s">
        <v>1362</v>
      </c>
      <c r="D688" s="6" t="s">
        <v>1330</v>
      </c>
      <c r="E688" s="6"/>
      <c r="F688" s="6" t="s">
        <v>1364</v>
      </c>
      <c r="G688" s="6" t="s">
        <v>4409</v>
      </c>
      <c r="H688" s="6" t="s">
        <v>4438</v>
      </c>
      <c r="I688" s="6" t="n">
        <v>62</v>
      </c>
      <c r="J688" s="6"/>
      <c r="K688" s="6" t="s">
        <v>4411</v>
      </c>
      <c r="L688" s="7"/>
      <c r="M688" s="7"/>
    </row>
    <row r="689" customFormat="false" ht="35.05" hidden="false" customHeight="false" outlineLevel="0" collapsed="false">
      <c r="A689" s="6" t="s">
        <v>1560</v>
      </c>
      <c r="B689" s="6" t="s">
        <v>96</v>
      </c>
      <c r="C689" s="6" t="s">
        <v>1362</v>
      </c>
      <c r="D689" s="6" t="s">
        <v>1330</v>
      </c>
      <c r="E689" s="6"/>
      <c r="F689" s="6" t="s">
        <v>1364</v>
      </c>
      <c r="G689" s="6" t="s">
        <v>4412</v>
      </c>
      <c r="H689" s="6" t="s">
        <v>4439</v>
      </c>
      <c r="I689" s="6" t="n">
        <v>28</v>
      </c>
      <c r="J689" s="6"/>
      <c r="K689" s="6" t="s">
        <v>4414</v>
      </c>
      <c r="L689" s="7"/>
      <c r="M689" s="7"/>
    </row>
    <row r="690" customFormat="false" ht="35.05" hidden="false" customHeight="false" outlineLevel="0" collapsed="false">
      <c r="A690" s="6" t="s">
        <v>1560</v>
      </c>
      <c r="B690" s="6" t="s">
        <v>96</v>
      </c>
      <c r="C690" s="6" t="s">
        <v>1362</v>
      </c>
      <c r="D690" s="6" t="s">
        <v>1330</v>
      </c>
      <c r="E690" s="6"/>
      <c r="F690" s="6" t="s">
        <v>1364</v>
      </c>
      <c r="G690" s="6" t="s">
        <v>4415</v>
      </c>
      <c r="H690" s="6" t="s">
        <v>4440</v>
      </c>
      <c r="I690" s="6" t="n">
        <v>18</v>
      </c>
      <c r="J690" s="6"/>
      <c r="K690" s="6" t="s">
        <v>4417</v>
      </c>
      <c r="L690" s="7"/>
      <c r="M690" s="7"/>
    </row>
    <row r="691" customFormat="false" ht="35.05" hidden="false" customHeight="false" outlineLevel="0" collapsed="false">
      <c r="A691" s="6" t="s">
        <v>1563</v>
      </c>
      <c r="B691" s="6" t="s">
        <v>96</v>
      </c>
      <c r="C691" s="6" t="s">
        <v>1362</v>
      </c>
      <c r="D691" s="6" t="s">
        <v>1330</v>
      </c>
      <c r="E691" s="6"/>
      <c r="F691" s="6" t="s">
        <v>1370</v>
      </c>
      <c r="G691" s="6" t="s">
        <v>4406</v>
      </c>
      <c r="H691" s="6" t="s">
        <v>4441</v>
      </c>
      <c r="I691" s="6" t="n">
        <v>96</v>
      </c>
      <c r="J691" s="6" t="s">
        <v>83</v>
      </c>
      <c r="K691" s="6" t="s">
        <v>4480</v>
      </c>
      <c r="L691" s="7"/>
      <c r="M691" s="7"/>
    </row>
    <row r="692" customFormat="false" ht="35.05" hidden="false" customHeight="false" outlineLevel="0" collapsed="false">
      <c r="A692" s="6" t="s">
        <v>1563</v>
      </c>
      <c r="B692" s="6" t="s">
        <v>96</v>
      </c>
      <c r="C692" s="6" t="s">
        <v>1362</v>
      </c>
      <c r="D692" s="6" t="s">
        <v>1330</v>
      </c>
      <c r="E692" s="6"/>
      <c r="F692" s="6" t="s">
        <v>1370</v>
      </c>
      <c r="G692" s="6" t="s">
        <v>4409</v>
      </c>
      <c r="H692" s="6" t="s">
        <v>4442</v>
      </c>
      <c r="I692" s="6" t="n">
        <v>62</v>
      </c>
      <c r="J692" s="6"/>
      <c r="K692" s="6" t="s">
        <v>4411</v>
      </c>
      <c r="L692" s="7"/>
      <c r="M692" s="7"/>
    </row>
    <row r="693" customFormat="false" ht="35.05" hidden="false" customHeight="false" outlineLevel="0" collapsed="false">
      <c r="A693" s="6" t="s">
        <v>1563</v>
      </c>
      <c r="B693" s="6" t="s">
        <v>96</v>
      </c>
      <c r="C693" s="6" t="s">
        <v>1362</v>
      </c>
      <c r="D693" s="6" t="s">
        <v>1330</v>
      </c>
      <c r="E693" s="6"/>
      <c r="F693" s="6" t="s">
        <v>1370</v>
      </c>
      <c r="G693" s="6" t="s">
        <v>4412</v>
      </c>
      <c r="H693" s="6" t="s">
        <v>4443</v>
      </c>
      <c r="I693" s="6" t="n">
        <v>28</v>
      </c>
      <c r="J693" s="6"/>
      <c r="K693" s="6" t="s">
        <v>4414</v>
      </c>
      <c r="L693" s="7"/>
      <c r="M693" s="7"/>
    </row>
    <row r="694" customFormat="false" ht="35.05" hidden="false" customHeight="false" outlineLevel="0" collapsed="false">
      <c r="A694" s="6" t="s">
        <v>1563</v>
      </c>
      <c r="B694" s="6" t="s">
        <v>96</v>
      </c>
      <c r="C694" s="6" t="s">
        <v>1362</v>
      </c>
      <c r="D694" s="6" t="s">
        <v>1330</v>
      </c>
      <c r="E694" s="6"/>
      <c r="F694" s="6" t="s">
        <v>1370</v>
      </c>
      <c r="G694" s="6" t="s">
        <v>4415</v>
      </c>
      <c r="H694" s="6" t="s">
        <v>4444</v>
      </c>
      <c r="I694" s="6" t="n">
        <v>18</v>
      </c>
      <c r="J694" s="6"/>
      <c r="K694" s="6" t="s">
        <v>4417</v>
      </c>
      <c r="L694" s="7"/>
      <c r="M694" s="7"/>
    </row>
    <row r="695" customFormat="false" ht="35.05" hidden="false" customHeight="false" outlineLevel="0" collapsed="false">
      <c r="A695" s="6" t="s">
        <v>1565</v>
      </c>
      <c r="B695" s="6" t="s">
        <v>96</v>
      </c>
      <c r="C695" s="6" t="s">
        <v>79</v>
      </c>
      <c r="D695" s="6" t="s">
        <v>1330</v>
      </c>
      <c r="E695" s="6"/>
      <c r="F695" s="6" t="s">
        <v>1335</v>
      </c>
      <c r="G695" s="6" t="s">
        <v>4406</v>
      </c>
      <c r="H695" s="6" t="s">
        <v>4407</v>
      </c>
      <c r="I695" s="6" t="n">
        <v>96</v>
      </c>
      <c r="J695" s="6" t="s">
        <v>83</v>
      </c>
      <c r="K695" s="6" t="s">
        <v>4481</v>
      </c>
      <c r="L695" s="7"/>
      <c r="M695" s="7"/>
    </row>
    <row r="696" customFormat="false" ht="35.05" hidden="false" customHeight="false" outlineLevel="0" collapsed="false">
      <c r="A696" s="6" t="s">
        <v>1565</v>
      </c>
      <c r="B696" s="6" t="s">
        <v>96</v>
      </c>
      <c r="C696" s="6" t="s">
        <v>79</v>
      </c>
      <c r="D696" s="6" t="s">
        <v>1330</v>
      </c>
      <c r="E696" s="6"/>
      <c r="F696" s="6" t="s">
        <v>1335</v>
      </c>
      <c r="G696" s="6" t="s">
        <v>4409</v>
      </c>
      <c r="H696" s="6" t="s">
        <v>4410</v>
      </c>
      <c r="I696" s="6" t="n">
        <v>60</v>
      </c>
      <c r="J696" s="6"/>
      <c r="K696" s="6" t="s">
        <v>4411</v>
      </c>
      <c r="L696" s="7"/>
      <c r="M696" s="7"/>
    </row>
    <row r="697" customFormat="false" ht="35.05" hidden="false" customHeight="false" outlineLevel="0" collapsed="false">
      <c r="A697" s="6" t="s">
        <v>1565</v>
      </c>
      <c r="B697" s="6" t="s">
        <v>96</v>
      </c>
      <c r="C697" s="6" t="s">
        <v>79</v>
      </c>
      <c r="D697" s="6" t="s">
        <v>1330</v>
      </c>
      <c r="E697" s="6"/>
      <c r="F697" s="6" t="s">
        <v>1335</v>
      </c>
      <c r="G697" s="6" t="s">
        <v>4412</v>
      </c>
      <c r="H697" s="6" t="s">
        <v>4413</v>
      </c>
      <c r="I697" s="6" t="n">
        <v>28</v>
      </c>
      <c r="J697" s="6"/>
      <c r="K697" s="6" t="s">
        <v>4414</v>
      </c>
      <c r="L697" s="7"/>
      <c r="M697" s="7"/>
    </row>
    <row r="698" customFormat="false" ht="35.05" hidden="false" customHeight="false" outlineLevel="0" collapsed="false">
      <c r="A698" s="6" t="s">
        <v>1565</v>
      </c>
      <c r="B698" s="6" t="s">
        <v>96</v>
      </c>
      <c r="C698" s="6" t="s">
        <v>79</v>
      </c>
      <c r="D698" s="6" t="s">
        <v>1330</v>
      </c>
      <c r="E698" s="6"/>
      <c r="F698" s="6" t="s">
        <v>1335</v>
      </c>
      <c r="G698" s="6" t="s">
        <v>4415</v>
      </c>
      <c r="H698" s="6" t="s">
        <v>4416</v>
      </c>
      <c r="I698" s="6" t="n">
        <v>18</v>
      </c>
      <c r="J698" s="6"/>
      <c r="K698" s="6" t="s">
        <v>4417</v>
      </c>
      <c r="L698" s="7"/>
      <c r="M698" s="7"/>
    </row>
    <row r="699" customFormat="false" ht="35.05" hidden="false" customHeight="false" outlineLevel="0" collapsed="false">
      <c r="A699" s="6" t="s">
        <v>1571</v>
      </c>
      <c r="B699" s="6" t="s">
        <v>96</v>
      </c>
      <c r="C699" s="6" t="s">
        <v>98</v>
      </c>
      <c r="D699" s="6" t="s">
        <v>1330</v>
      </c>
      <c r="E699" s="6"/>
      <c r="F699" s="6" t="s">
        <v>1341</v>
      </c>
      <c r="G699" s="6" t="s">
        <v>4406</v>
      </c>
      <c r="H699" s="6" t="s">
        <v>4418</v>
      </c>
      <c r="I699" s="6" t="n">
        <v>96</v>
      </c>
      <c r="J699" s="6" t="s">
        <v>83</v>
      </c>
      <c r="K699" s="6" t="s">
        <v>4482</v>
      </c>
      <c r="L699" s="7"/>
      <c r="M699" s="7"/>
    </row>
    <row r="700" customFormat="false" ht="35.05" hidden="false" customHeight="false" outlineLevel="0" collapsed="false">
      <c r="A700" s="6" t="s">
        <v>1571</v>
      </c>
      <c r="B700" s="6" t="s">
        <v>96</v>
      </c>
      <c r="C700" s="6" t="s">
        <v>98</v>
      </c>
      <c r="D700" s="6" t="s">
        <v>1330</v>
      </c>
      <c r="E700" s="6"/>
      <c r="F700" s="6" t="s">
        <v>1341</v>
      </c>
      <c r="G700" s="6" t="s">
        <v>4409</v>
      </c>
      <c r="H700" s="6" t="s">
        <v>4420</v>
      </c>
      <c r="I700" s="6" t="n">
        <v>58</v>
      </c>
      <c r="J700" s="6"/>
      <c r="K700" s="6" t="s">
        <v>4411</v>
      </c>
      <c r="L700" s="7"/>
      <c r="M700" s="7"/>
    </row>
    <row r="701" customFormat="false" ht="35.05" hidden="false" customHeight="false" outlineLevel="0" collapsed="false">
      <c r="A701" s="6" t="s">
        <v>1571</v>
      </c>
      <c r="B701" s="6" t="s">
        <v>96</v>
      </c>
      <c r="C701" s="6" t="s">
        <v>98</v>
      </c>
      <c r="D701" s="6" t="s">
        <v>1330</v>
      </c>
      <c r="E701" s="6"/>
      <c r="F701" s="6" t="s">
        <v>1341</v>
      </c>
      <c r="G701" s="6" t="s">
        <v>4412</v>
      </c>
      <c r="H701" s="6" t="s">
        <v>4421</v>
      </c>
      <c r="I701" s="6" t="n">
        <v>28</v>
      </c>
      <c r="J701" s="6"/>
      <c r="K701" s="6" t="s">
        <v>4414</v>
      </c>
      <c r="L701" s="7"/>
      <c r="M701" s="7"/>
    </row>
    <row r="702" customFormat="false" ht="35.05" hidden="false" customHeight="false" outlineLevel="0" collapsed="false">
      <c r="A702" s="6" t="s">
        <v>1571</v>
      </c>
      <c r="B702" s="6" t="s">
        <v>96</v>
      </c>
      <c r="C702" s="6" t="s">
        <v>98</v>
      </c>
      <c r="D702" s="6" t="s">
        <v>1330</v>
      </c>
      <c r="E702" s="6"/>
      <c r="F702" s="6" t="s">
        <v>1341</v>
      </c>
      <c r="G702" s="6" t="s">
        <v>4415</v>
      </c>
      <c r="H702" s="6" t="s">
        <v>4422</v>
      </c>
      <c r="I702" s="6" t="n">
        <v>18</v>
      </c>
      <c r="J702" s="6"/>
      <c r="K702" s="6" t="s">
        <v>4417</v>
      </c>
      <c r="L702" s="7"/>
      <c r="M702" s="7"/>
    </row>
    <row r="703" customFormat="false" ht="35.05" hidden="false" customHeight="false" outlineLevel="0" collapsed="false">
      <c r="A703" s="6" t="s">
        <v>1574</v>
      </c>
      <c r="B703" s="6" t="s">
        <v>96</v>
      </c>
      <c r="C703" s="6" t="s">
        <v>98</v>
      </c>
      <c r="D703" s="6" t="s">
        <v>1330</v>
      </c>
      <c r="E703" s="6"/>
      <c r="F703" s="6" t="s">
        <v>1347</v>
      </c>
      <c r="G703" s="6" t="s">
        <v>4406</v>
      </c>
      <c r="H703" s="6" t="s">
        <v>4423</v>
      </c>
      <c r="I703" s="6" t="n">
        <v>96</v>
      </c>
      <c r="J703" s="6" t="s">
        <v>83</v>
      </c>
      <c r="K703" s="6" t="s">
        <v>4482</v>
      </c>
      <c r="L703" s="7"/>
      <c r="M703" s="7"/>
    </row>
    <row r="704" customFormat="false" ht="35.05" hidden="false" customHeight="false" outlineLevel="0" collapsed="false">
      <c r="A704" s="6" t="s">
        <v>1574</v>
      </c>
      <c r="B704" s="6" t="s">
        <v>96</v>
      </c>
      <c r="C704" s="6" t="s">
        <v>98</v>
      </c>
      <c r="D704" s="6" t="s">
        <v>1330</v>
      </c>
      <c r="E704" s="6"/>
      <c r="F704" s="6" t="s">
        <v>1347</v>
      </c>
      <c r="G704" s="6" t="s">
        <v>4409</v>
      </c>
      <c r="H704" s="6" t="s">
        <v>4424</v>
      </c>
      <c r="I704" s="6" t="n">
        <v>58</v>
      </c>
      <c r="J704" s="6"/>
      <c r="K704" s="6" t="s">
        <v>4411</v>
      </c>
      <c r="L704" s="7"/>
      <c r="M704" s="7"/>
    </row>
    <row r="705" customFormat="false" ht="35.05" hidden="false" customHeight="false" outlineLevel="0" collapsed="false">
      <c r="A705" s="6" t="s">
        <v>1574</v>
      </c>
      <c r="B705" s="6" t="s">
        <v>96</v>
      </c>
      <c r="C705" s="6" t="s">
        <v>98</v>
      </c>
      <c r="D705" s="6" t="s">
        <v>1330</v>
      </c>
      <c r="E705" s="6"/>
      <c r="F705" s="6" t="s">
        <v>1347</v>
      </c>
      <c r="G705" s="6" t="s">
        <v>4412</v>
      </c>
      <c r="H705" s="6" t="s">
        <v>4425</v>
      </c>
      <c r="I705" s="6" t="n">
        <v>28</v>
      </c>
      <c r="J705" s="6"/>
      <c r="K705" s="6" t="s">
        <v>4414</v>
      </c>
      <c r="L705" s="7"/>
      <c r="M705" s="7"/>
    </row>
    <row r="706" customFormat="false" ht="35.05" hidden="false" customHeight="false" outlineLevel="0" collapsed="false">
      <c r="A706" s="6" t="s">
        <v>1574</v>
      </c>
      <c r="B706" s="6" t="s">
        <v>96</v>
      </c>
      <c r="C706" s="6" t="s">
        <v>98</v>
      </c>
      <c r="D706" s="6" t="s">
        <v>1330</v>
      </c>
      <c r="E706" s="6"/>
      <c r="F706" s="6" t="s">
        <v>1347</v>
      </c>
      <c r="G706" s="6" t="s">
        <v>4415</v>
      </c>
      <c r="H706" s="6" t="s">
        <v>4426</v>
      </c>
      <c r="I706" s="6" t="n">
        <v>18</v>
      </c>
      <c r="J706" s="6"/>
      <c r="K706" s="6" t="s">
        <v>4417</v>
      </c>
      <c r="L706" s="7"/>
      <c r="M706" s="7"/>
    </row>
    <row r="707" customFormat="false" ht="35.05" hidden="false" customHeight="false" outlineLevel="0" collapsed="false">
      <c r="A707" s="6" t="s">
        <v>1576</v>
      </c>
      <c r="B707" s="6" t="s">
        <v>96</v>
      </c>
      <c r="C707" s="6" t="s">
        <v>165</v>
      </c>
      <c r="D707" s="6" t="s">
        <v>1330</v>
      </c>
      <c r="E707" s="6"/>
      <c r="F707" s="6" t="s">
        <v>1352</v>
      </c>
      <c r="G707" s="6" t="s">
        <v>4406</v>
      </c>
      <c r="H707" s="6" t="s">
        <v>4427</v>
      </c>
      <c r="I707" s="6" t="n">
        <v>96</v>
      </c>
      <c r="J707" s="6" t="s">
        <v>83</v>
      </c>
      <c r="K707" s="6" t="s">
        <v>4483</v>
      </c>
      <c r="L707" s="7"/>
      <c r="M707" s="7"/>
    </row>
    <row r="708" customFormat="false" ht="35.05" hidden="false" customHeight="false" outlineLevel="0" collapsed="false">
      <c r="A708" s="6" t="s">
        <v>1576</v>
      </c>
      <c r="B708" s="6" t="s">
        <v>96</v>
      </c>
      <c r="C708" s="6" t="s">
        <v>165</v>
      </c>
      <c r="D708" s="6" t="s">
        <v>1330</v>
      </c>
      <c r="E708" s="6"/>
      <c r="F708" s="6" t="s">
        <v>1352</v>
      </c>
      <c r="G708" s="6" t="s">
        <v>4409</v>
      </c>
      <c r="H708" s="6" t="s">
        <v>4429</v>
      </c>
      <c r="I708" s="6" t="n">
        <v>62</v>
      </c>
      <c r="J708" s="6"/>
      <c r="K708" s="6" t="s">
        <v>4411</v>
      </c>
      <c r="L708" s="7"/>
      <c r="M708" s="7"/>
    </row>
    <row r="709" customFormat="false" ht="35.05" hidden="false" customHeight="false" outlineLevel="0" collapsed="false">
      <c r="A709" s="6" t="s">
        <v>1576</v>
      </c>
      <c r="B709" s="6" t="s">
        <v>96</v>
      </c>
      <c r="C709" s="6" t="s">
        <v>165</v>
      </c>
      <c r="D709" s="6" t="s">
        <v>1330</v>
      </c>
      <c r="E709" s="6"/>
      <c r="F709" s="6" t="s">
        <v>1352</v>
      </c>
      <c r="G709" s="6" t="s">
        <v>4412</v>
      </c>
      <c r="H709" s="6" t="s">
        <v>4430</v>
      </c>
      <c r="I709" s="6" t="n">
        <v>28</v>
      </c>
      <c r="J709" s="6"/>
      <c r="K709" s="6" t="s">
        <v>4414</v>
      </c>
      <c r="L709" s="7"/>
      <c r="M709" s="7"/>
    </row>
    <row r="710" customFormat="false" ht="35.05" hidden="false" customHeight="false" outlineLevel="0" collapsed="false">
      <c r="A710" s="6" t="s">
        <v>1576</v>
      </c>
      <c r="B710" s="6" t="s">
        <v>96</v>
      </c>
      <c r="C710" s="6" t="s">
        <v>165</v>
      </c>
      <c r="D710" s="6" t="s">
        <v>1330</v>
      </c>
      <c r="E710" s="6"/>
      <c r="F710" s="6" t="s">
        <v>1352</v>
      </c>
      <c r="G710" s="6" t="s">
        <v>4415</v>
      </c>
      <c r="H710" s="6" t="s">
        <v>4431</v>
      </c>
      <c r="I710" s="6" t="n">
        <v>18</v>
      </c>
      <c r="J710" s="6"/>
      <c r="K710" s="6" t="s">
        <v>4417</v>
      </c>
      <c r="L710" s="7"/>
      <c r="M710" s="7"/>
    </row>
    <row r="711" customFormat="false" ht="35.05" hidden="false" customHeight="false" outlineLevel="0" collapsed="false">
      <c r="A711" s="6" t="s">
        <v>1579</v>
      </c>
      <c r="B711" s="6" t="s">
        <v>96</v>
      </c>
      <c r="C711" s="6" t="s">
        <v>165</v>
      </c>
      <c r="D711" s="6" t="s">
        <v>1330</v>
      </c>
      <c r="E711" s="6"/>
      <c r="F711" s="6" t="s">
        <v>1358</v>
      </c>
      <c r="G711" s="6" t="s">
        <v>4406</v>
      </c>
      <c r="H711" s="6" t="s">
        <v>4432</v>
      </c>
      <c r="I711" s="6" t="n">
        <v>96</v>
      </c>
      <c r="J711" s="6" t="s">
        <v>83</v>
      </c>
      <c r="K711" s="6" t="s">
        <v>4483</v>
      </c>
      <c r="L711" s="7"/>
      <c r="M711" s="7"/>
    </row>
    <row r="712" customFormat="false" ht="35.05" hidden="false" customHeight="false" outlineLevel="0" collapsed="false">
      <c r="A712" s="6" t="s">
        <v>1579</v>
      </c>
      <c r="B712" s="6" t="s">
        <v>96</v>
      </c>
      <c r="C712" s="6" t="s">
        <v>165</v>
      </c>
      <c r="D712" s="6" t="s">
        <v>1330</v>
      </c>
      <c r="E712" s="6"/>
      <c r="F712" s="6" t="s">
        <v>1358</v>
      </c>
      <c r="G712" s="6" t="s">
        <v>4409</v>
      </c>
      <c r="H712" s="6" t="s">
        <v>4433</v>
      </c>
      <c r="I712" s="6" t="n">
        <v>62</v>
      </c>
      <c r="J712" s="6"/>
      <c r="K712" s="6" t="s">
        <v>4411</v>
      </c>
      <c r="L712" s="7"/>
      <c r="M712" s="7"/>
    </row>
    <row r="713" customFormat="false" ht="35.05" hidden="false" customHeight="false" outlineLevel="0" collapsed="false">
      <c r="A713" s="6" t="s">
        <v>1579</v>
      </c>
      <c r="B713" s="6" t="s">
        <v>96</v>
      </c>
      <c r="C713" s="6" t="s">
        <v>165</v>
      </c>
      <c r="D713" s="6" t="s">
        <v>1330</v>
      </c>
      <c r="E713" s="6"/>
      <c r="F713" s="6" t="s">
        <v>1358</v>
      </c>
      <c r="G713" s="6" t="s">
        <v>4412</v>
      </c>
      <c r="H713" s="6" t="s">
        <v>4434</v>
      </c>
      <c r="I713" s="6" t="n">
        <v>28</v>
      </c>
      <c r="J713" s="6"/>
      <c r="K713" s="6" t="s">
        <v>4414</v>
      </c>
      <c r="L713" s="7"/>
      <c r="M713" s="7"/>
    </row>
    <row r="714" customFormat="false" ht="35.05" hidden="false" customHeight="false" outlineLevel="0" collapsed="false">
      <c r="A714" s="6" t="s">
        <v>1579</v>
      </c>
      <c r="B714" s="6" t="s">
        <v>96</v>
      </c>
      <c r="C714" s="6" t="s">
        <v>165</v>
      </c>
      <c r="D714" s="6" t="s">
        <v>1330</v>
      </c>
      <c r="E714" s="6"/>
      <c r="F714" s="6" t="s">
        <v>1358</v>
      </c>
      <c r="G714" s="6" t="s">
        <v>4415</v>
      </c>
      <c r="H714" s="6" t="s">
        <v>4435</v>
      </c>
      <c r="I714" s="6" t="n">
        <v>18</v>
      </c>
      <c r="J714" s="6"/>
      <c r="K714" s="6" t="s">
        <v>4417</v>
      </c>
      <c r="L714" s="7"/>
      <c r="M714" s="7"/>
    </row>
    <row r="715" customFormat="false" ht="35.05" hidden="false" customHeight="false" outlineLevel="0" collapsed="false">
      <c r="A715" s="6" t="s">
        <v>1581</v>
      </c>
      <c r="B715" s="6" t="s">
        <v>96</v>
      </c>
      <c r="C715" s="6" t="s">
        <v>1362</v>
      </c>
      <c r="D715" s="6" t="s">
        <v>1330</v>
      </c>
      <c r="E715" s="6"/>
      <c r="F715" s="6" t="s">
        <v>1364</v>
      </c>
      <c r="G715" s="6" t="s">
        <v>4406</v>
      </c>
      <c r="H715" s="6" t="s">
        <v>4436</v>
      </c>
      <c r="I715" s="6" t="n">
        <v>96</v>
      </c>
      <c r="J715" s="6" t="s">
        <v>83</v>
      </c>
      <c r="K715" s="6" t="s">
        <v>4484</v>
      </c>
      <c r="L715" s="7"/>
      <c r="M715" s="7"/>
    </row>
    <row r="716" customFormat="false" ht="35.05" hidden="false" customHeight="false" outlineLevel="0" collapsed="false">
      <c r="A716" s="6" t="s">
        <v>1581</v>
      </c>
      <c r="B716" s="6" t="s">
        <v>96</v>
      </c>
      <c r="C716" s="6" t="s">
        <v>1362</v>
      </c>
      <c r="D716" s="6" t="s">
        <v>1330</v>
      </c>
      <c r="E716" s="6"/>
      <c r="F716" s="6" t="s">
        <v>1364</v>
      </c>
      <c r="G716" s="6" t="s">
        <v>4409</v>
      </c>
      <c r="H716" s="6" t="s">
        <v>4438</v>
      </c>
      <c r="I716" s="6" t="n">
        <v>62</v>
      </c>
      <c r="J716" s="6"/>
      <c r="K716" s="6" t="s">
        <v>4411</v>
      </c>
      <c r="L716" s="7"/>
      <c r="M716" s="7"/>
    </row>
    <row r="717" customFormat="false" ht="35.05" hidden="false" customHeight="false" outlineLevel="0" collapsed="false">
      <c r="A717" s="6" t="s">
        <v>1581</v>
      </c>
      <c r="B717" s="6" t="s">
        <v>96</v>
      </c>
      <c r="C717" s="6" t="s">
        <v>1362</v>
      </c>
      <c r="D717" s="6" t="s">
        <v>1330</v>
      </c>
      <c r="E717" s="6"/>
      <c r="F717" s="6" t="s">
        <v>1364</v>
      </c>
      <c r="G717" s="6" t="s">
        <v>4412</v>
      </c>
      <c r="H717" s="6" t="s">
        <v>4439</v>
      </c>
      <c r="I717" s="6" t="n">
        <v>28</v>
      </c>
      <c r="J717" s="6"/>
      <c r="K717" s="6" t="s">
        <v>4414</v>
      </c>
      <c r="L717" s="7"/>
      <c r="M717" s="7"/>
    </row>
    <row r="718" customFormat="false" ht="35.05" hidden="false" customHeight="false" outlineLevel="0" collapsed="false">
      <c r="A718" s="6" t="s">
        <v>1581</v>
      </c>
      <c r="B718" s="6" t="s">
        <v>96</v>
      </c>
      <c r="C718" s="6" t="s">
        <v>1362</v>
      </c>
      <c r="D718" s="6" t="s">
        <v>1330</v>
      </c>
      <c r="E718" s="6"/>
      <c r="F718" s="6" t="s">
        <v>1364</v>
      </c>
      <c r="G718" s="6" t="s">
        <v>4415</v>
      </c>
      <c r="H718" s="6" t="s">
        <v>4440</v>
      </c>
      <c r="I718" s="6" t="n">
        <v>18</v>
      </c>
      <c r="J718" s="6"/>
      <c r="K718" s="6" t="s">
        <v>4417</v>
      </c>
      <c r="L718" s="7"/>
      <c r="M718" s="7"/>
    </row>
    <row r="719" customFormat="false" ht="35.05" hidden="false" customHeight="false" outlineLevel="0" collapsed="false">
      <c r="A719" s="6" t="s">
        <v>1584</v>
      </c>
      <c r="B719" s="6" t="s">
        <v>96</v>
      </c>
      <c r="C719" s="6" t="s">
        <v>1362</v>
      </c>
      <c r="D719" s="6" t="s">
        <v>1330</v>
      </c>
      <c r="E719" s="6"/>
      <c r="F719" s="6" t="s">
        <v>1370</v>
      </c>
      <c r="G719" s="6" t="s">
        <v>4406</v>
      </c>
      <c r="H719" s="6" t="s">
        <v>4441</v>
      </c>
      <c r="I719" s="6" t="n">
        <v>96</v>
      </c>
      <c r="J719" s="6" t="s">
        <v>83</v>
      </c>
      <c r="K719" s="6" t="s">
        <v>4484</v>
      </c>
      <c r="L719" s="7"/>
      <c r="M719" s="7"/>
    </row>
    <row r="720" customFormat="false" ht="35.05" hidden="false" customHeight="false" outlineLevel="0" collapsed="false">
      <c r="A720" s="6" t="s">
        <v>1584</v>
      </c>
      <c r="B720" s="6" t="s">
        <v>96</v>
      </c>
      <c r="C720" s="6" t="s">
        <v>1362</v>
      </c>
      <c r="D720" s="6" t="s">
        <v>1330</v>
      </c>
      <c r="E720" s="6"/>
      <c r="F720" s="6" t="s">
        <v>1370</v>
      </c>
      <c r="G720" s="6" t="s">
        <v>4409</v>
      </c>
      <c r="H720" s="6" t="s">
        <v>4442</v>
      </c>
      <c r="I720" s="6" t="n">
        <v>62</v>
      </c>
      <c r="J720" s="6"/>
      <c r="K720" s="6" t="s">
        <v>4411</v>
      </c>
      <c r="L720" s="7"/>
      <c r="M720" s="7"/>
    </row>
    <row r="721" customFormat="false" ht="35.05" hidden="false" customHeight="false" outlineLevel="0" collapsed="false">
      <c r="A721" s="6" t="s">
        <v>1584</v>
      </c>
      <c r="B721" s="6" t="s">
        <v>96</v>
      </c>
      <c r="C721" s="6" t="s">
        <v>1362</v>
      </c>
      <c r="D721" s="6" t="s">
        <v>1330</v>
      </c>
      <c r="E721" s="6"/>
      <c r="F721" s="6" t="s">
        <v>1370</v>
      </c>
      <c r="G721" s="6" t="s">
        <v>4412</v>
      </c>
      <c r="H721" s="6" t="s">
        <v>4443</v>
      </c>
      <c r="I721" s="6" t="n">
        <v>28</v>
      </c>
      <c r="J721" s="6"/>
      <c r="K721" s="6" t="s">
        <v>4414</v>
      </c>
      <c r="L721" s="7"/>
      <c r="M721" s="7"/>
    </row>
    <row r="722" customFormat="false" ht="35.05" hidden="false" customHeight="false" outlineLevel="0" collapsed="false">
      <c r="A722" s="6" t="s">
        <v>1584</v>
      </c>
      <c r="B722" s="6" t="s">
        <v>96</v>
      </c>
      <c r="C722" s="6" t="s">
        <v>1362</v>
      </c>
      <c r="D722" s="6" t="s">
        <v>1330</v>
      </c>
      <c r="E722" s="6"/>
      <c r="F722" s="6" t="s">
        <v>1370</v>
      </c>
      <c r="G722" s="6" t="s">
        <v>4415</v>
      </c>
      <c r="H722" s="6" t="s">
        <v>4444</v>
      </c>
      <c r="I722" s="6" t="n">
        <v>18</v>
      </c>
      <c r="J722" s="6"/>
      <c r="K722" s="6" t="s">
        <v>4417</v>
      </c>
      <c r="L722" s="7"/>
      <c r="M722" s="7"/>
    </row>
    <row r="723" customFormat="false" ht="35.05" hidden="false" customHeight="false" outlineLevel="0" collapsed="false">
      <c r="A723" s="6" t="s">
        <v>1586</v>
      </c>
      <c r="B723" s="6" t="s">
        <v>96</v>
      </c>
      <c r="C723" s="6" t="s">
        <v>79</v>
      </c>
      <c r="D723" s="6" t="s">
        <v>1330</v>
      </c>
      <c r="E723" s="6"/>
      <c r="F723" s="6" t="s">
        <v>1335</v>
      </c>
      <c r="G723" s="6" t="s">
        <v>4406</v>
      </c>
      <c r="H723" s="6" t="s">
        <v>4407</v>
      </c>
      <c r="I723" s="6" t="n">
        <v>96</v>
      </c>
      <c r="J723" s="6" t="s">
        <v>83</v>
      </c>
      <c r="K723" s="6" t="s">
        <v>4485</v>
      </c>
      <c r="L723" s="7"/>
      <c r="M723" s="7"/>
    </row>
    <row r="724" customFormat="false" ht="35.05" hidden="false" customHeight="false" outlineLevel="0" collapsed="false">
      <c r="A724" s="6" t="s">
        <v>1586</v>
      </c>
      <c r="B724" s="6" t="s">
        <v>96</v>
      </c>
      <c r="C724" s="6" t="s">
        <v>79</v>
      </c>
      <c r="D724" s="6" t="s">
        <v>1330</v>
      </c>
      <c r="E724" s="6"/>
      <c r="F724" s="6" t="s">
        <v>1335</v>
      </c>
      <c r="G724" s="6" t="s">
        <v>4409</v>
      </c>
      <c r="H724" s="6" t="s">
        <v>4410</v>
      </c>
      <c r="I724" s="6" t="n">
        <v>60</v>
      </c>
      <c r="J724" s="6"/>
      <c r="K724" s="6" t="s">
        <v>4411</v>
      </c>
      <c r="L724" s="7"/>
      <c r="M724" s="7"/>
    </row>
    <row r="725" customFormat="false" ht="35.05" hidden="false" customHeight="false" outlineLevel="0" collapsed="false">
      <c r="A725" s="6" t="s">
        <v>1586</v>
      </c>
      <c r="B725" s="6" t="s">
        <v>96</v>
      </c>
      <c r="C725" s="6" t="s">
        <v>79</v>
      </c>
      <c r="D725" s="6" t="s">
        <v>1330</v>
      </c>
      <c r="E725" s="6"/>
      <c r="F725" s="6" t="s">
        <v>1335</v>
      </c>
      <c r="G725" s="6" t="s">
        <v>4412</v>
      </c>
      <c r="H725" s="6" t="s">
        <v>4413</v>
      </c>
      <c r="I725" s="6" t="n">
        <v>28</v>
      </c>
      <c r="J725" s="6"/>
      <c r="K725" s="6" t="s">
        <v>4414</v>
      </c>
      <c r="L725" s="7"/>
      <c r="M725" s="7"/>
    </row>
    <row r="726" customFormat="false" ht="35.05" hidden="false" customHeight="false" outlineLevel="0" collapsed="false">
      <c r="A726" s="6" t="s">
        <v>1586</v>
      </c>
      <c r="B726" s="6" t="s">
        <v>96</v>
      </c>
      <c r="C726" s="6" t="s">
        <v>79</v>
      </c>
      <c r="D726" s="6" t="s">
        <v>1330</v>
      </c>
      <c r="E726" s="6"/>
      <c r="F726" s="6" t="s">
        <v>1335</v>
      </c>
      <c r="G726" s="6" t="s">
        <v>4415</v>
      </c>
      <c r="H726" s="6" t="s">
        <v>4416</v>
      </c>
      <c r="I726" s="6" t="n">
        <v>18</v>
      </c>
      <c r="J726" s="6"/>
      <c r="K726" s="6" t="s">
        <v>4417</v>
      </c>
      <c r="L726" s="7"/>
      <c r="M726" s="7"/>
    </row>
    <row r="727" customFormat="false" ht="23.85" hidden="false" customHeight="false" outlineLevel="0" collapsed="false">
      <c r="A727" s="6" t="s">
        <v>1593</v>
      </c>
      <c r="B727" s="6" t="s">
        <v>96</v>
      </c>
      <c r="C727" s="6" t="s">
        <v>98</v>
      </c>
      <c r="D727" s="6" t="s">
        <v>1330</v>
      </c>
      <c r="E727" s="6"/>
      <c r="F727" s="6" t="s">
        <v>1341</v>
      </c>
      <c r="G727" s="6" t="s">
        <v>4406</v>
      </c>
      <c r="H727" s="6" t="s">
        <v>4418</v>
      </c>
      <c r="I727" s="6" t="n">
        <v>96</v>
      </c>
      <c r="J727" s="6" t="s">
        <v>83</v>
      </c>
      <c r="K727" s="6" t="s">
        <v>4486</v>
      </c>
      <c r="L727" s="7"/>
      <c r="M727" s="7"/>
    </row>
    <row r="728" customFormat="false" ht="23.85" hidden="false" customHeight="false" outlineLevel="0" collapsed="false">
      <c r="A728" s="6" t="s">
        <v>1593</v>
      </c>
      <c r="B728" s="6" t="s">
        <v>96</v>
      </c>
      <c r="C728" s="6" t="s">
        <v>98</v>
      </c>
      <c r="D728" s="6" t="s">
        <v>1330</v>
      </c>
      <c r="E728" s="6"/>
      <c r="F728" s="6" t="s">
        <v>1341</v>
      </c>
      <c r="G728" s="6" t="s">
        <v>4409</v>
      </c>
      <c r="H728" s="6" t="s">
        <v>4420</v>
      </c>
      <c r="I728" s="6" t="n">
        <v>58</v>
      </c>
      <c r="J728" s="6"/>
      <c r="K728" s="6" t="s">
        <v>4411</v>
      </c>
      <c r="L728" s="7"/>
      <c r="M728" s="7"/>
    </row>
    <row r="729" customFormat="false" ht="23.85" hidden="false" customHeight="false" outlineLevel="0" collapsed="false">
      <c r="A729" s="6" t="s">
        <v>1593</v>
      </c>
      <c r="B729" s="6" t="s">
        <v>96</v>
      </c>
      <c r="C729" s="6" t="s">
        <v>98</v>
      </c>
      <c r="D729" s="6" t="s">
        <v>1330</v>
      </c>
      <c r="E729" s="6"/>
      <c r="F729" s="6" t="s">
        <v>1341</v>
      </c>
      <c r="G729" s="6" t="s">
        <v>4412</v>
      </c>
      <c r="H729" s="6" t="s">
        <v>4421</v>
      </c>
      <c r="I729" s="6" t="n">
        <v>28</v>
      </c>
      <c r="J729" s="6"/>
      <c r="K729" s="6" t="s">
        <v>4414</v>
      </c>
      <c r="L729" s="7"/>
      <c r="M729" s="7"/>
    </row>
    <row r="730" customFormat="false" ht="23.85" hidden="false" customHeight="false" outlineLevel="0" collapsed="false">
      <c r="A730" s="6" t="s">
        <v>1593</v>
      </c>
      <c r="B730" s="6" t="s">
        <v>96</v>
      </c>
      <c r="C730" s="6" t="s">
        <v>98</v>
      </c>
      <c r="D730" s="6" t="s">
        <v>1330</v>
      </c>
      <c r="E730" s="6"/>
      <c r="F730" s="6" t="s">
        <v>1341</v>
      </c>
      <c r="G730" s="6" t="s">
        <v>4415</v>
      </c>
      <c r="H730" s="6" t="s">
        <v>4422</v>
      </c>
      <c r="I730" s="6" t="n">
        <v>18</v>
      </c>
      <c r="J730" s="6"/>
      <c r="K730" s="6" t="s">
        <v>4417</v>
      </c>
      <c r="L730" s="7"/>
      <c r="M730" s="7"/>
    </row>
    <row r="731" customFormat="false" ht="23.85" hidden="false" customHeight="false" outlineLevel="0" collapsed="false">
      <c r="A731" s="6" t="s">
        <v>1596</v>
      </c>
      <c r="B731" s="6" t="s">
        <v>96</v>
      </c>
      <c r="C731" s="6" t="s">
        <v>98</v>
      </c>
      <c r="D731" s="6" t="s">
        <v>1330</v>
      </c>
      <c r="E731" s="6"/>
      <c r="F731" s="6" t="s">
        <v>1347</v>
      </c>
      <c r="G731" s="6" t="s">
        <v>4406</v>
      </c>
      <c r="H731" s="6" t="s">
        <v>4423</v>
      </c>
      <c r="I731" s="6" t="n">
        <v>96</v>
      </c>
      <c r="J731" s="6" t="s">
        <v>83</v>
      </c>
      <c r="K731" s="6" t="s">
        <v>4486</v>
      </c>
      <c r="L731" s="7"/>
      <c r="M731" s="7"/>
    </row>
    <row r="732" customFormat="false" ht="23.85" hidden="false" customHeight="false" outlineLevel="0" collapsed="false">
      <c r="A732" s="6" t="s">
        <v>1596</v>
      </c>
      <c r="B732" s="6" t="s">
        <v>96</v>
      </c>
      <c r="C732" s="6" t="s">
        <v>98</v>
      </c>
      <c r="D732" s="6" t="s">
        <v>1330</v>
      </c>
      <c r="E732" s="6"/>
      <c r="F732" s="6" t="s">
        <v>1347</v>
      </c>
      <c r="G732" s="6" t="s">
        <v>4409</v>
      </c>
      <c r="H732" s="6" t="s">
        <v>4424</v>
      </c>
      <c r="I732" s="6" t="n">
        <v>58</v>
      </c>
      <c r="J732" s="6"/>
      <c r="K732" s="6" t="s">
        <v>4411</v>
      </c>
      <c r="L732" s="7"/>
      <c r="M732" s="7"/>
    </row>
    <row r="733" customFormat="false" ht="23.85" hidden="false" customHeight="false" outlineLevel="0" collapsed="false">
      <c r="A733" s="6" t="s">
        <v>1596</v>
      </c>
      <c r="B733" s="6" t="s">
        <v>96</v>
      </c>
      <c r="C733" s="6" t="s">
        <v>98</v>
      </c>
      <c r="D733" s="6" t="s">
        <v>1330</v>
      </c>
      <c r="E733" s="6"/>
      <c r="F733" s="6" t="s">
        <v>1347</v>
      </c>
      <c r="G733" s="6" t="s">
        <v>4412</v>
      </c>
      <c r="H733" s="6" t="s">
        <v>4425</v>
      </c>
      <c r="I733" s="6" t="n">
        <v>28</v>
      </c>
      <c r="J733" s="6"/>
      <c r="K733" s="6" t="s">
        <v>4414</v>
      </c>
      <c r="L733" s="7"/>
      <c r="M733" s="7"/>
    </row>
    <row r="734" customFormat="false" ht="23.85" hidden="false" customHeight="false" outlineLevel="0" collapsed="false">
      <c r="A734" s="6" t="s">
        <v>1596</v>
      </c>
      <c r="B734" s="6" t="s">
        <v>96</v>
      </c>
      <c r="C734" s="6" t="s">
        <v>98</v>
      </c>
      <c r="D734" s="6" t="s">
        <v>1330</v>
      </c>
      <c r="E734" s="6"/>
      <c r="F734" s="6" t="s">
        <v>1347</v>
      </c>
      <c r="G734" s="6" t="s">
        <v>4415</v>
      </c>
      <c r="H734" s="6" t="s">
        <v>4426</v>
      </c>
      <c r="I734" s="6" t="n">
        <v>18</v>
      </c>
      <c r="J734" s="6"/>
      <c r="K734" s="6" t="s">
        <v>4417</v>
      </c>
      <c r="L734" s="7"/>
      <c r="M734" s="7"/>
    </row>
    <row r="735" customFormat="false" ht="35.05" hidden="false" customHeight="false" outlineLevel="0" collapsed="false">
      <c r="A735" s="6" t="s">
        <v>1598</v>
      </c>
      <c r="B735" s="6" t="s">
        <v>96</v>
      </c>
      <c r="C735" s="6" t="s">
        <v>165</v>
      </c>
      <c r="D735" s="6" t="s">
        <v>1330</v>
      </c>
      <c r="E735" s="6"/>
      <c r="F735" s="6" t="s">
        <v>1352</v>
      </c>
      <c r="G735" s="6" t="s">
        <v>4406</v>
      </c>
      <c r="H735" s="6" t="s">
        <v>4427</v>
      </c>
      <c r="I735" s="6" t="n">
        <v>96</v>
      </c>
      <c r="J735" s="6" t="s">
        <v>83</v>
      </c>
      <c r="K735" s="6" t="s">
        <v>4487</v>
      </c>
      <c r="L735" s="7"/>
      <c r="M735" s="7"/>
    </row>
    <row r="736" customFormat="false" ht="35.05" hidden="false" customHeight="false" outlineLevel="0" collapsed="false">
      <c r="A736" s="6" t="s">
        <v>1598</v>
      </c>
      <c r="B736" s="6" t="s">
        <v>96</v>
      </c>
      <c r="C736" s="6" t="s">
        <v>165</v>
      </c>
      <c r="D736" s="6" t="s">
        <v>1330</v>
      </c>
      <c r="E736" s="6"/>
      <c r="F736" s="6" t="s">
        <v>1352</v>
      </c>
      <c r="G736" s="6" t="s">
        <v>4409</v>
      </c>
      <c r="H736" s="6" t="s">
        <v>4429</v>
      </c>
      <c r="I736" s="6" t="n">
        <v>62</v>
      </c>
      <c r="J736" s="6"/>
      <c r="K736" s="6" t="s">
        <v>4411</v>
      </c>
      <c r="L736" s="7"/>
      <c r="M736" s="7"/>
    </row>
    <row r="737" customFormat="false" ht="35.05" hidden="false" customHeight="false" outlineLevel="0" collapsed="false">
      <c r="A737" s="6" t="s">
        <v>1598</v>
      </c>
      <c r="B737" s="6" t="s">
        <v>96</v>
      </c>
      <c r="C737" s="6" t="s">
        <v>165</v>
      </c>
      <c r="D737" s="6" t="s">
        <v>1330</v>
      </c>
      <c r="E737" s="6"/>
      <c r="F737" s="6" t="s">
        <v>1352</v>
      </c>
      <c r="G737" s="6" t="s">
        <v>4412</v>
      </c>
      <c r="H737" s="6" t="s">
        <v>4430</v>
      </c>
      <c r="I737" s="6" t="n">
        <v>28</v>
      </c>
      <c r="J737" s="6"/>
      <c r="K737" s="6" t="s">
        <v>4414</v>
      </c>
      <c r="L737" s="7"/>
      <c r="M737" s="7"/>
    </row>
    <row r="738" customFormat="false" ht="35.05" hidden="false" customHeight="false" outlineLevel="0" collapsed="false">
      <c r="A738" s="6" t="s">
        <v>1598</v>
      </c>
      <c r="B738" s="6" t="s">
        <v>96</v>
      </c>
      <c r="C738" s="6" t="s">
        <v>165</v>
      </c>
      <c r="D738" s="6" t="s">
        <v>1330</v>
      </c>
      <c r="E738" s="6"/>
      <c r="F738" s="6" t="s">
        <v>1352</v>
      </c>
      <c r="G738" s="6" t="s">
        <v>4415</v>
      </c>
      <c r="H738" s="6" t="s">
        <v>4431</v>
      </c>
      <c r="I738" s="6" t="n">
        <v>18</v>
      </c>
      <c r="J738" s="6"/>
      <c r="K738" s="6" t="s">
        <v>4417</v>
      </c>
      <c r="L738" s="7"/>
      <c r="M738" s="7"/>
    </row>
    <row r="739" customFormat="false" ht="35.05" hidden="false" customHeight="false" outlineLevel="0" collapsed="false">
      <c r="A739" s="6" t="s">
        <v>1601</v>
      </c>
      <c r="B739" s="6" t="s">
        <v>96</v>
      </c>
      <c r="C739" s="6" t="s">
        <v>165</v>
      </c>
      <c r="D739" s="6" t="s">
        <v>1330</v>
      </c>
      <c r="E739" s="6"/>
      <c r="F739" s="6" t="s">
        <v>1358</v>
      </c>
      <c r="G739" s="6" t="s">
        <v>4406</v>
      </c>
      <c r="H739" s="6" t="s">
        <v>4432</v>
      </c>
      <c r="I739" s="6" t="n">
        <v>96</v>
      </c>
      <c r="J739" s="6" t="s">
        <v>83</v>
      </c>
      <c r="K739" s="6" t="s">
        <v>4487</v>
      </c>
      <c r="L739" s="7"/>
      <c r="M739" s="7"/>
    </row>
    <row r="740" customFormat="false" ht="35.05" hidden="false" customHeight="false" outlineLevel="0" collapsed="false">
      <c r="A740" s="6" t="s">
        <v>1601</v>
      </c>
      <c r="B740" s="6" t="s">
        <v>96</v>
      </c>
      <c r="C740" s="6" t="s">
        <v>165</v>
      </c>
      <c r="D740" s="6" t="s">
        <v>1330</v>
      </c>
      <c r="E740" s="6"/>
      <c r="F740" s="6" t="s">
        <v>1358</v>
      </c>
      <c r="G740" s="6" t="s">
        <v>4409</v>
      </c>
      <c r="H740" s="6" t="s">
        <v>4433</v>
      </c>
      <c r="I740" s="6" t="n">
        <v>62</v>
      </c>
      <c r="J740" s="6"/>
      <c r="K740" s="6" t="s">
        <v>4411</v>
      </c>
      <c r="L740" s="7"/>
      <c r="M740" s="7"/>
    </row>
    <row r="741" customFormat="false" ht="35.05" hidden="false" customHeight="false" outlineLevel="0" collapsed="false">
      <c r="A741" s="6" t="s">
        <v>1601</v>
      </c>
      <c r="B741" s="6" t="s">
        <v>96</v>
      </c>
      <c r="C741" s="6" t="s">
        <v>165</v>
      </c>
      <c r="D741" s="6" t="s">
        <v>1330</v>
      </c>
      <c r="E741" s="6"/>
      <c r="F741" s="6" t="s">
        <v>1358</v>
      </c>
      <c r="G741" s="6" t="s">
        <v>4412</v>
      </c>
      <c r="H741" s="6" t="s">
        <v>4434</v>
      </c>
      <c r="I741" s="6" t="n">
        <v>28</v>
      </c>
      <c r="J741" s="6"/>
      <c r="K741" s="6" t="s">
        <v>4414</v>
      </c>
      <c r="L741" s="7"/>
      <c r="M741" s="7"/>
    </row>
    <row r="742" customFormat="false" ht="35.05" hidden="false" customHeight="false" outlineLevel="0" collapsed="false">
      <c r="A742" s="6" t="s">
        <v>1601</v>
      </c>
      <c r="B742" s="6" t="s">
        <v>96</v>
      </c>
      <c r="C742" s="6" t="s">
        <v>165</v>
      </c>
      <c r="D742" s="6" t="s">
        <v>1330</v>
      </c>
      <c r="E742" s="6"/>
      <c r="F742" s="6" t="s">
        <v>1358</v>
      </c>
      <c r="G742" s="6" t="s">
        <v>4415</v>
      </c>
      <c r="H742" s="6" t="s">
        <v>4435</v>
      </c>
      <c r="I742" s="6" t="n">
        <v>18</v>
      </c>
      <c r="J742" s="6"/>
      <c r="K742" s="6" t="s">
        <v>4417</v>
      </c>
      <c r="L742" s="7"/>
      <c r="M742" s="7"/>
    </row>
    <row r="743" customFormat="false" ht="35.05" hidden="false" customHeight="false" outlineLevel="0" collapsed="false">
      <c r="A743" s="6" t="s">
        <v>1603</v>
      </c>
      <c r="B743" s="6" t="s">
        <v>96</v>
      </c>
      <c r="C743" s="6" t="s">
        <v>1362</v>
      </c>
      <c r="D743" s="6" t="s">
        <v>1330</v>
      </c>
      <c r="E743" s="6"/>
      <c r="F743" s="6" t="s">
        <v>1364</v>
      </c>
      <c r="G743" s="6" t="s">
        <v>4406</v>
      </c>
      <c r="H743" s="6" t="s">
        <v>4436</v>
      </c>
      <c r="I743" s="6" t="n">
        <v>96</v>
      </c>
      <c r="J743" s="6" t="s">
        <v>83</v>
      </c>
      <c r="K743" s="6" t="s">
        <v>4488</v>
      </c>
      <c r="L743" s="7"/>
      <c r="M743" s="7"/>
    </row>
    <row r="744" customFormat="false" ht="35.05" hidden="false" customHeight="false" outlineLevel="0" collapsed="false">
      <c r="A744" s="6" t="s">
        <v>1603</v>
      </c>
      <c r="B744" s="6" t="s">
        <v>96</v>
      </c>
      <c r="C744" s="6" t="s">
        <v>1362</v>
      </c>
      <c r="D744" s="6" t="s">
        <v>1330</v>
      </c>
      <c r="E744" s="6"/>
      <c r="F744" s="6" t="s">
        <v>1364</v>
      </c>
      <c r="G744" s="6" t="s">
        <v>4409</v>
      </c>
      <c r="H744" s="6" t="s">
        <v>4438</v>
      </c>
      <c r="I744" s="6" t="n">
        <v>62</v>
      </c>
      <c r="J744" s="6"/>
      <c r="K744" s="6" t="s">
        <v>4411</v>
      </c>
      <c r="L744" s="7"/>
      <c r="M744" s="7"/>
    </row>
    <row r="745" customFormat="false" ht="35.05" hidden="false" customHeight="false" outlineLevel="0" collapsed="false">
      <c r="A745" s="6" t="s">
        <v>1603</v>
      </c>
      <c r="B745" s="6" t="s">
        <v>96</v>
      </c>
      <c r="C745" s="6" t="s">
        <v>1362</v>
      </c>
      <c r="D745" s="6" t="s">
        <v>1330</v>
      </c>
      <c r="E745" s="6"/>
      <c r="F745" s="6" t="s">
        <v>1364</v>
      </c>
      <c r="G745" s="6" t="s">
        <v>4412</v>
      </c>
      <c r="H745" s="6" t="s">
        <v>4439</v>
      </c>
      <c r="I745" s="6" t="n">
        <v>28</v>
      </c>
      <c r="J745" s="6"/>
      <c r="K745" s="6" t="s">
        <v>4414</v>
      </c>
      <c r="L745" s="7"/>
      <c r="M745" s="7"/>
    </row>
    <row r="746" customFormat="false" ht="35.05" hidden="false" customHeight="false" outlineLevel="0" collapsed="false">
      <c r="A746" s="6" t="s">
        <v>1603</v>
      </c>
      <c r="B746" s="6" t="s">
        <v>96</v>
      </c>
      <c r="C746" s="6" t="s">
        <v>1362</v>
      </c>
      <c r="D746" s="6" t="s">
        <v>1330</v>
      </c>
      <c r="E746" s="6"/>
      <c r="F746" s="6" t="s">
        <v>1364</v>
      </c>
      <c r="G746" s="6" t="s">
        <v>4415</v>
      </c>
      <c r="H746" s="6" t="s">
        <v>4440</v>
      </c>
      <c r="I746" s="6" t="n">
        <v>18</v>
      </c>
      <c r="J746" s="6"/>
      <c r="K746" s="6" t="s">
        <v>4417</v>
      </c>
      <c r="L746" s="7"/>
      <c r="M746" s="7"/>
    </row>
    <row r="747" customFormat="false" ht="35.05" hidden="false" customHeight="false" outlineLevel="0" collapsed="false">
      <c r="A747" s="6" t="s">
        <v>1606</v>
      </c>
      <c r="B747" s="6" t="s">
        <v>96</v>
      </c>
      <c r="C747" s="6" t="s">
        <v>1362</v>
      </c>
      <c r="D747" s="6" t="s">
        <v>1330</v>
      </c>
      <c r="E747" s="6"/>
      <c r="F747" s="6" t="s">
        <v>1370</v>
      </c>
      <c r="G747" s="6" t="s">
        <v>4406</v>
      </c>
      <c r="H747" s="6" t="s">
        <v>4441</v>
      </c>
      <c r="I747" s="6" t="n">
        <v>96</v>
      </c>
      <c r="J747" s="6" t="s">
        <v>83</v>
      </c>
      <c r="K747" s="6" t="s">
        <v>4488</v>
      </c>
      <c r="L747" s="7"/>
      <c r="M747" s="7"/>
    </row>
    <row r="748" customFormat="false" ht="35.05" hidden="false" customHeight="false" outlineLevel="0" collapsed="false">
      <c r="A748" s="6" t="s">
        <v>1606</v>
      </c>
      <c r="B748" s="6" t="s">
        <v>96</v>
      </c>
      <c r="C748" s="6" t="s">
        <v>1362</v>
      </c>
      <c r="D748" s="6" t="s">
        <v>1330</v>
      </c>
      <c r="E748" s="6"/>
      <c r="F748" s="6" t="s">
        <v>1370</v>
      </c>
      <c r="G748" s="6" t="s">
        <v>4409</v>
      </c>
      <c r="H748" s="6" t="s">
        <v>4442</v>
      </c>
      <c r="I748" s="6" t="n">
        <v>62</v>
      </c>
      <c r="J748" s="6"/>
      <c r="K748" s="6" t="s">
        <v>4411</v>
      </c>
      <c r="L748" s="7"/>
      <c r="M748" s="7"/>
    </row>
    <row r="749" customFormat="false" ht="35.05" hidden="false" customHeight="false" outlineLevel="0" collapsed="false">
      <c r="A749" s="6" t="s">
        <v>1606</v>
      </c>
      <c r="B749" s="6" t="s">
        <v>96</v>
      </c>
      <c r="C749" s="6" t="s">
        <v>1362</v>
      </c>
      <c r="D749" s="6" t="s">
        <v>1330</v>
      </c>
      <c r="E749" s="6"/>
      <c r="F749" s="6" t="s">
        <v>1370</v>
      </c>
      <c r="G749" s="6" t="s">
        <v>4412</v>
      </c>
      <c r="H749" s="6" t="s">
        <v>4443</v>
      </c>
      <c r="I749" s="6" t="n">
        <v>28</v>
      </c>
      <c r="J749" s="6"/>
      <c r="K749" s="6" t="s">
        <v>4414</v>
      </c>
      <c r="L749" s="7"/>
      <c r="M749" s="7"/>
    </row>
    <row r="750" customFormat="false" ht="35.05" hidden="false" customHeight="false" outlineLevel="0" collapsed="false">
      <c r="A750" s="6" t="s">
        <v>1606</v>
      </c>
      <c r="B750" s="6" t="s">
        <v>96</v>
      </c>
      <c r="C750" s="6" t="s">
        <v>1362</v>
      </c>
      <c r="D750" s="6" t="s">
        <v>1330</v>
      </c>
      <c r="E750" s="6"/>
      <c r="F750" s="6" t="s">
        <v>1370</v>
      </c>
      <c r="G750" s="6" t="s">
        <v>4415</v>
      </c>
      <c r="H750" s="6" t="s">
        <v>4444</v>
      </c>
      <c r="I750" s="6" t="n">
        <v>18</v>
      </c>
      <c r="J750" s="6"/>
      <c r="K750" s="6" t="s">
        <v>4417</v>
      </c>
      <c r="L750" s="7"/>
      <c r="M750" s="7"/>
    </row>
    <row r="751" customFormat="false" ht="35.05" hidden="false" customHeight="false" outlineLevel="0" collapsed="false">
      <c r="A751" s="6" t="s">
        <v>1608</v>
      </c>
      <c r="B751" s="6" t="s">
        <v>110</v>
      </c>
      <c r="C751" s="6" t="s">
        <v>79</v>
      </c>
      <c r="D751" s="6" t="s">
        <v>1330</v>
      </c>
      <c r="E751" s="6"/>
      <c r="F751" s="6" t="s">
        <v>1335</v>
      </c>
      <c r="G751" s="6" t="s">
        <v>4406</v>
      </c>
      <c r="H751" s="6" t="s">
        <v>4407</v>
      </c>
      <c r="I751" s="6" t="n">
        <v>96</v>
      </c>
      <c r="J751" s="6" t="s">
        <v>83</v>
      </c>
      <c r="K751" s="6" t="s">
        <v>4489</v>
      </c>
      <c r="L751" s="7"/>
      <c r="M751" s="7"/>
    </row>
    <row r="752" customFormat="false" ht="35.05" hidden="false" customHeight="false" outlineLevel="0" collapsed="false">
      <c r="A752" s="6" t="s">
        <v>1608</v>
      </c>
      <c r="B752" s="6" t="s">
        <v>110</v>
      </c>
      <c r="C752" s="6" t="s">
        <v>79</v>
      </c>
      <c r="D752" s="6" t="s">
        <v>1330</v>
      </c>
      <c r="E752" s="6"/>
      <c r="F752" s="6" t="s">
        <v>1335</v>
      </c>
      <c r="G752" s="6" t="s">
        <v>4409</v>
      </c>
      <c r="H752" s="6" t="s">
        <v>4410</v>
      </c>
      <c r="I752" s="6" t="n">
        <v>60</v>
      </c>
      <c r="J752" s="6"/>
      <c r="K752" s="6" t="s">
        <v>4411</v>
      </c>
      <c r="L752" s="7"/>
      <c r="M752" s="7"/>
    </row>
    <row r="753" customFormat="false" ht="35.05" hidden="false" customHeight="false" outlineLevel="0" collapsed="false">
      <c r="A753" s="6" t="s">
        <v>1608</v>
      </c>
      <c r="B753" s="6" t="s">
        <v>110</v>
      </c>
      <c r="C753" s="6" t="s">
        <v>79</v>
      </c>
      <c r="D753" s="6" t="s">
        <v>1330</v>
      </c>
      <c r="E753" s="6"/>
      <c r="F753" s="6" t="s">
        <v>1335</v>
      </c>
      <c r="G753" s="6" t="s">
        <v>4412</v>
      </c>
      <c r="H753" s="6" t="s">
        <v>4413</v>
      </c>
      <c r="I753" s="6" t="n">
        <v>28</v>
      </c>
      <c r="J753" s="6"/>
      <c r="K753" s="6" t="s">
        <v>4414</v>
      </c>
      <c r="L753" s="7"/>
      <c r="M753" s="7"/>
    </row>
    <row r="754" customFormat="false" ht="35.05" hidden="false" customHeight="false" outlineLevel="0" collapsed="false">
      <c r="A754" s="6" t="s">
        <v>1608</v>
      </c>
      <c r="B754" s="6" t="s">
        <v>110</v>
      </c>
      <c r="C754" s="6" t="s">
        <v>79</v>
      </c>
      <c r="D754" s="6" t="s">
        <v>1330</v>
      </c>
      <c r="E754" s="6"/>
      <c r="F754" s="6" t="s">
        <v>1335</v>
      </c>
      <c r="G754" s="6" t="s">
        <v>4415</v>
      </c>
      <c r="H754" s="6" t="s">
        <v>4416</v>
      </c>
      <c r="I754" s="6" t="n">
        <v>18</v>
      </c>
      <c r="J754" s="6"/>
      <c r="K754" s="6" t="s">
        <v>4417</v>
      </c>
      <c r="L754" s="7"/>
      <c r="M754" s="7"/>
    </row>
    <row r="755" customFormat="false" ht="23.85" hidden="false" customHeight="false" outlineLevel="0" collapsed="false">
      <c r="A755" s="6" t="s">
        <v>1615</v>
      </c>
      <c r="B755" s="6" t="s">
        <v>110</v>
      </c>
      <c r="C755" s="6" t="s">
        <v>98</v>
      </c>
      <c r="D755" s="6" t="s">
        <v>1330</v>
      </c>
      <c r="E755" s="6"/>
      <c r="F755" s="6" t="s">
        <v>1341</v>
      </c>
      <c r="G755" s="6" t="s">
        <v>4406</v>
      </c>
      <c r="H755" s="6" t="s">
        <v>4418</v>
      </c>
      <c r="I755" s="6" t="n">
        <v>96</v>
      </c>
      <c r="J755" s="6" t="s">
        <v>83</v>
      </c>
      <c r="K755" s="6" t="s">
        <v>4490</v>
      </c>
      <c r="L755" s="7"/>
      <c r="M755" s="7"/>
    </row>
    <row r="756" customFormat="false" ht="23.85" hidden="false" customHeight="false" outlineLevel="0" collapsed="false">
      <c r="A756" s="6" t="s">
        <v>1615</v>
      </c>
      <c r="B756" s="6" t="s">
        <v>110</v>
      </c>
      <c r="C756" s="6" t="s">
        <v>98</v>
      </c>
      <c r="D756" s="6" t="s">
        <v>1330</v>
      </c>
      <c r="E756" s="6"/>
      <c r="F756" s="6" t="s">
        <v>1341</v>
      </c>
      <c r="G756" s="6" t="s">
        <v>4409</v>
      </c>
      <c r="H756" s="6" t="s">
        <v>4420</v>
      </c>
      <c r="I756" s="6" t="n">
        <v>58</v>
      </c>
      <c r="J756" s="6"/>
      <c r="K756" s="6" t="s">
        <v>4411</v>
      </c>
      <c r="L756" s="7"/>
      <c r="M756" s="7"/>
    </row>
    <row r="757" customFormat="false" ht="23.85" hidden="false" customHeight="false" outlineLevel="0" collapsed="false">
      <c r="A757" s="6" t="s">
        <v>1615</v>
      </c>
      <c r="B757" s="6" t="s">
        <v>110</v>
      </c>
      <c r="C757" s="6" t="s">
        <v>98</v>
      </c>
      <c r="D757" s="6" t="s">
        <v>1330</v>
      </c>
      <c r="E757" s="6"/>
      <c r="F757" s="6" t="s">
        <v>1341</v>
      </c>
      <c r="G757" s="6" t="s">
        <v>4412</v>
      </c>
      <c r="H757" s="6" t="s">
        <v>4421</v>
      </c>
      <c r="I757" s="6" t="n">
        <v>28</v>
      </c>
      <c r="J757" s="6"/>
      <c r="K757" s="6" t="s">
        <v>4414</v>
      </c>
      <c r="L757" s="7"/>
      <c r="M757" s="7"/>
    </row>
    <row r="758" customFormat="false" ht="23.85" hidden="false" customHeight="false" outlineLevel="0" collapsed="false">
      <c r="A758" s="6" t="s">
        <v>1615</v>
      </c>
      <c r="B758" s="6" t="s">
        <v>110</v>
      </c>
      <c r="C758" s="6" t="s">
        <v>98</v>
      </c>
      <c r="D758" s="6" t="s">
        <v>1330</v>
      </c>
      <c r="E758" s="6"/>
      <c r="F758" s="6" t="s">
        <v>1341</v>
      </c>
      <c r="G758" s="6" t="s">
        <v>4415</v>
      </c>
      <c r="H758" s="6" t="s">
        <v>4422</v>
      </c>
      <c r="I758" s="6" t="n">
        <v>18</v>
      </c>
      <c r="J758" s="6"/>
      <c r="K758" s="6" t="s">
        <v>4417</v>
      </c>
      <c r="L758" s="7"/>
      <c r="M758" s="7"/>
    </row>
    <row r="759" customFormat="false" ht="23.85" hidden="false" customHeight="false" outlineLevel="0" collapsed="false">
      <c r="A759" s="6" t="s">
        <v>1618</v>
      </c>
      <c r="B759" s="6" t="s">
        <v>110</v>
      </c>
      <c r="C759" s="6" t="s">
        <v>98</v>
      </c>
      <c r="D759" s="6" t="s">
        <v>1330</v>
      </c>
      <c r="E759" s="6"/>
      <c r="F759" s="6" t="s">
        <v>1347</v>
      </c>
      <c r="G759" s="6" t="s">
        <v>4406</v>
      </c>
      <c r="H759" s="6" t="s">
        <v>4423</v>
      </c>
      <c r="I759" s="6" t="n">
        <v>96</v>
      </c>
      <c r="J759" s="6" t="s">
        <v>83</v>
      </c>
      <c r="K759" s="6" t="s">
        <v>4490</v>
      </c>
      <c r="L759" s="7"/>
      <c r="M759" s="7"/>
    </row>
    <row r="760" customFormat="false" ht="23.85" hidden="false" customHeight="false" outlineLevel="0" collapsed="false">
      <c r="A760" s="6" t="s">
        <v>1618</v>
      </c>
      <c r="B760" s="6" t="s">
        <v>110</v>
      </c>
      <c r="C760" s="6" t="s">
        <v>98</v>
      </c>
      <c r="D760" s="6" t="s">
        <v>1330</v>
      </c>
      <c r="E760" s="6"/>
      <c r="F760" s="6" t="s">
        <v>1347</v>
      </c>
      <c r="G760" s="6" t="s">
        <v>4409</v>
      </c>
      <c r="H760" s="6" t="s">
        <v>4424</v>
      </c>
      <c r="I760" s="6" t="n">
        <v>58</v>
      </c>
      <c r="J760" s="6"/>
      <c r="K760" s="6" t="s">
        <v>4411</v>
      </c>
      <c r="L760" s="7"/>
      <c r="M760" s="7"/>
    </row>
    <row r="761" customFormat="false" ht="23.85" hidden="false" customHeight="false" outlineLevel="0" collapsed="false">
      <c r="A761" s="6" t="s">
        <v>1618</v>
      </c>
      <c r="B761" s="6" t="s">
        <v>110</v>
      </c>
      <c r="C761" s="6" t="s">
        <v>98</v>
      </c>
      <c r="D761" s="6" t="s">
        <v>1330</v>
      </c>
      <c r="E761" s="6"/>
      <c r="F761" s="6" t="s">
        <v>1347</v>
      </c>
      <c r="G761" s="6" t="s">
        <v>4412</v>
      </c>
      <c r="H761" s="6" t="s">
        <v>4425</v>
      </c>
      <c r="I761" s="6" t="n">
        <v>28</v>
      </c>
      <c r="J761" s="6"/>
      <c r="K761" s="6" t="s">
        <v>4414</v>
      </c>
      <c r="L761" s="7"/>
      <c r="M761" s="7"/>
    </row>
    <row r="762" customFormat="false" ht="23.85" hidden="false" customHeight="false" outlineLevel="0" collapsed="false">
      <c r="A762" s="6" t="s">
        <v>1618</v>
      </c>
      <c r="B762" s="6" t="s">
        <v>110</v>
      </c>
      <c r="C762" s="6" t="s">
        <v>98</v>
      </c>
      <c r="D762" s="6" t="s">
        <v>1330</v>
      </c>
      <c r="E762" s="6"/>
      <c r="F762" s="6" t="s">
        <v>1347</v>
      </c>
      <c r="G762" s="6" t="s">
        <v>4415</v>
      </c>
      <c r="H762" s="6" t="s">
        <v>4426</v>
      </c>
      <c r="I762" s="6" t="n">
        <v>18</v>
      </c>
      <c r="J762" s="6"/>
      <c r="K762" s="6" t="s">
        <v>4417</v>
      </c>
      <c r="L762" s="7"/>
      <c r="M762" s="7"/>
    </row>
    <row r="763" customFormat="false" ht="35.05" hidden="false" customHeight="false" outlineLevel="0" collapsed="false">
      <c r="A763" s="6" t="s">
        <v>1620</v>
      </c>
      <c r="B763" s="6" t="s">
        <v>110</v>
      </c>
      <c r="C763" s="6" t="s">
        <v>165</v>
      </c>
      <c r="D763" s="6" t="s">
        <v>1330</v>
      </c>
      <c r="E763" s="6"/>
      <c r="F763" s="6" t="s">
        <v>1352</v>
      </c>
      <c r="G763" s="6" t="s">
        <v>4406</v>
      </c>
      <c r="H763" s="6" t="s">
        <v>4427</v>
      </c>
      <c r="I763" s="6" t="n">
        <v>96</v>
      </c>
      <c r="J763" s="6" t="s">
        <v>83</v>
      </c>
      <c r="K763" s="6" t="s">
        <v>4491</v>
      </c>
      <c r="L763" s="7"/>
      <c r="M763" s="7"/>
    </row>
    <row r="764" customFormat="false" ht="35.05" hidden="false" customHeight="false" outlineLevel="0" collapsed="false">
      <c r="A764" s="6" t="s">
        <v>1620</v>
      </c>
      <c r="B764" s="6" t="s">
        <v>110</v>
      </c>
      <c r="C764" s="6" t="s">
        <v>165</v>
      </c>
      <c r="D764" s="6" t="s">
        <v>1330</v>
      </c>
      <c r="E764" s="6"/>
      <c r="F764" s="6" t="s">
        <v>1352</v>
      </c>
      <c r="G764" s="6" t="s">
        <v>4409</v>
      </c>
      <c r="H764" s="6" t="s">
        <v>4429</v>
      </c>
      <c r="I764" s="6" t="n">
        <v>62</v>
      </c>
      <c r="J764" s="6"/>
      <c r="K764" s="6" t="s">
        <v>4411</v>
      </c>
      <c r="L764" s="7"/>
      <c r="M764" s="7"/>
    </row>
    <row r="765" customFormat="false" ht="35.05" hidden="false" customHeight="false" outlineLevel="0" collapsed="false">
      <c r="A765" s="6" t="s">
        <v>1620</v>
      </c>
      <c r="B765" s="6" t="s">
        <v>110</v>
      </c>
      <c r="C765" s="6" t="s">
        <v>165</v>
      </c>
      <c r="D765" s="6" t="s">
        <v>1330</v>
      </c>
      <c r="E765" s="6"/>
      <c r="F765" s="6" t="s">
        <v>1352</v>
      </c>
      <c r="G765" s="6" t="s">
        <v>4412</v>
      </c>
      <c r="H765" s="6" t="s">
        <v>4430</v>
      </c>
      <c r="I765" s="6" t="n">
        <v>28</v>
      </c>
      <c r="J765" s="6"/>
      <c r="K765" s="6" t="s">
        <v>4414</v>
      </c>
      <c r="L765" s="7"/>
      <c r="M765" s="7"/>
    </row>
    <row r="766" customFormat="false" ht="35.05" hidden="false" customHeight="false" outlineLevel="0" collapsed="false">
      <c r="A766" s="6" t="s">
        <v>1620</v>
      </c>
      <c r="B766" s="6" t="s">
        <v>110</v>
      </c>
      <c r="C766" s="6" t="s">
        <v>165</v>
      </c>
      <c r="D766" s="6" t="s">
        <v>1330</v>
      </c>
      <c r="E766" s="6"/>
      <c r="F766" s="6" t="s">
        <v>1352</v>
      </c>
      <c r="G766" s="6" t="s">
        <v>4415</v>
      </c>
      <c r="H766" s="6" t="s">
        <v>4431</v>
      </c>
      <c r="I766" s="6" t="n">
        <v>18</v>
      </c>
      <c r="J766" s="6"/>
      <c r="K766" s="6" t="s">
        <v>4417</v>
      </c>
      <c r="L766" s="7"/>
      <c r="M766" s="7"/>
    </row>
    <row r="767" customFormat="false" ht="35.05" hidden="false" customHeight="false" outlineLevel="0" collapsed="false">
      <c r="A767" s="6" t="s">
        <v>1623</v>
      </c>
      <c r="B767" s="6" t="s">
        <v>110</v>
      </c>
      <c r="C767" s="6" t="s">
        <v>165</v>
      </c>
      <c r="D767" s="6" t="s">
        <v>1330</v>
      </c>
      <c r="E767" s="6"/>
      <c r="F767" s="6" t="s">
        <v>1358</v>
      </c>
      <c r="G767" s="6" t="s">
        <v>4406</v>
      </c>
      <c r="H767" s="6" t="s">
        <v>4432</v>
      </c>
      <c r="I767" s="6" t="n">
        <v>96</v>
      </c>
      <c r="J767" s="6" t="s">
        <v>83</v>
      </c>
      <c r="K767" s="6" t="s">
        <v>4491</v>
      </c>
      <c r="L767" s="7"/>
      <c r="M767" s="7"/>
    </row>
    <row r="768" customFormat="false" ht="35.05" hidden="false" customHeight="false" outlineLevel="0" collapsed="false">
      <c r="A768" s="6" t="s">
        <v>1623</v>
      </c>
      <c r="B768" s="6" t="s">
        <v>110</v>
      </c>
      <c r="C768" s="6" t="s">
        <v>165</v>
      </c>
      <c r="D768" s="6" t="s">
        <v>1330</v>
      </c>
      <c r="E768" s="6"/>
      <c r="F768" s="6" t="s">
        <v>1358</v>
      </c>
      <c r="G768" s="6" t="s">
        <v>4409</v>
      </c>
      <c r="H768" s="6" t="s">
        <v>4433</v>
      </c>
      <c r="I768" s="6" t="n">
        <v>62</v>
      </c>
      <c r="J768" s="6"/>
      <c r="K768" s="6" t="s">
        <v>4411</v>
      </c>
      <c r="L768" s="7"/>
      <c r="M768" s="7"/>
    </row>
    <row r="769" customFormat="false" ht="35.05" hidden="false" customHeight="false" outlineLevel="0" collapsed="false">
      <c r="A769" s="6" t="s">
        <v>1623</v>
      </c>
      <c r="B769" s="6" t="s">
        <v>110</v>
      </c>
      <c r="C769" s="6" t="s">
        <v>165</v>
      </c>
      <c r="D769" s="6" t="s">
        <v>1330</v>
      </c>
      <c r="E769" s="6"/>
      <c r="F769" s="6" t="s">
        <v>1358</v>
      </c>
      <c r="G769" s="6" t="s">
        <v>4412</v>
      </c>
      <c r="H769" s="6" t="s">
        <v>4434</v>
      </c>
      <c r="I769" s="6" t="n">
        <v>28</v>
      </c>
      <c r="J769" s="6"/>
      <c r="K769" s="6" t="s">
        <v>4414</v>
      </c>
      <c r="L769" s="7"/>
      <c r="M769" s="7"/>
    </row>
    <row r="770" customFormat="false" ht="35.05" hidden="false" customHeight="false" outlineLevel="0" collapsed="false">
      <c r="A770" s="6" t="s">
        <v>1623</v>
      </c>
      <c r="B770" s="6" t="s">
        <v>110</v>
      </c>
      <c r="C770" s="6" t="s">
        <v>165</v>
      </c>
      <c r="D770" s="6" t="s">
        <v>1330</v>
      </c>
      <c r="E770" s="6"/>
      <c r="F770" s="6" t="s">
        <v>1358</v>
      </c>
      <c r="G770" s="6" t="s">
        <v>4415</v>
      </c>
      <c r="H770" s="6" t="s">
        <v>4435</v>
      </c>
      <c r="I770" s="6" t="n">
        <v>18</v>
      </c>
      <c r="J770" s="6"/>
      <c r="K770" s="6" t="s">
        <v>4417</v>
      </c>
      <c r="L770" s="7"/>
      <c r="M770" s="7"/>
    </row>
    <row r="771" customFormat="false" ht="35.05" hidden="false" customHeight="false" outlineLevel="0" collapsed="false">
      <c r="A771" s="6" t="s">
        <v>1625</v>
      </c>
      <c r="B771" s="6" t="s">
        <v>110</v>
      </c>
      <c r="C771" s="6" t="s">
        <v>1362</v>
      </c>
      <c r="D771" s="6" t="s">
        <v>1330</v>
      </c>
      <c r="E771" s="6"/>
      <c r="F771" s="6" t="s">
        <v>1364</v>
      </c>
      <c r="G771" s="6" t="s">
        <v>4406</v>
      </c>
      <c r="H771" s="6" t="s">
        <v>4436</v>
      </c>
      <c r="I771" s="6" t="n">
        <v>96</v>
      </c>
      <c r="J771" s="6" t="s">
        <v>83</v>
      </c>
      <c r="K771" s="6" t="s">
        <v>4492</v>
      </c>
      <c r="L771" s="7"/>
      <c r="M771" s="7"/>
    </row>
    <row r="772" customFormat="false" ht="35.05" hidden="false" customHeight="false" outlineLevel="0" collapsed="false">
      <c r="A772" s="6" t="s">
        <v>1625</v>
      </c>
      <c r="B772" s="6" t="s">
        <v>110</v>
      </c>
      <c r="C772" s="6" t="s">
        <v>1362</v>
      </c>
      <c r="D772" s="6" t="s">
        <v>1330</v>
      </c>
      <c r="E772" s="6"/>
      <c r="F772" s="6" t="s">
        <v>1364</v>
      </c>
      <c r="G772" s="6" t="s">
        <v>4409</v>
      </c>
      <c r="H772" s="6" t="s">
        <v>4438</v>
      </c>
      <c r="I772" s="6" t="n">
        <v>62</v>
      </c>
      <c r="J772" s="6"/>
      <c r="K772" s="6" t="s">
        <v>4411</v>
      </c>
      <c r="L772" s="7"/>
      <c r="M772" s="7"/>
    </row>
    <row r="773" customFormat="false" ht="35.05" hidden="false" customHeight="false" outlineLevel="0" collapsed="false">
      <c r="A773" s="6" t="s">
        <v>1625</v>
      </c>
      <c r="B773" s="6" t="s">
        <v>110</v>
      </c>
      <c r="C773" s="6" t="s">
        <v>1362</v>
      </c>
      <c r="D773" s="6" t="s">
        <v>1330</v>
      </c>
      <c r="E773" s="6"/>
      <c r="F773" s="6" t="s">
        <v>1364</v>
      </c>
      <c r="G773" s="6" t="s">
        <v>4412</v>
      </c>
      <c r="H773" s="6" t="s">
        <v>4439</v>
      </c>
      <c r="I773" s="6" t="n">
        <v>28</v>
      </c>
      <c r="J773" s="6"/>
      <c r="K773" s="6" t="s">
        <v>4414</v>
      </c>
      <c r="L773" s="7"/>
      <c r="M773" s="7"/>
    </row>
    <row r="774" customFormat="false" ht="35.05" hidden="false" customHeight="false" outlineLevel="0" collapsed="false">
      <c r="A774" s="6" t="s">
        <v>1625</v>
      </c>
      <c r="B774" s="6" t="s">
        <v>110</v>
      </c>
      <c r="C774" s="6" t="s">
        <v>1362</v>
      </c>
      <c r="D774" s="6" t="s">
        <v>1330</v>
      </c>
      <c r="E774" s="6"/>
      <c r="F774" s="6" t="s">
        <v>1364</v>
      </c>
      <c r="G774" s="6" t="s">
        <v>4415</v>
      </c>
      <c r="H774" s="6" t="s">
        <v>4440</v>
      </c>
      <c r="I774" s="6" t="n">
        <v>18</v>
      </c>
      <c r="J774" s="6"/>
      <c r="K774" s="6" t="s">
        <v>4417</v>
      </c>
      <c r="L774" s="7"/>
      <c r="M774" s="7"/>
    </row>
    <row r="775" customFormat="false" ht="35.05" hidden="false" customHeight="false" outlineLevel="0" collapsed="false">
      <c r="A775" s="6" t="s">
        <v>1628</v>
      </c>
      <c r="B775" s="6" t="s">
        <v>110</v>
      </c>
      <c r="C775" s="6" t="s">
        <v>1362</v>
      </c>
      <c r="D775" s="6" t="s">
        <v>1330</v>
      </c>
      <c r="E775" s="6"/>
      <c r="F775" s="6" t="s">
        <v>1370</v>
      </c>
      <c r="G775" s="6" t="s">
        <v>4406</v>
      </c>
      <c r="H775" s="6" t="s">
        <v>4441</v>
      </c>
      <c r="I775" s="6" t="n">
        <v>96</v>
      </c>
      <c r="J775" s="6" t="s">
        <v>83</v>
      </c>
      <c r="K775" s="6" t="s">
        <v>4492</v>
      </c>
      <c r="L775" s="7"/>
      <c r="M775" s="7"/>
    </row>
    <row r="776" customFormat="false" ht="23.85" hidden="false" customHeight="false" outlineLevel="0" collapsed="false">
      <c r="A776" s="6" t="s">
        <v>1628</v>
      </c>
      <c r="B776" s="6" t="s">
        <v>110</v>
      </c>
      <c r="C776" s="6" t="s">
        <v>1362</v>
      </c>
      <c r="D776" s="6" t="s">
        <v>1330</v>
      </c>
      <c r="E776" s="6"/>
      <c r="F776" s="6" t="s">
        <v>1370</v>
      </c>
      <c r="G776" s="6" t="s">
        <v>4409</v>
      </c>
      <c r="H776" s="6" t="s">
        <v>4442</v>
      </c>
      <c r="I776" s="6" t="n">
        <v>62</v>
      </c>
      <c r="J776" s="6"/>
      <c r="K776" s="6" t="s">
        <v>4411</v>
      </c>
      <c r="L776" s="7"/>
      <c r="M776" s="7"/>
    </row>
    <row r="777" customFormat="false" ht="23.85" hidden="false" customHeight="false" outlineLevel="0" collapsed="false">
      <c r="A777" s="6" t="s">
        <v>1628</v>
      </c>
      <c r="B777" s="6" t="s">
        <v>110</v>
      </c>
      <c r="C777" s="6" t="s">
        <v>1362</v>
      </c>
      <c r="D777" s="6" t="s">
        <v>1330</v>
      </c>
      <c r="E777" s="6"/>
      <c r="F777" s="6" t="s">
        <v>1370</v>
      </c>
      <c r="G777" s="6" t="s">
        <v>4412</v>
      </c>
      <c r="H777" s="6" t="s">
        <v>4443</v>
      </c>
      <c r="I777" s="6" t="n">
        <v>28</v>
      </c>
      <c r="J777" s="6"/>
      <c r="K777" s="6" t="s">
        <v>4414</v>
      </c>
      <c r="L777" s="7"/>
      <c r="M777" s="7"/>
    </row>
    <row r="778" customFormat="false" ht="23.85" hidden="false" customHeight="false" outlineLevel="0" collapsed="false">
      <c r="A778" s="6" t="s">
        <v>1628</v>
      </c>
      <c r="B778" s="6" t="s">
        <v>110</v>
      </c>
      <c r="C778" s="6" t="s">
        <v>1362</v>
      </c>
      <c r="D778" s="6" t="s">
        <v>1330</v>
      </c>
      <c r="E778" s="6"/>
      <c r="F778" s="6" t="s">
        <v>1370</v>
      </c>
      <c r="G778" s="6" t="s">
        <v>4415</v>
      </c>
      <c r="H778" s="6" t="s">
        <v>4444</v>
      </c>
      <c r="I778" s="6" t="n">
        <v>18</v>
      </c>
      <c r="J778" s="6"/>
      <c r="K778" s="6" t="s">
        <v>4417</v>
      </c>
      <c r="L778" s="7"/>
      <c r="M778" s="7"/>
    </row>
    <row r="779" customFormat="false" ht="35.05" hidden="false" customHeight="false" outlineLevel="0" collapsed="false">
      <c r="A779" s="6" t="s">
        <v>1630</v>
      </c>
      <c r="B779" s="6" t="s">
        <v>110</v>
      </c>
      <c r="C779" s="6" t="s">
        <v>79</v>
      </c>
      <c r="D779" s="6" t="s">
        <v>1330</v>
      </c>
      <c r="E779" s="6"/>
      <c r="F779" s="6" t="s">
        <v>1335</v>
      </c>
      <c r="G779" s="6" t="s">
        <v>4406</v>
      </c>
      <c r="H779" s="6" t="s">
        <v>4407</v>
      </c>
      <c r="I779" s="6" t="n">
        <v>96</v>
      </c>
      <c r="J779" s="6" t="s">
        <v>83</v>
      </c>
      <c r="K779" s="6" t="s">
        <v>4493</v>
      </c>
      <c r="L779" s="7"/>
      <c r="M779" s="7"/>
    </row>
    <row r="780" customFormat="false" ht="35.05" hidden="false" customHeight="false" outlineLevel="0" collapsed="false">
      <c r="A780" s="6" t="s">
        <v>1630</v>
      </c>
      <c r="B780" s="6" t="s">
        <v>110</v>
      </c>
      <c r="C780" s="6" t="s">
        <v>79</v>
      </c>
      <c r="D780" s="6" t="s">
        <v>1330</v>
      </c>
      <c r="E780" s="6"/>
      <c r="F780" s="6" t="s">
        <v>1335</v>
      </c>
      <c r="G780" s="6" t="s">
        <v>4409</v>
      </c>
      <c r="H780" s="6" t="s">
        <v>4410</v>
      </c>
      <c r="I780" s="6" t="n">
        <v>60</v>
      </c>
      <c r="J780" s="6"/>
      <c r="K780" s="6" t="s">
        <v>4411</v>
      </c>
      <c r="L780" s="7"/>
      <c r="M780" s="7"/>
    </row>
    <row r="781" customFormat="false" ht="35.05" hidden="false" customHeight="false" outlineLevel="0" collapsed="false">
      <c r="A781" s="6" t="s">
        <v>1630</v>
      </c>
      <c r="B781" s="6" t="s">
        <v>110</v>
      </c>
      <c r="C781" s="6" t="s">
        <v>79</v>
      </c>
      <c r="D781" s="6" t="s">
        <v>1330</v>
      </c>
      <c r="E781" s="6"/>
      <c r="F781" s="6" t="s">
        <v>1335</v>
      </c>
      <c r="G781" s="6" t="s">
        <v>4412</v>
      </c>
      <c r="H781" s="6" t="s">
        <v>4413</v>
      </c>
      <c r="I781" s="6" t="n">
        <v>28</v>
      </c>
      <c r="J781" s="6"/>
      <c r="K781" s="6" t="s">
        <v>4414</v>
      </c>
      <c r="L781" s="7"/>
      <c r="M781" s="7"/>
    </row>
    <row r="782" customFormat="false" ht="35.05" hidden="false" customHeight="false" outlineLevel="0" collapsed="false">
      <c r="A782" s="6" t="s">
        <v>1630</v>
      </c>
      <c r="B782" s="6" t="s">
        <v>110</v>
      </c>
      <c r="C782" s="6" t="s">
        <v>79</v>
      </c>
      <c r="D782" s="6" t="s">
        <v>1330</v>
      </c>
      <c r="E782" s="6"/>
      <c r="F782" s="6" t="s">
        <v>1335</v>
      </c>
      <c r="G782" s="6" t="s">
        <v>4415</v>
      </c>
      <c r="H782" s="6" t="s">
        <v>4416</v>
      </c>
      <c r="I782" s="6" t="n">
        <v>18</v>
      </c>
      <c r="J782" s="6"/>
      <c r="K782" s="6" t="s">
        <v>4417</v>
      </c>
      <c r="L782" s="7"/>
      <c r="M782" s="7"/>
    </row>
    <row r="783" customFormat="false" ht="35.05" hidden="false" customHeight="false" outlineLevel="0" collapsed="false">
      <c r="A783" s="6" t="s">
        <v>1637</v>
      </c>
      <c r="B783" s="6" t="s">
        <v>110</v>
      </c>
      <c r="C783" s="6" t="s">
        <v>98</v>
      </c>
      <c r="D783" s="6" t="s">
        <v>1330</v>
      </c>
      <c r="E783" s="6"/>
      <c r="F783" s="6" t="s">
        <v>1341</v>
      </c>
      <c r="G783" s="6" t="s">
        <v>4406</v>
      </c>
      <c r="H783" s="6" t="s">
        <v>4418</v>
      </c>
      <c r="I783" s="6" t="n">
        <v>96</v>
      </c>
      <c r="J783" s="6" t="s">
        <v>83</v>
      </c>
      <c r="K783" s="6" t="s">
        <v>4494</v>
      </c>
      <c r="L783" s="7"/>
      <c r="M783" s="7"/>
    </row>
    <row r="784" customFormat="false" ht="35.05" hidden="false" customHeight="false" outlineLevel="0" collapsed="false">
      <c r="A784" s="6" t="s">
        <v>1637</v>
      </c>
      <c r="B784" s="6" t="s">
        <v>110</v>
      </c>
      <c r="C784" s="6" t="s">
        <v>98</v>
      </c>
      <c r="D784" s="6" t="s">
        <v>1330</v>
      </c>
      <c r="E784" s="6"/>
      <c r="F784" s="6" t="s">
        <v>1341</v>
      </c>
      <c r="G784" s="6" t="s">
        <v>4409</v>
      </c>
      <c r="H784" s="6" t="s">
        <v>4420</v>
      </c>
      <c r="I784" s="6" t="n">
        <v>58</v>
      </c>
      <c r="J784" s="6"/>
      <c r="K784" s="6" t="s">
        <v>4411</v>
      </c>
      <c r="L784" s="7"/>
      <c r="M784" s="7"/>
    </row>
    <row r="785" customFormat="false" ht="35.05" hidden="false" customHeight="false" outlineLevel="0" collapsed="false">
      <c r="A785" s="6" t="s">
        <v>1637</v>
      </c>
      <c r="B785" s="6" t="s">
        <v>110</v>
      </c>
      <c r="C785" s="6" t="s">
        <v>98</v>
      </c>
      <c r="D785" s="6" t="s">
        <v>1330</v>
      </c>
      <c r="E785" s="6"/>
      <c r="F785" s="6" t="s">
        <v>1341</v>
      </c>
      <c r="G785" s="6" t="s">
        <v>4412</v>
      </c>
      <c r="H785" s="6" t="s">
        <v>4421</v>
      </c>
      <c r="I785" s="6" t="n">
        <v>28</v>
      </c>
      <c r="J785" s="6"/>
      <c r="K785" s="6" t="s">
        <v>4414</v>
      </c>
      <c r="L785" s="7"/>
      <c r="M785" s="7"/>
    </row>
    <row r="786" customFormat="false" ht="35.05" hidden="false" customHeight="false" outlineLevel="0" collapsed="false">
      <c r="A786" s="6" t="s">
        <v>1637</v>
      </c>
      <c r="B786" s="6" t="s">
        <v>110</v>
      </c>
      <c r="C786" s="6" t="s">
        <v>98</v>
      </c>
      <c r="D786" s="6" t="s">
        <v>1330</v>
      </c>
      <c r="E786" s="6"/>
      <c r="F786" s="6" t="s">
        <v>1341</v>
      </c>
      <c r="G786" s="6" t="s">
        <v>4415</v>
      </c>
      <c r="H786" s="6" t="s">
        <v>4422</v>
      </c>
      <c r="I786" s="6" t="n">
        <v>18</v>
      </c>
      <c r="J786" s="6"/>
      <c r="K786" s="6" t="s">
        <v>4417</v>
      </c>
      <c r="L786" s="7"/>
      <c r="M786" s="7"/>
    </row>
    <row r="787" customFormat="false" ht="35.05" hidden="false" customHeight="false" outlineLevel="0" collapsed="false">
      <c r="A787" s="6" t="s">
        <v>1640</v>
      </c>
      <c r="B787" s="6" t="s">
        <v>110</v>
      </c>
      <c r="C787" s="6" t="s">
        <v>98</v>
      </c>
      <c r="D787" s="6" t="s">
        <v>1330</v>
      </c>
      <c r="E787" s="6"/>
      <c r="F787" s="6" t="s">
        <v>1347</v>
      </c>
      <c r="G787" s="6" t="s">
        <v>4406</v>
      </c>
      <c r="H787" s="6" t="s">
        <v>4423</v>
      </c>
      <c r="I787" s="6" t="n">
        <v>96</v>
      </c>
      <c r="J787" s="6" t="s">
        <v>83</v>
      </c>
      <c r="K787" s="6" t="s">
        <v>4494</v>
      </c>
      <c r="L787" s="7"/>
      <c r="M787" s="7"/>
    </row>
    <row r="788" customFormat="false" ht="35.05" hidden="false" customHeight="false" outlineLevel="0" collapsed="false">
      <c r="A788" s="6" t="s">
        <v>1640</v>
      </c>
      <c r="B788" s="6" t="s">
        <v>110</v>
      </c>
      <c r="C788" s="6" t="s">
        <v>98</v>
      </c>
      <c r="D788" s="6" t="s">
        <v>1330</v>
      </c>
      <c r="E788" s="6"/>
      <c r="F788" s="6" t="s">
        <v>1347</v>
      </c>
      <c r="G788" s="6" t="s">
        <v>4409</v>
      </c>
      <c r="H788" s="6" t="s">
        <v>4424</v>
      </c>
      <c r="I788" s="6" t="n">
        <v>58</v>
      </c>
      <c r="J788" s="6"/>
      <c r="K788" s="6" t="s">
        <v>4411</v>
      </c>
      <c r="L788" s="7"/>
      <c r="M788" s="7"/>
    </row>
    <row r="789" customFormat="false" ht="35.05" hidden="false" customHeight="false" outlineLevel="0" collapsed="false">
      <c r="A789" s="6" t="s">
        <v>1640</v>
      </c>
      <c r="B789" s="6" t="s">
        <v>110</v>
      </c>
      <c r="C789" s="6" t="s">
        <v>98</v>
      </c>
      <c r="D789" s="6" t="s">
        <v>1330</v>
      </c>
      <c r="E789" s="6"/>
      <c r="F789" s="6" t="s">
        <v>1347</v>
      </c>
      <c r="G789" s="6" t="s">
        <v>4412</v>
      </c>
      <c r="H789" s="6" t="s">
        <v>4425</v>
      </c>
      <c r="I789" s="6" t="n">
        <v>28</v>
      </c>
      <c r="J789" s="6"/>
      <c r="K789" s="6" t="s">
        <v>4414</v>
      </c>
      <c r="L789" s="7"/>
      <c r="M789" s="7"/>
    </row>
    <row r="790" customFormat="false" ht="35.05" hidden="false" customHeight="false" outlineLevel="0" collapsed="false">
      <c r="A790" s="6" t="s">
        <v>1640</v>
      </c>
      <c r="B790" s="6" t="s">
        <v>110</v>
      </c>
      <c r="C790" s="6" t="s">
        <v>98</v>
      </c>
      <c r="D790" s="6" t="s">
        <v>1330</v>
      </c>
      <c r="E790" s="6"/>
      <c r="F790" s="6" t="s">
        <v>1347</v>
      </c>
      <c r="G790" s="6" t="s">
        <v>4415</v>
      </c>
      <c r="H790" s="6" t="s">
        <v>4426</v>
      </c>
      <c r="I790" s="6" t="n">
        <v>18</v>
      </c>
      <c r="J790" s="6"/>
      <c r="K790" s="6" t="s">
        <v>4417</v>
      </c>
      <c r="L790" s="7"/>
      <c r="M790" s="7"/>
    </row>
    <row r="791" customFormat="false" ht="35.05" hidden="false" customHeight="false" outlineLevel="0" collapsed="false">
      <c r="A791" s="6" t="s">
        <v>1642</v>
      </c>
      <c r="B791" s="6" t="s">
        <v>110</v>
      </c>
      <c r="C791" s="6" t="s">
        <v>165</v>
      </c>
      <c r="D791" s="6" t="s">
        <v>1330</v>
      </c>
      <c r="E791" s="6"/>
      <c r="F791" s="6" t="s">
        <v>1352</v>
      </c>
      <c r="G791" s="6" t="s">
        <v>4406</v>
      </c>
      <c r="H791" s="6" t="s">
        <v>4427</v>
      </c>
      <c r="I791" s="6" t="n">
        <v>96</v>
      </c>
      <c r="J791" s="6" t="s">
        <v>83</v>
      </c>
      <c r="K791" s="6" t="s">
        <v>4495</v>
      </c>
      <c r="L791" s="7"/>
      <c r="M791" s="7"/>
    </row>
    <row r="792" customFormat="false" ht="35.05" hidden="false" customHeight="false" outlineLevel="0" collapsed="false">
      <c r="A792" s="6" t="s">
        <v>1642</v>
      </c>
      <c r="B792" s="6" t="s">
        <v>110</v>
      </c>
      <c r="C792" s="6" t="s">
        <v>165</v>
      </c>
      <c r="D792" s="6" t="s">
        <v>1330</v>
      </c>
      <c r="E792" s="6"/>
      <c r="F792" s="6" t="s">
        <v>1352</v>
      </c>
      <c r="G792" s="6" t="s">
        <v>4409</v>
      </c>
      <c r="H792" s="6" t="s">
        <v>4429</v>
      </c>
      <c r="I792" s="6" t="n">
        <v>62</v>
      </c>
      <c r="J792" s="6"/>
      <c r="K792" s="6" t="s">
        <v>4411</v>
      </c>
      <c r="L792" s="7"/>
      <c r="M792" s="7"/>
    </row>
    <row r="793" customFormat="false" ht="35.05" hidden="false" customHeight="false" outlineLevel="0" collapsed="false">
      <c r="A793" s="6" t="s">
        <v>1642</v>
      </c>
      <c r="B793" s="6" t="s">
        <v>110</v>
      </c>
      <c r="C793" s="6" t="s">
        <v>165</v>
      </c>
      <c r="D793" s="6" t="s">
        <v>1330</v>
      </c>
      <c r="E793" s="6"/>
      <c r="F793" s="6" t="s">
        <v>1352</v>
      </c>
      <c r="G793" s="6" t="s">
        <v>4412</v>
      </c>
      <c r="H793" s="6" t="s">
        <v>4430</v>
      </c>
      <c r="I793" s="6" t="n">
        <v>28</v>
      </c>
      <c r="J793" s="6"/>
      <c r="K793" s="6" t="s">
        <v>4414</v>
      </c>
      <c r="L793" s="7"/>
      <c r="M793" s="7"/>
    </row>
    <row r="794" customFormat="false" ht="35.05" hidden="false" customHeight="false" outlineLevel="0" collapsed="false">
      <c r="A794" s="6" t="s">
        <v>1642</v>
      </c>
      <c r="B794" s="6" t="s">
        <v>110</v>
      </c>
      <c r="C794" s="6" t="s">
        <v>165</v>
      </c>
      <c r="D794" s="6" t="s">
        <v>1330</v>
      </c>
      <c r="E794" s="6"/>
      <c r="F794" s="6" t="s">
        <v>1352</v>
      </c>
      <c r="G794" s="6" t="s">
        <v>4415</v>
      </c>
      <c r="H794" s="6" t="s">
        <v>4431</v>
      </c>
      <c r="I794" s="6" t="n">
        <v>18</v>
      </c>
      <c r="J794" s="6"/>
      <c r="K794" s="6" t="s">
        <v>4417</v>
      </c>
      <c r="L794" s="7"/>
      <c r="M794" s="7"/>
    </row>
    <row r="795" customFormat="false" ht="35.05" hidden="false" customHeight="false" outlineLevel="0" collapsed="false">
      <c r="A795" s="6" t="s">
        <v>1645</v>
      </c>
      <c r="B795" s="6" t="s">
        <v>110</v>
      </c>
      <c r="C795" s="6" t="s">
        <v>165</v>
      </c>
      <c r="D795" s="6" t="s">
        <v>1330</v>
      </c>
      <c r="E795" s="6"/>
      <c r="F795" s="6" t="s">
        <v>1358</v>
      </c>
      <c r="G795" s="6" t="s">
        <v>4406</v>
      </c>
      <c r="H795" s="6" t="s">
        <v>4432</v>
      </c>
      <c r="I795" s="6" t="n">
        <v>96</v>
      </c>
      <c r="J795" s="6" t="s">
        <v>83</v>
      </c>
      <c r="K795" s="6" t="s">
        <v>4495</v>
      </c>
      <c r="L795" s="7"/>
      <c r="M795" s="7"/>
    </row>
    <row r="796" customFormat="false" ht="35.05" hidden="false" customHeight="false" outlineLevel="0" collapsed="false">
      <c r="A796" s="6" t="s">
        <v>1645</v>
      </c>
      <c r="B796" s="6" t="s">
        <v>110</v>
      </c>
      <c r="C796" s="6" t="s">
        <v>165</v>
      </c>
      <c r="D796" s="6" t="s">
        <v>1330</v>
      </c>
      <c r="E796" s="6"/>
      <c r="F796" s="6" t="s">
        <v>1358</v>
      </c>
      <c r="G796" s="6" t="s">
        <v>4409</v>
      </c>
      <c r="H796" s="6" t="s">
        <v>4433</v>
      </c>
      <c r="I796" s="6" t="n">
        <v>62</v>
      </c>
      <c r="J796" s="6"/>
      <c r="K796" s="6" t="s">
        <v>4411</v>
      </c>
      <c r="L796" s="7"/>
      <c r="M796" s="7"/>
    </row>
    <row r="797" customFormat="false" ht="35.05" hidden="false" customHeight="false" outlineLevel="0" collapsed="false">
      <c r="A797" s="6" t="s">
        <v>1645</v>
      </c>
      <c r="B797" s="6" t="s">
        <v>110</v>
      </c>
      <c r="C797" s="6" t="s">
        <v>165</v>
      </c>
      <c r="D797" s="6" t="s">
        <v>1330</v>
      </c>
      <c r="E797" s="6"/>
      <c r="F797" s="6" t="s">
        <v>1358</v>
      </c>
      <c r="G797" s="6" t="s">
        <v>4412</v>
      </c>
      <c r="H797" s="6" t="s">
        <v>4434</v>
      </c>
      <c r="I797" s="6" t="n">
        <v>28</v>
      </c>
      <c r="J797" s="6"/>
      <c r="K797" s="6" t="s">
        <v>4414</v>
      </c>
      <c r="L797" s="7"/>
      <c r="M797" s="7"/>
    </row>
    <row r="798" customFormat="false" ht="35.05" hidden="false" customHeight="false" outlineLevel="0" collapsed="false">
      <c r="A798" s="6" t="s">
        <v>1645</v>
      </c>
      <c r="B798" s="6" t="s">
        <v>110</v>
      </c>
      <c r="C798" s="6" t="s">
        <v>165</v>
      </c>
      <c r="D798" s="6" t="s">
        <v>1330</v>
      </c>
      <c r="E798" s="6"/>
      <c r="F798" s="6" t="s">
        <v>1358</v>
      </c>
      <c r="G798" s="6" t="s">
        <v>4415</v>
      </c>
      <c r="H798" s="6" t="s">
        <v>4435</v>
      </c>
      <c r="I798" s="6" t="n">
        <v>18</v>
      </c>
      <c r="J798" s="6"/>
      <c r="K798" s="6" t="s">
        <v>4417</v>
      </c>
      <c r="L798" s="7"/>
      <c r="M798" s="7"/>
    </row>
    <row r="799" customFormat="false" ht="35.05" hidden="false" customHeight="false" outlineLevel="0" collapsed="false">
      <c r="A799" s="6" t="s">
        <v>1647</v>
      </c>
      <c r="B799" s="6" t="s">
        <v>110</v>
      </c>
      <c r="C799" s="6" t="s">
        <v>1362</v>
      </c>
      <c r="D799" s="6" t="s">
        <v>1330</v>
      </c>
      <c r="E799" s="6"/>
      <c r="F799" s="6" t="s">
        <v>1364</v>
      </c>
      <c r="G799" s="6" t="s">
        <v>4406</v>
      </c>
      <c r="H799" s="6" t="s">
        <v>4436</v>
      </c>
      <c r="I799" s="6" t="n">
        <v>96</v>
      </c>
      <c r="J799" s="6" t="s">
        <v>83</v>
      </c>
      <c r="K799" s="6" t="s">
        <v>4496</v>
      </c>
      <c r="L799" s="7"/>
      <c r="M799" s="7"/>
    </row>
    <row r="800" customFormat="false" ht="35.05" hidden="false" customHeight="false" outlineLevel="0" collapsed="false">
      <c r="A800" s="6" t="s">
        <v>1647</v>
      </c>
      <c r="B800" s="6" t="s">
        <v>110</v>
      </c>
      <c r="C800" s="6" t="s">
        <v>1362</v>
      </c>
      <c r="D800" s="6" t="s">
        <v>1330</v>
      </c>
      <c r="E800" s="6"/>
      <c r="F800" s="6" t="s">
        <v>1364</v>
      </c>
      <c r="G800" s="6" t="s">
        <v>4409</v>
      </c>
      <c r="H800" s="6" t="s">
        <v>4438</v>
      </c>
      <c r="I800" s="6" t="n">
        <v>62</v>
      </c>
      <c r="J800" s="6"/>
      <c r="K800" s="6" t="s">
        <v>4411</v>
      </c>
      <c r="L800" s="7"/>
      <c r="M800" s="7"/>
    </row>
    <row r="801" customFormat="false" ht="35.05" hidden="false" customHeight="false" outlineLevel="0" collapsed="false">
      <c r="A801" s="6" t="s">
        <v>1647</v>
      </c>
      <c r="B801" s="6" t="s">
        <v>110</v>
      </c>
      <c r="C801" s="6" t="s">
        <v>1362</v>
      </c>
      <c r="D801" s="6" t="s">
        <v>1330</v>
      </c>
      <c r="E801" s="6"/>
      <c r="F801" s="6" t="s">
        <v>1364</v>
      </c>
      <c r="G801" s="6" t="s">
        <v>4412</v>
      </c>
      <c r="H801" s="6" t="s">
        <v>4439</v>
      </c>
      <c r="I801" s="6" t="n">
        <v>28</v>
      </c>
      <c r="J801" s="6"/>
      <c r="K801" s="6" t="s">
        <v>4414</v>
      </c>
      <c r="L801" s="7"/>
      <c r="M801" s="7"/>
    </row>
    <row r="802" customFormat="false" ht="35.05" hidden="false" customHeight="false" outlineLevel="0" collapsed="false">
      <c r="A802" s="6" t="s">
        <v>1647</v>
      </c>
      <c r="B802" s="6" t="s">
        <v>110</v>
      </c>
      <c r="C802" s="6" t="s">
        <v>1362</v>
      </c>
      <c r="D802" s="6" t="s">
        <v>1330</v>
      </c>
      <c r="E802" s="6"/>
      <c r="F802" s="6" t="s">
        <v>1364</v>
      </c>
      <c r="G802" s="6" t="s">
        <v>4415</v>
      </c>
      <c r="H802" s="6" t="s">
        <v>4440</v>
      </c>
      <c r="I802" s="6" t="n">
        <v>18</v>
      </c>
      <c r="J802" s="6"/>
      <c r="K802" s="6" t="s">
        <v>4417</v>
      </c>
      <c r="L802" s="7"/>
      <c r="M802" s="7"/>
    </row>
    <row r="803" customFormat="false" ht="35.05" hidden="false" customHeight="false" outlineLevel="0" collapsed="false">
      <c r="A803" s="6" t="s">
        <v>1650</v>
      </c>
      <c r="B803" s="6" t="s">
        <v>110</v>
      </c>
      <c r="C803" s="6" t="s">
        <v>1362</v>
      </c>
      <c r="D803" s="6" t="s">
        <v>1330</v>
      </c>
      <c r="E803" s="6"/>
      <c r="F803" s="6" t="s">
        <v>1370</v>
      </c>
      <c r="G803" s="6" t="s">
        <v>4406</v>
      </c>
      <c r="H803" s="6" t="s">
        <v>4441</v>
      </c>
      <c r="I803" s="6" t="n">
        <v>96</v>
      </c>
      <c r="J803" s="6" t="s">
        <v>83</v>
      </c>
      <c r="K803" s="6" t="s">
        <v>4496</v>
      </c>
      <c r="L803" s="7"/>
      <c r="M803" s="7"/>
    </row>
    <row r="804" customFormat="false" ht="35.05" hidden="false" customHeight="false" outlineLevel="0" collapsed="false">
      <c r="A804" s="6" t="s">
        <v>1650</v>
      </c>
      <c r="B804" s="6" t="s">
        <v>110</v>
      </c>
      <c r="C804" s="6" t="s">
        <v>1362</v>
      </c>
      <c r="D804" s="6" t="s">
        <v>1330</v>
      </c>
      <c r="E804" s="6"/>
      <c r="F804" s="6" t="s">
        <v>1370</v>
      </c>
      <c r="G804" s="6" t="s">
        <v>4409</v>
      </c>
      <c r="H804" s="6" t="s">
        <v>4442</v>
      </c>
      <c r="I804" s="6" t="n">
        <v>62</v>
      </c>
      <c r="J804" s="6"/>
      <c r="K804" s="6" t="s">
        <v>4411</v>
      </c>
      <c r="L804" s="7"/>
      <c r="M804" s="7"/>
    </row>
    <row r="805" customFormat="false" ht="35.05" hidden="false" customHeight="false" outlineLevel="0" collapsed="false">
      <c r="A805" s="6" t="s">
        <v>1650</v>
      </c>
      <c r="B805" s="6" t="s">
        <v>110</v>
      </c>
      <c r="C805" s="6" t="s">
        <v>1362</v>
      </c>
      <c r="D805" s="6" t="s">
        <v>1330</v>
      </c>
      <c r="E805" s="6"/>
      <c r="F805" s="6" t="s">
        <v>1370</v>
      </c>
      <c r="G805" s="6" t="s">
        <v>4412</v>
      </c>
      <c r="H805" s="6" t="s">
        <v>4443</v>
      </c>
      <c r="I805" s="6" t="n">
        <v>28</v>
      </c>
      <c r="J805" s="6"/>
      <c r="K805" s="6" t="s">
        <v>4414</v>
      </c>
      <c r="L805" s="7"/>
      <c r="M805" s="7"/>
    </row>
    <row r="806" customFormat="false" ht="35.05" hidden="false" customHeight="false" outlineLevel="0" collapsed="false">
      <c r="A806" s="6" t="s">
        <v>1650</v>
      </c>
      <c r="B806" s="6" t="s">
        <v>110</v>
      </c>
      <c r="C806" s="6" t="s">
        <v>1362</v>
      </c>
      <c r="D806" s="6" t="s">
        <v>1330</v>
      </c>
      <c r="E806" s="6"/>
      <c r="F806" s="6" t="s">
        <v>1370</v>
      </c>
      <c r="G806" s="6" t="s">
        <v>4415</v>
      </c>
      <c r="H806" s="6" t="s">
        <v>4444</v>
      </c>
      <c r="I806" s="6" t="n">
        <v>18</v>
      </c>
      <c r="J806" s="6"/>
      <c r="K806" s="6" t="s">
        <v>4417</v>
      </c>
      <c r="L806" s="7"/>
      <c r="M806" s="7"/>
    </row>
    <row r="807" customFormat="false" ht="23.85" hidden="false" customHeight="false" outlineLevel="0" collapsed="false">
      <c r="A807" s="6" t="s">
        <v>1652</v>
      </c>
      <c r="B807" s="6" t="s">
        <v>110</v>
      </c>
      <c r="C807" s="6" t="s">
        <v>79</v>
      </c>
      <c r="D807" s="6" t="s">
        <v>1330</v>
      </c>
      <c r="E807" s="6"/>
      <c r="F807" s="6" t="s">
        <v>1335</v>
      </c>
      <c r="G807" s="6" t="s">
        <v>4406</v>
      </c>
      <c r="H807" s="6" t="s">
        <v>4407</v>
      </c>
      <c r="I807" s="6" t="n">
        <v>96</v>
      </c>
      <c r="J807" s="6" t="s">
        <v>83</v>
      </c>
      <c r="K807" s="6" t="s">
        <v>4497</v>
      </c>
      <c r="L807" s="7"/>
      <c r="M807" s="7"/>
    </row>
    <row r="808" customFormat="false" ht="23.85" hidden="false" customHeight="false" outlineLevel="0" collapsed="false">
      <c r="A808" s="6" t="s">
        <v>1652</v>
      </c>
      <c r="B808" s="6" t="s">
        <v>110</v>
      </c>
      <c r="C808" s="6" t="s">
        <v>79</v>
      </c>
      <c r="D808" s="6" t="s">
        <v>1330</v>
      </c>
      <c r="E808" s="6"/>
      <c r="F808" s="6" t="s">
        <v>1335</v>
      </c>
      <c r="G808" s="6" t="s">
        <v>4409</v>
      </c>
      <c r="H808" s="6" t="s">
        <v>4410</v>
      </c>
      <c r="I808" s="6" t="n">
        <v>60</v>
      </c>
      <c r="J808" s="6"/>
      <c r="K808" s="6" t="s">
        <v>4411</v>
      </c>
      <c r="L808" s="7"/>
      <c r="M808" s="7"/>
    </row>
    <row r="809" customFormat="false" ht="23.85" hidden="false" customHeight="false" outlineLevel="0" collapsed="false">
      <c r="A809" s="6" t="s">
        <v>1652</v>
      </c>
      <c r="B809" s="6" t="s">
        <v>110</v>
      </c>
      <c r="C809" s="6" t="s">
        <v>79</v>
      </c>
      <c r="D809" s="6" t="s">
        <v>1330</v>
      </c>
      <c r="E809" s="6"/>
      <c r="F809" s="6" t="s">
        <v>1335</v>
      </c>
      <c r="G809" s="6" t="s">
        <v>4412</v>
      </c>
      <c r="H809" s="6" t="s">
        <v>4413</v>
      </c>
      <c r="I809" s="6" t="n">
        <v>28</v>
      </c>
      <c r="J809" s="6"/>
      <c r="K809" s="6" t="s">
        <v>4414</v>
      </c>
      <c r="L809" s="7"/>
      <c r="M809" s="7"/>
    </row>
    <row r="810" customFormat="false" ht="23.85" hidden="false" customHeight="false" outlineLevel="0" collapsed="false">
      <c r="A810" s="6" t="s">
        <v>1652</v>
      </c>
      <c r="B810" s="6" t="s">
        <v>110</v>
      </c>
      <c r="C810" s="6" t="s">
        <v>79</v>
      </c>
      <c r="D810" s="6" t="s">
        <v>1330</v>
      </c>
      <c r="E810" s="6"/>
      <c r="F810" s="6" t="s">
        <v>1335</v>
      </c>
      <c r="G810" s="6" t="s">
        <v>4415</v>
      </c>
      <c r="H810" s="6" t="s">
        <v>4416</v>
      </c>
      <c r="I810" s="6" t="n">
        <v>18</v>
      </c>
      <c r="J810" s="6"/>
      <c r="K810" s="6" t="s">
        <v>4417</v>
      </c>
      <c r="L810" s="7"/>
      <c r="M810" s="7"/>
    </row>
    <row r="811" customFormat="false" ht="23.85" hidden="false" customHeight="false" outlineLevel="0" collapsed="false">
      <c r="A811" s="6" t="s">
        <v>1660</v>
      </c>
      <c r="B811" s="6" t="s">
        <v>110</v>
      </c>
      <c r="C811" s="6" t="s">
        <v>98</v>
      </c>
      <c r="D811" s="6" t="s">
        <v>1330</v>
      </c>
      <c r="E811" s="6"/>
      <c r="F811" s="6" t="s">
        <v>1341</v>
      </c>
      <c r="G811" s="6" t="s">
        <v>4406</v>
      </c>
      <c r="H811" s="6" t="s">
        <v>4418</v>
      </c>
      <c r="I811" s="6" t="n">
        <v>96</v>
      </c>
      <c r="J811" s="6" t="s">
        <v>83</v>
      </c>
      <c r="K811" s="6" t="s">
        <v>4498</v>
      </c>
      <c r="L811" s="7"/>
      <c r="M811" s="7"/>
    </row>
    <row r="812" customFormat="false" ht="23.85" hidden="false" customHeight="false" outlineLevel="0" collapsed="false">
      <c r="A812" s="6" t="s">
        <v>1660</v>
      </c>
      <c r="B812" s="6" t="s">
        <v>110</v>
      </c>
      <c r="C812" s="6" t="s">
        <v>98</v>
      </c>
      <c r="D812" s="6" t="s">
        <v>1330</v>
      </c>
      <c r="E812" s="6"/>
      <c r="F812" s="6" t="s">
        <v>1341</v>
      </c>
      <c r="G812" s="6" t="s">
        <v>4409</v>
      </c>
      <c r="H812" s="6" t="s">
        <v>4420</v>
      </c>
      <c r="I812" s="6" t="n">
        <v>58</v>
      </c>
      <c r="J812" s="6"/>
      <c r="K812" s="6" t="s">
        <v>4411</v>
      </c>
      <c r="L812" s="7"/>
      <c r="M812" s="7"/>
    </row>
    <row r="813" customFormat="false" ht="23.85" hidden="false" customHeight="false" outlineLevel="0" collapsed="false">
      <c r="A813" s="6" t="s">
        <v>1660</v>
      </c>
      <c r="B813" s="6" t="s">
        <v>110</v>
      </c>
      <c r="C813" s="6" t="s">
        <v>98</v>
      </c>
      <c r="D813" s="6" t="s">
        <v>1330</v>
      </c>
      <c r="E813" s="6"/>
      <c r="F813" s="6" t="s">
        <v>1341</v>
      </c>
      <c r="G813" s="6" t="s">
        <v>4412</v>
      </c>
      <c r="H813" s="6" t="s">
        <v>4421</v>
      </c>
      <c r="I813" s="6" t="n">
        <v>28</v>
      </c>
      <c r="J813" s="6"/>
      <c r="K813" s="6" t="s">
        <v>4414</v>
      </c>
      <c r="L813" s="7"/>
      <c r="M813" s="7"/>
    </row>
    <row r="814" customFormat="false" ht="23.85" hidden="false" customHeight="false" outlineLevel="0" collapsed="false">
      <c r="A814" s="6" t="s">
        <v>1660</v>
      </c>
      <c r="B814" s="6" t="s">
        <v>110</v>
      </c>
      <c r="C814" s="6" t="s">
        <v>98</v>
      </c>
      <c r="D814" s="6" t="s">
        <v>1330</v>
      </c>
      <c r="E814" s="6"/>
      <c r="F814" s="6" t="s">
        <v>1341</v>
      </c>
      <c r="G814" s="6" t="s">
        <v>4415</v>
      </c>
      <c r="H814" s="6" t="s">
        <v>4422</v>
      </c>
      <c r="I814" s="6" t="n">
        <v>18</v>
      </c>
      <c r="J814" s="6"/>
      <c r="K814" s="6" t="s">
        <v>4417</v>
      </c>
      <c r="L814" s="7"/>
      <c r="M814" s="7"/>
    </row>
    <row r="815" customFormat="false" ht="23.85" hidden="false" customHeight="false" outlineLevel="0" collapsed="false">
      <c r="A815" s="6" t="s">
        <v>1663</v>
      </c>
      <c r="B815" s="6" t="s">
        <v>110</v>
      </c>
      <c r="C815" s="6" t="s">
        <v>98</v>
      </c>
      <c r="D815" s="6" t="s">
        <v>1330</v>
      </c>
      <c r="E815" s="6"/>
      <c r="F815" s="6" t="s">
        <v>1347</v>
      </c>
      <c r="G815" s="6" t="s">
        <v>4406</v>
      </c>
      <c r="H815" s="6" t="s">
        <v>4423</v>
      </c>
      <c r="I815" s="6" t="n">
        <v>96</v>
      </c>
      <c r="J815" s="6" t="s">
        <v>83</v>
      </c>
      <c r="K815" s="6" t="s">
        <v>4498</v>
      </c>
      <c r="L815" s="7"/>
      <c r="M815" s="7"/>
    </row>
    <row r="816" customFormat="false" ht="23.85" hidden="false" customHeight="false" outlineLevel="0" collapsed="false">
      <c r="A816" s="6" t="s">
        <v>1663</v>
      </c>
      <c r="B816" s="6" t="s">
        <v>110</v>
      </c>
      <c r="C816" s="6" t="s">
        <v>98</v>
      </c>
      <c r="D816" s="6" t="s">
        <v>1330</v>
      </c>
      <c r="E816" s="6"/>
      <c r="F816" s="6" t="s">
        <v>1347</v>
      </c>
      <c r="G816" s="6" t="s">
        <v>4409</v>
      </c>
      <c r="H816" s="6" t="s">
        <v>4424</v>
      </c>
      <c r="I816" s="6" t="n">
        <v>58</v>
      </c>
      <c r="J816" s="6"/>
      <c r="K816" s="6" t="s">
        <v>4411</v>
      </c>
      <c r="L816" s="7"/>
      <c r="M816" s="7"/>
    </row>
    <row r="817" customFormat="false" ht="23.85" hidden="false" customHeight="false" outlineLevel="0" collapsed="false">
      <c r="A817" s="6" t="s">
        <v>1663</v>
      </c>
      <c r="B817" s="6" t="s">
        <v>110</v>
      </c>
      <c r="C817" s="6" t="s">
        <v>98</v>
      </c>
      <c r="D817" s="6" t="s">
        <v>1330</v>
      </c>
      <c r="E817" s="6"/>
      <c r="F817" s="6" t="s">
        <v>1347</v>
      </c>
      <c r="G817" s="6" t="s">
        <v>4412</v>
      </c>
      <c r="H817" s="6" t="s">
        <v>4425</v>
      </c>
      <c r="I817" s="6" t="n">
        <v>28</v>
      </c>
      <c r="J817" s="6"/>
      <c r="K817" s="6" t="s">
        <v>4414</v>
      </c>
      <c r="L817" s="7"/>
      <c r="M817" s="7"/>
    </row>
    <row r="818" customFormat="false" ht="23.85" hidden="false" customHeight="false" outlineLevel="0" collapsed="false">
      <c r="A818" s="6" t="s">
        <v>1663</v>
      </c>
      <c r="B818" s="6" t="s">
        <v>110</v>
      </c>
      <c r="C818" s="6" t="s">
        <v>98</v>
      </c>
      <c r="D818" s="6" t="s">
        <v>1330</v>
      </c>
      <c r="E818" s="6"/>
      <c r="F818" s="6" t="s">
        <v>1347</v>
      </c>
      <c r="G818" s="6" t="s">
        <v>4415</v>
      </c>
      <c r="H818" s="6" t="s">
        <v>4426</v>
      </c>
      <c r="I818" s="6" t="n">
        <v>18</v>
      </c>
      <c r="J818" s="6"/>
      <c r="K818" s="6" t="s">
        <v>4417</v>
      </c>
      <c r="L818" s="7"/>
      <c r="M818" s="7"/>
    </row>
    <row r="819" customFormat="false" ht="35.05" hidden="false" customHeight="false" outlineLevel="0" collapsed="false">
      <c r="A819" s="6" t="s">
        <v>1665</v>
      </c>
      <c r="B819" s="6" t="s">
        <v>110</v>
      </c>
      <c r="C819" s="6" t="s">
        <v>165</v>
      </c>
      <c r="D819" s="6" t="s">
        <v>1330</v>
      </c>
      <c r="E819" s="6"/>
      <c r="F819" s="6" t="s">
        <v>1352</v>
      </c>
      <c r="G819" s="6" t="s">
        <v>4406</v>
      </c>
      <c r="H819" s="6" t="s">
        <v>4427</v>
      </c>
      <c r="I819" s="6" t="n">
        <v>96</v>
      </c>
      <c r="J819" s="6" t="s">
        <v>83</v>
      </c>
      <c r="K819" s="6" t="s">
        <v>4499</v>
      </c>
      <c r="L819" s="7"/>
      <c r="M819" s="7"/>
    </row>
    <row r="820" customFormat="false" ht="23.85" hidden="false" customHeight="false" outlineLevel="0" collapsed="false">
      <c r="A820" s="6" t="s">
        <v>1665</v>
      </c>
      <c r="B820" s="6" t="s">
        <v>110</v>
      </c>
      <c r="C820" s="6" t="s">
        <v>165</v>
      </c>
      <c r="D820" s="6" t="s">
        <v>1330</v>
      </c>
      <c r="E820" s="6"/>
      <c r="F820" s="6" t="s">
        <v>1352</v>
      </c>
      <c r="G820" s="6" t="s">
        <v>4409</v>
      </c>
      <c r="H820" s="6" t="s">
        <v>4429</v>
      </c>
      <c r="I820" s="6" t="n">
        <v>62</v>
      </c>
      <c r="J820" s="6"/>
      <c r="K820" s="6" t="s">
        <v>4411</v>
      </c>
      <c r="L820" s="7"/>
      <c r="M820" s="7"/>
    </row>
    <row r="821" customFormat="false" ht="23.85" hidden="false" customHeight="false" outlineLevel="0" collapsed="false">
      <c r="A821" s="6" t="s">
        <v>1665</v>
      </c>
      <c r="B821" s="6" t="s">
        <v>110</v>
      </c>
      <c r="C821" s="6" t="s">
        <v>165</v>
      </c>
      <c r="D821" s="6" t="s">
        <v>1330</v>
      </c>
      <c r="E821" s="6"/>
      <c r="F821" s="6" t="s">
        <v>1352</v>
      </c>
      <c r="G821" s="6" t="s">
        <v>4412</v>
      </c>
      <c r="H821" s="6" t="s">
        <v>4430</v>
      </c>
      <c r="I821" s="6" t="n">
        <v>28</v>
      </c>
      <c r="J821" s="6"/>
      <c r="K821" s="6" t="s">
        <v>4414</v>
      </c>
      <c r="L821" s="7"/>
      <c r="M821" s="7"/>
    </row>
    <row r="822" customFormat="false" ht="23.85" hidden="false" customHeight="false" outlineLevel="0" collapsed="false">
      <c r="A822" s="6" t="s">
        <v>1665</v>
      </c>
      <c r="B822" s="6" t="s">
        <v>110</v>
      </c>
      <c r="C822" s="6" t="s">
        <v>165</v>
      </c>
      <c r="D822" s="6" t="s">
        <v>1330</v>
      </c>
      <c r="E822" s="6"/>
      <c r="F822" s="6" t="s">
        <v>1352</v>
      </c>
      <c r="G822" s="6" t="s">
        <v>4415</v>
      </c>
      <c r="H822" s="6" t="s">
        <v>4431</v>
      </c>
      <c r="I822" s="6" t="n">
        <v>18</v>
      </c>
      <c r="J822" s="6"/>
      <c r="K822" s="6" t="s">
        <v>4417</v>
      </c>
      <c r="L822" s="7"/>
      <c r="M822" s="7"/>
    </row>
    <row r="823" customFormat="false" ht="35.05" hidden="false" customHeight="false" outlineLevel="0" collapsed="false">
      <c r="A823" s="6" t="s">
        <v>1668</v>
      </c>
      <c r="B823" s="6" t="s">
        <v>110</v>
      </c>
      <c r="C823" s="6" t="s">
        <v>165</v>
      </c>
      <c r="D823" s="6" t="s">
        <v>1330</v>
      </c>
      <c r="E823" s="6"/>
      <c r="F823" s="6" t="s">
        <v>1358</v>
      </c>
      <c r="G823" s="6" t="s">
        <v>4406</v>
      </c>
      <c r="H823" s="6" t="s">
        <v>4432</v>
      </c>
      <c r="I823" s="6" t="n">
        <v>96</v>
      </c>
      <c r="J823" s="6" t="s">
        <v>83</v>
      </c>
      <c r="K823" s="6" t="s">
        <v>4499</v>
      </c>
      <c r="L823" s="7"/>
      <c r="M823" s="7"/>
    </row>
    <row r="824" customFormat="false" ht="23.85" hidden="false" customHeight="false" outlineLevel="0" collapsed="false">
      <c r="A824" s="6" t="s">
        <v>1668</v>
      </c>
      <c r="B824" s="6" t="s">
        <v>110</v>
      </c>
      <c r="C824" s="6" t="s">
        <v>165</v>
      </c>
      <c r="D824" s="6" t="s">
        <v>1330</v>
      </c>
      <c r="E824" s="6"/>
      <c r="F824" s="6" t="s">
        <v>1358</v>
      </c>
      <c r="G824" s="6" t="s">
        <v>4409</v>
      </c>
      <c r="H824" s="6" t="s">
        <v>4433</v>
      </c>
      <c r="I824" s="6" t="n">
        <v>62</v>
      </c>
      <c r="J824" s="6"/>
      <c r="K824" s="6" t="s">
        <v>4411</v>
      </c>
      <c r="L824" s="7"/>
      <c r="M824" s="7"/>
    </row>
    <row r="825" customFormat="false" ht="23.85" hidden="false" customHeight="false" outlineLevel="0" collapsed="false">
      <c r="A825" s="6" t="s">
        <v>1668</v>
      </c>
      <c r="B825" s="6" t="s">
        <v>110</v>
      </c>
      <c r="C825" s="6" t="s">
        <v>165</v>
      </c>
      <c r="D825" s="6" t="s">
        <v>1330</v>
      </c>
      <c r="E825" s="6"/>
      <c r="F825" s="6" t="s">
        <v>1358</v>
      </c>
      <c r="G825" s="6" t="s">
        <v>4412</v>
      </c>
      <c r="H825" s="6" t="s">
        <v>4434</v>
      </c>
      <c r="I825" s="6" t="n">
        <v>28</v>
      </c>
      <c r="J825" s="6"/>
      <c r="K825" s="6" t="s">
        <v>4414</v>
      </c>
      <c r="L825" s="7"/>
      <c r="M825" s="7"/>
    </row>
    <row r="826" customFormat="false" ht="23.85" hidden="false" customHeight="false" outlineLevel="0" collapsed="false">
      <c r="A826" s="6" t="s">
        <v>1668</v>
      </c>
      <c r="B826" s="6" t="s">
        <v>110</v>
      </c>
      <c r="C826" s="6" t="s">
        <v>165</v>
      </c>
      <c r="D826" s="6" t="s">
        <v>1330</v>
      </c>
      <c r="E826" s="6"/>
      <c r="F826" s="6" t="s">
        <v>1358</v>
      </c>
      <c r="G826" s="6" t="s">
        <v>4415</v>
      </c>
      <c r="H826" s="6" t="s">
        <v>4435</v>
      </c>
      <c r="I826" s="6" t="n">
        <v>18</v>
      </c>
      <c r="J826" s="6"/>
      <c r="K826" s="6" t="s">
        <v>4417</v>
      </c>
      <c r="L826" s="7"/>
      <c r="M826" s="7"/>
    </row>
    <row r="827" customFormat="false" ht="35.05" hidden="false" customHeight="false" outlineLevel="0" collapsed="false">
      <c r="A827" s="6" t="s">
        <v>1670</v>
      </c>
      <c r="B827" s="6" t="s">
        <v>110</v>
      </c>
      <c r="C827" s="6" t="s">
        <v>1362</v>
      </c>
      <c r="D827" s="6" t="s">
        <v>1330</v>
      </c>
      <c r="E827" s="6"/>
      <c r="F827" s="6" t="s">
        <v>1364</v>
      </c>
      <c r="G827" s="6" t="s">
        <v>4406</v>
      </c>
      <c r="H827" s="6" t="s">
        <v>4436</v>
      </c>
      <c r="I827" s="6" t="n">
        <v>96</v>
      </c>
      <c r="J827" s="6" t="s">
        <v>83</v>
      </c>
      <c r="K827" s="6" t="s">
        <v>4500</v>
      </c>
      <c r="L827" s="7"/>
      <c r="M827" s="7"/>
    </row>
    <row r="828" customFormat="false" ht="35.05" hidden="false" customHeight="false" outlineLevel="0" collapsed="false">
      <c r="A828" s="6" t="s">
        <v>1670</v>
      </c>
      <c r="B828" s="6" t="s">
        <v>110</v>
      </c>
      <c r="C828" s="6" t="s">
        <v>1362</v>
      </c>
      <c r="D828" s="6" t="s">
        <v>1330</v>
      </c>
      <c r="E828" s="6"/>
      <c r="F828" s="6" t="s">
        <v>1364</v>
      </c>
      <c r="G828" s="6" t="s">
        <v>4409</v>
      </c>
      <c r="H828" s="6" t="s">
        <v>4438</v>
      </c>
      <c r="I828" s="6" t="n">
        <v>62</v>
      </c>
      <c r="J828" s="6"/>
      <c r="K828" s="6" t="s">
        <v>4411</v>
      </c>
      <c r="L828" s="7"/>
      <c r="M828" s="7"/>
    </row>
    <row r="829" customFormat="false" ht="35.05" hidden="false" customHeight="false" outlineLevel="0" collapsed="false">
      <c r="A829" s="6" t="s">
        <v>1670</v>
      </c>
      <c r="B829" s="6" t="s">
        <v>110</v>
      </c>
      <c r="C829" s="6" t="s">
        <v>1362</v>
      </c>
      <c r="D829" s="6" t="s">
        <v>1330</v>
      </c>
      <c r="E829" s="6"/>
      <c r="F829" s="6" t="s">
        <v>1364</v>
      </c>
      <c r="G829" s="6" t="s">
        <v>4412</v>
      </c>
      <c r="H829" s="6" t="s">
        <v>4439</v>
      </c>
      <c r="I829" s="6" t="n">
        <v>28</v>
      </c>
      <c r="J829" s="6"/>
      <c r="K829" s="6" t="s">
        <v>4414</v>
      </c>
      <c r="L829" s="7"/>
      <c r="M829" s="7"/>
    </row>
    <row r="830" customFormat="false" ht="35.05" hidden="false" customHeight="false" outlineLevel="0" collapsed="false">
      <c r="A830" s="6" t="s">
        <v>1670</v>
      </c>
      <c r="B830" s="6" t="s">
        <v>110</v>
      </c>
      <c r="C830" s="6" t="s">
        <v>1362</v>
      </c>
      <c r="D830" s="6" t="s">
        <v>1330</v>
      </c>
      <c r="E830" s="6"/>
      <c r="F830" s="6" t="s">
        <v>1364</v>
      </c>
      <c r="G830" s="6" t="s">
        <v>4415</v>
      </c>
      <c r="H830" s="6" t="s">
        <v>4440</v>
      </c>
      <c r="I830" s="6" t="n">
        <v>18</v>
      </c>
      <c r="J830" s="6"/>
      <c r="K830" s="6" t="s">
        <v>4417</v>
      </c>
      <c r="L830" s="7"/>
      <c r="M830" s="7"/>
    </row>
    <row r="831" customFormat="false" ht="35.05" hidden="false" customHeight="false" outlineLevel="0" collapsed="false">
      <c r="A831" s="6" t="s">
        <v>1673</v>
      </c>
      <c r="B831" s="6" t="s">
        <v>110</v>
      </c>
      <c r="C831" s="6" t="s">
        <v>1362</v>
      </c>
      <c r="D831" s="6" t="s">
        <v>1330</v>
      </c>
      <c r="E831" s="6"/>
      <c r="F831" s="6" t="s">
        <v>1370</v>
      </c>
      <c r="G831" s="6" t="s">
        <v>4406</v>
      </c>
      <c r="H831" s="6" t="s">
        <v>4441</v>
      </c>
      <c r="I831" s="6" t="n">
        <v>96</v>
      </c>
      <c r="J831" s="6" t="s">
        <v>83</v>
      </c>
      <c r="K831" s="6" t="s">
        <v>4500</v>
      </c>
      <c r="L831" s="7"/>
      <c r="M831" s="7"/>
    </row>
    <row r="832" customFormat="false" ht="23.85" hidden="false" customHeight="false" outlineLevel="0" collapsed="false">
      <c r="A832" s="6" t="s">
        <v>1673</v>
      </c>
      <c r="B832" s="6" t="s">
        <v>110</v>
      </c>
      <c r="C832" s="6" t="s">
        <v>1362</v>
      </c>
      <c r="D832" s="6" t="s">
        <v>1330</v>
      </c>
      <c r="E832" s="6"/>
      <c r="F832" s="6" t="s">
        <v>1370</v>
      </c>
      <c r="G832" s="6" t="s">
        <v>4409</v>
      </c>
      <c r="H832" s="6" t="s">
        <v>4442</v>
      </c>
      <c r="I832" s="6" t="n">
        <v>62</v>
      </c>
      <c r="J832" s="6"/>
      <c r="K832" s="6" t="s">
        <v>4411</v>
      </c>
      <c r="L832" s="7"/>
      <c r="M832" s="7"/>
    </row>
    <row r="833" customFormat="false" ht="23.85" hidden="false" customHeight="false" outlineLevel="0" collapsed="false">
      <c r="A833" s="6" t="s">
        <v>1673</v>
      </c>
      <c r="B833" s="6" t="s">
        <v>110</v>
      </c>
      <c r="C833" s="6" t="s">
        <v>1362</v>
      </c>
      <c r="D833" s="6" t="s">
        <v>1330</v>
      </c>
      <c r="E833" s="6"/>
      <c r="F833" s="6" t="s">
        <v>1370</v>
      </c>
      <c r="G833" s="6" t="s">
        <v>4412</v>
      </c>
      <c r="H833" s="6" t="s">
        <v>4443</v>
      </c>
      <c r="I833" s="6" t="n">
        <v>28</v>
      </c>
      <c r="J833" s="6"/>
      <c r="K833" s="6" t="s">
        <v>4414</v>
      </c>
      <c r="L833" s="7"/>
      <c r="M833" s="7"/>
    </row>
    <row r="834" customFormat="false" ht="23.85" hidden="false" customHeight="false" outlineLevel="0" collapsed="false">
      <c r="A834" s="6" t="s">
        <v>1673</v>
      </c>
      <c r="B834" s="6" t="s">
        <v>110</v>
      </c>
      <c r="C834" s="6" t="s">
        <v>1362</v>
      </c>
      <c r="D834" s="6" t="s">
        <v>1330</v>
      </c>
      <c r="E834" s="6"/>
      <c r="F834" s="6" t="s">
        <v>1370</v>
      </c>
      <c r="G834" s="6" t="s">
        <v>4415</v>
      </c>
      <c r="H834" s="6" t="s">
        <v>4444</v>
      </c>
      <c r="I834" s="6" t="n">
        <v>18</v>
      </c>
      <c r="J834" s="6"/>
      <c r="K834" s="6" t="s">
        <v>4417</v>
      </c>
      <c r="L834" s="7"/>
      <c r="M834" s="7"/>
    </row>
    <row r="835" customFormat="false" ht="35.05" hidden="false" customHeight="false" outlineLevel="0" collapsed="false">
      <c r="A835" s="6" t="s">
        <v>1675</v>
      </c>
      <c r="B835" s="6" t="s">
        <v>110</v>
      </c>
      <c r="C835" s="6" t="s">
        <v>79</v>
      </c>
      <c r="D835" s="6" t="s">
        <v>1330</v>
      </c>
      <c r="E835" s="6"/>
      <c r="F835" s="6" t="s">
        <v>1335</v>
      </c>
      <c r="G835" s="6" t="s">
        <v>4406</v>
      </c>
      <c r="H835" s="6" t="s">
        <v>4407</v>
      </c>
      <c r="I835" s="6" t="n">
        <v>96</v>
      </c>
      <c r="J835" s="6" t="s">
        <v>83</v>
      </c>
      <c r="K835" s="6" t="s">
        <v>4501</v>
      </c>
      <c r="L835" s="7"/>
      <c r="M835" s="7"/>
    </row>
    <row r="836" customFormat="false" ht="35.05" hidden="false" customHeight="false" outlineLevel="0" collapsed="false">
      <c r="A836" s="6" t="s">
        <v>1675</v>
      </c>
      <c r="B836" s="6" t="s">
        <v>110</v>
      </c>
      <c r="C836" s="6" t="s">
        <v>79</v>
      </c>
      <c r="D836" s="6" t="s">
        <v>1330</v>
      </c>
      <c r="E836" s="6"/>
      <c r="F836" s="6" t="s">
        <v>1335</v>
      </c>
      <c r="G836" s="6" t="s">
        <v>4409</v>
      </c>
      <c r="H836" s="6" t="s">
        <v>4410</v>
      </c>
      <c r="I836" s="6" t="n">
        <v>60</v>
      </c>
      <c r="J836" s="6"/>
      <c r="K836" s="6" t="s">
        <v>4411</v>
      </c>
      <c r="L836" s="7"/>
      <c r="M836" s="7"/>
    </row>
    <row r="837" customFormat="false" ht="35.05" hidden="false" customHeight="false" outlineLevel="0" collapsed="false">
      <c r="A837" s="6" t="s">
        <v>1675</v>
      </c>
      <c r="B837" s="6" t="s">
        <v>110</v>
      </c>
      <c r="C837" s="6" t="s">
        <v>79</v>
      </c>
      <c r="D837" s="6" t="s">
        <v>1330</v>
      </c>
      <c r="E837" s="6"/>
      <c r="F837" s="6" t="s">
        <v>1335</v>
      </c>
      <c r="G837" s="6" t="s">
        <v>4412</v>
      </c>
      <c r="H837" s="6" t="s">
        <v>4413</v>
      </c>
      <c r="I837" s="6" t="n">
        <v>28</v>
      </c>
      <c r="J837" s="6"/>
      <c r="K837" s="6" t="s">
        <v>4414</v>
      </c>
      <c r="L837" s="7"/>
      <c r="M837" s="7"/>
    </row>
    <row r="838" customFormat="false" ht="35.05" hidden="false" customHeight="false" outlineLevel="0" collapsed="false">
      <c r="A838" s="6" t="s">
        <v>1675</v>
      </c>
      <c r="B838" s="6" t="s">
        <v>110</v>
      </c>
      <c r="C838" s="6" t="s">
        <v>79</v>
      </c>
      <c r="D838" s="6" t="s">
        <v>1330</v>
      </c>
      <c r="E838" s="6"/>
      <c r="F838" s="6" t="s">
        <v>1335</v>
      </c>
      <c r="G838" s="6" t="s">
        <v>4415</v>
      </c>
      <c r="H838" s="6" t="s">
        <v>4416</v>
      </c>
      <c r="I838" s="6" t="n">
        <v>18</v>
      </c>
      <c r="J838" s="6"/>
      <c r="K838" s="6" t="s">
        <v>4417</v>
      </c>
      <c r="L838" s="7"/>
      <c r="M838" s="7"/>
    </row>
    <row r="839" customFormat="false" ht="35.05" hidden="false" customHeight="false" outlineLevel="0" collapsed="false">
      <c r="A839" s="6" t="s">
        <v>1683</v>
      </c>
      <c r="B839" s="6" t="s">
        <v>110</v>
      </c>
      <c r="C839" s="6" t="s">
        <v>98</v>
      </c>
      <c r="D839" s="6" t="s">
        <v>1330</v>
      </c>
      <c r="E839" s="6"/>
      <c r="F839" s="6" t="s">
        <v>1341</v>
      </c>
      <c r="G839" s="6" t="s">
        <v>4406</v>
      </c>
      <c r="H839" s="6" t="s">
        <v>4418</v>
      </c>
      <c r="I839" s="6" t="n">
        <v>96</v>
      </c>
      <c r="J839" s="6" t="s">
        <v>83</v>
      </c>
      <c r="K839" s="6" t="s">
        <v>4502</v>
      </c>
      <c r="L839" s="7"/>
      <c r="M839" s="7"/>
    </row>
    <row r="840" customFormat="false" ht="35.05" hidden="false" customHeight="false" outlineLevel="0" collapsed="false">
      <c r="A840" s="6" t="s">
        <v>1683</v>
      </c>
      <c r="B840" s="6" t="s">
        <v>110</v>
      </c>
      <c r="C840" s="6" t="s">
        <v>98</v>
      </c>
      <c r="D840" s="6" t="s">
        <v>1330</v>
      </c>
      <c r="E840" s="6"/>
      <c r="F840" s="6" t="s">
        <v>1341</v>
      </c>
      <c r="G840" s="6" t="s">
        <v>4409</v>
      </c>
      <c r="H840" s="6" t="s">
        <v>4420</v>
      </c>
      <c r="I840" s="6" t="n">
        <v>58</v>
      </c>
      <c r="J840" s="6"/>
      <c r="K840" s="6" t="s">
        <v>4411</v>
      </c>
      <c r="L840" s="7"/>
      <c r="M840" s="7"/>
    </row>
    <row r="841" customFormat="false" ht="35.05" hidden="false" customHeight="false" outlineLevel="0" collapsed="false">
      <c r="A841" s="6" t="s">
        <v>1683</v>
      </c>
      <c r="B841" s="6" t="s">
        <v>110</v>
      </c>
      <c r="C841" s="6" t="s">
        <v>98</v>
      </c>
      <c r="D841" s="6" t="s">
        <v>1330</v>
      </c>
      <c r="E841" s="6"/>
      <c r="F841" s="6" t="s">
        <v>1341</v>
      </c>
      <c r="G841" s="6" t="s">
        <v>4412</v>
      </c>
      <c r="H841" s="6" t="s">
        <v>4421</v>
      </c>
      <c r="I841" s="6" t="n">
        <v>28</v>
      </c>
      <c r="J841" s="6"/>
      <c r="K841" s="6" t="s">
        <v>4414</v>
      </c>
      <c r="L841" s="7"/>
      <c r="M841" s="7"/>
    </row>
    <row r="842" customFormat="false" ht="35.05" hidden="false" customHeight="false" outlineLevel="0" collapsed="false">
      <c r="A842" s="6" t="s">
        <v>1683</v>
      </c>
      <c r="B842" s="6" t="s">
        <v>110</v>
      </c>
      <c r="C842" s="6" t="s">
        <v>98</v>
      </c>
      <c r="D842" s="6" t="s">
        <v>1330</v>
      </c>
      <c r="E842" s="6"/>
      <c r="F842" s="6" t="s">
        <v>1341</v>
      </c>
      <c r="G842" s="6" t="s">
        <v>4415</v>
      </c>
      <c r="H842" s="6" t="s">
        <v>4422</v>
      </c>
      <c r="I842" s="6" t="n">
        <v>18</v>
      </c>
      <c r="J842" s="6"/>
      <c r="K842" s="6" t="s">
        <v>4417</v>
      </c>
      <c r="L842" s="7"/>
      <c r="M842" s="7"/>
    </row>
    <row r="843" customFormat="false" ht="35.05" hidden="false" customHeight="false" outlineLevel="0" collapsed="false">
      <c r="A843" s="6" t="s">
        <v>1686</v>
      </c>
      <c r="B843" s="6" t="s">
        <v>110</v>
      </c>
      <c r="C843" s="6" t="s">
        <v>98</v>
      </c>
      <c r="D843" s="6" t="s">
        <v>1330</v>
      </c>
      <c r="E843" s="6"/>
      <c r="F843" s="6" t="s">
        <v>1347</v>
      </c>
      <c r="G843" s="6" t="s">
        <v>4406</v>
      </c>
      <c r="H843" s="6" t="s">
        <v>4423</v>
      </c>
      <c r="I843" s="6" t="n">
        <v>96</v>
      </c>
      <c r="J843" s="6" t="s">
        <v>83</v>
      </c>
      <c r="K843" s="6" t="s">
        <v>4502</v>
      </c>
      <c r="L843" s="7"/>
      <c r="M843" s="7"/>
    </row>
    <row r="844" customFormat="false" ht="35.05" hidden="false" customHeight="false" outlineLevel="0" collapsed="false">
      <c r="A844" s="6" t="s">
        <v>1686</v>
      </c>
      <c r="B844" s="6" t="s">
        <v>110</v>
      </c>
      <c r="C844" s="6" t="s">
        <v>98</v>
      </c>
      <c r="D844" s="6" t="s">
        <v>1330</v>
      </c>
      <c r="E844" s="6"/>
      <c r="F844" s="6" t="s">
        <v>1347</v>
      </c>
      <c r="G844" s="6" t="s">
        <v>4409</v>
      </c>
      <c r="H844" s="6" t="s">
        <v>4424</v>
      </c>
      <c r="I844" s="6" t="n">
        <v>58</v>
      </c>
      <c r="J844" s="6"/>
      <c r="K844" s="6" t="s">
        <v>4411</v>
      </c>
      <c r="L844" s="7"/>
      <c r="M844" s="7"/>
    </row>
    <row r="845" customFormat="false" ht="35.05" hidden="false" customHeight="false" outlineLevel="0" collapsed="false">
      <c r="A845" s="6" t="s">
        <v>1686</v>
      </c>
      <c r="B845" s="6" t="s">
        <v>110</v>
      </c>
      <c r="C845" s="6" t="s">
        <v>98</v>
      </c>
      <c r="D845" s="6" t="s">
        <v>1330</v>
      </c>
      <c r="E845" s="6"/>
      <c r="F845" s="6" t="s">
        <v>1347</v>
      </c>
      <c r="G845" s="6" t="s">
        <v>4412</v>
      </c>
      <c r="H845" s="6" t="s">
        <v>4425</v>
      </c>
      <c r="I845" s="6" t="n">
        <v>28</v>
      </c>
      <c r="J845" s="6"/>
      <c r="K845" s="6" t="s">
        <v>4414</v>
      </c>
      <c r="L845" s="7"/>
      <c r="M845" s="7"/>
    </row>
    <row r="846" customFormat="false" ht="35.05" hidden="false" customHeight="false" outlineLevel="0" collapsed="false">
      <c r="A846" s="6" t="s">
        <v>1686</v>
      </c>
      <c r="B846" s="6" t="s">
        <v>110</v>
      </c>
      <c r="C846" s="6" t="s">
        <v>98</v>
      </c>
      <c r="D846" s="6" t="s">
        <v>1330</v>
      </c>
      <c r="E846" s="6"/>
      <c r="F846" s="6" t="s">
        <v>1347</v>
      </c>
      <c r="G846" s="6" t="s">
        <v>4415</v>
      </c>
      <c r="H846" s="6" t="s">
        <v>4426</v>
      </c>
      <c r="I846" s="6" t="n">
        <v>18</v>
      </c>
      <c r="J846" s="6"/>
      <c r="K846" s="6" t="s">
        <v>4417</v>
      </c>
      <c r="L846" s="7"/>
      <c r="M846" s="7"/>
    </row>
    <row r="847" customFormat="false" ht="35.05" hidden="false" customHeight="false" outlineLevel="0" collapsed="false">
      <c r="A847" s="6" t="s">
        <v>1688</v>
      </c>
      <c r="B847" s="6" t="s">
        <v>110</v>
      </c>
      <c r="C847" s="6" t="s">
        <v>165</v>
      </c>
      <c r="D847" s="6" t="s">
        <v>1330</v>
      </c>
      <c r="E847" s="6"/>
      <c r="F847" s="6" t="s">
        <v>1352</v>
      </c>
      <c r="G847" s="6" t="s">
        <v>4406</v>
      </c>
      <c r="H847" s="6" t="s">
        <v>4427</v>
      </c>
      <c r="I847" s="6" t="n">
        <v>96</v>
      </c>
      <c r="J847" s="6" t="s">
        <v>83</v>
      </c>
      <c r="K847" s="6" t="s">
        <v>4503</v>
      </c>
      <c r="L847" s="7"/>
      <c r="M847" s="7"/>
    </row>
    <row r="848" customFormat="false" ht="35.05" hidden="false" customHeight="false" outlineLevel="0" collapsed="false">
      <c r="A848" s="6" t="s">
        <v>1688</v>
      </c>
      <c r="B848" s="6" t="s">
        <v>110</v>
      </c>
      <c r="C848" s="6" t="s">
        <v>165</v>
      </c>
      <c r="D848" s="6" t="s">
        <v>1330</v>
      </c>
      <c r="E848" s="6"/>
      <c r="F848" s="6" t="s">
        <v>1352</v>
      </c>
      <c r="G848" s="6" t="s">
        <v>4409</v>
      </c>
      <c r="H848" s="6" t="s">
        <v>4429</v>
      </c>
      <c r="I848" s="6" t="n">
        <v>62</v>
      </c>
      <c r="J848" s="6"/>
      <c r="K848" s="6" t="s">
        <v>4411</v>
      </c>
      <c r="L848" s="7"/>
      <c r="M848" s="7"/>
    </row>
    <row r="849" customFormat="false" ht="35.05" hidden="false" customHeight="false" outlineLevel="0" collapsed="false">
      <c r="A849" s="6" t="s">
        <v>1688</v>
      </c>
      <c r="B849" s="6" t="s">
        <v>110</v>
      </c>
      <c r="C849" s="6" t="s">
        <v>165</v>
      </c>
      <c r="D849" s="6" t="s">
        <v>1330</v>
      </c>
      <c r="E849" s="6"/>
      <c r="F849" s="6" t="s">
        <v>1352</v>
      </c>
      <c r="G849" s="6" t="s">
        <v>4412</v>
      </c>
      <c r="H849" s="6" t="s">
        <v>4430</v>
      </c>
      <c r="I849" s="6" t="n">
        <v>28</v>
      </c>
      <c r="J849" s="6"/>
      <c r="K849" s="6" t="s">
        <v>4414</v>
      </c>
      <c r="L849" s="7"/>
      <c r="M849" s="7"/>
    </row>
    <row r="850" customFormat="false" ht="35.05" hidden="false" customHeight="false" outlineLevel="0" collapsed="false">
      <c r="A850" s="6" t="s">
        <v>1688</v>
      </c>
      <c r="B850" s="6" t="s">
        <v>110</v>
      </c>
      <c r="C850" s="6" t="s">
        <v>165</v>
      </c>
      <c r="D850" s="6" t="s">
        <v>1330</v>
      </c>
      <c r="E850" s="6"/>
      <c r="F850" s="6" t="s">
        <v>1352</v>
      </c>
      <c r="G850" s="6" t="s">
        <v>4415</v>
      </c>
      <c r="H850" s="6" t="s">
        <v>4431</v>
      </c>
      <c r="I850" s="6" t="n">
        <v>18</v>
      </c>
      <c r="J850" s="6"/>
      <c r="K850" s="6" t="s">
        <v>4417</v>
      </c>
      <c r="L850" s="7"/>
      <c r="M850" s="7"/>
    </row>
    <row r="851" customFormat="false" ht="35.05" hidden="false" customHeight="false" outlineLevel="0" collapsed="false">
      <c r="A851" s="6" t="s">
        <v>1691</v>
      </c>
      <c r="B851" s="6" t="s">
        <v>110</v>
      </c>
      <c r="C851" s="6" t="s">
        <v>165</v>
      </c>
      <c r="D851" s="6" t="s">
        <v>1330</v>
      </c>
      <c r="E851" s="6"/>
      <c r="F851" s="6" t="s">
        <v>1358</v>
      </c>
      <c r="G851" s="6" t="s">
        <v>4406</v>
      </c>
      <c r="H851" s="6" t="s">
        <v>4432</v>
      </c>
      <c r="I851" s="6" t="n">
        <v>96</v>
      </c>
      <c r="J851" s="6" t="s">
        <v>83</v>
      </c>
      <c r="K851" s="6" t="s">
        <v>4503</v>
      </c>
      <c r="L851" s="7"/>
      <c r="M851" s="7"/>
    </row>
    <row r="852" customFormat="false" ht="35.05" hidden="false" customHeight="false" outlineLevel="0" collapsed="false">
      <c r="A852" s="6" t="s">
        <v>1691</v>
      </c>
      <c r="B852" s="6" t="s">
        <v>110</v>
      </c>
      <c r="C852" s="6" t="s">
        <v>165</v>
      </c>
      <c r="D852" s="6" t="s">
        <v>1330</v>
      </c>
      <c r="E852" s="6"/>
      <c r="F852" s="6" t="s">
        <v>1358</v>
      </c>
      <c r="G852" s="6" t="s">
        <v>4409</v>
      </c>
      <c r="H852" s="6" t="s">
        <v>4433</v>
      </c>
      <c r="I852" s="6" t="n">
        <v>62</v>
      </c>
      <c r="J852" s="6"/>
      <c r="K852" s="6" t="s">
        <v>4411</v>
      </c>
      <c r="L852" s="7"/>
      <c r="M852" s="7"/>
    </row>
    <row r="853" customFormat="false" ht="35.05" hidden="false" customHeight="false" outlineLevel="0" collapsed="false">
      <c r="A853" s="6" t="s">
        <v>1691</v>
      </c>
      <c r="B853" s="6" t="s">
        <v>110</v>
      </c>
      <c r="C853" s="6" t="s">
        <v>165</v>
      </c>
      <c r="D853" s="6" t="s">
        <v>1330</v>
      </c>
      <c r="E853" s="6"/>
      <c r="F853" s="6" t="s">
        <v>1358</v>
      </c>
      <c r="G853" s="6" t="s">
        <v>4412</v>
      </c>
      <c r="H853" s="6" t="s">
        <v>4434</v>
      </c>
      <c r="I853" s="6" t="n">
        <v>28</v>
      </c>
      <c r="J853" s="6"/>
      <c r="K853" s="6" t="s">
        <v>4414</v>
      </c>
      <c r="L853" s="7"/>
      <c r="M853" s="7"/>
    </row>
    <row r="854" customFormat="false" ht="35.05" hidden="false" customHeight="false" outlineLevel="0" collapsed="false">
      <c r="A854" s="6" t="s">
        <v>1691</v>
      </c>
      <c r="B854" s="6" t="s">
        <v>110</v>
      </c>
      <c r="C854" s="6" t="s">
        <v>165</v>
      </c>
      <c r="D854" s="6" t="s">
        <v>1330</v>
      </c>
      <c r="E854" s="6"/>
      <c r="F854" s="6" t="s">
        <v>1358</v>
      </c>
      <c r="G854" s="6" t="s">
        <v>4415</v>
      </c>
      <c r="H854" s="6" t="s">
        <v>4435</v>
      </c>
      <c r="I854" s="6" t="n">
        <v>18</v>
      </c>
      <c r="J854" s="6"/>
      <c r="K854" s="6" t="s">
        <v>4417</v>
      </c>
      <c r="L854" s="7"/>
      <c r="M854" s="7"/>
    </row>
    <row r="855" customFormat="false" ht="35.05" hidden="false" customHeight="false" outlineLevel="0" collapsed="false">
      <c r="A855" s="6" t="s">
        <v>1693</v>
      </c>
      <c r="B855" s="6" t="s">
        <v>110</v>
      </c>
      <c r="C855" s="6" t="s">
        <v>1362</v>
      </c>
      <c r="D855" s="6" t="s">
        <v>1330</v>
      </c>
      <c r="E855" s="6"/>
      <c r="F855" s="6" t="s">
        <v>1364</v>
      </c>
      <c r="G855" s="6" t="s">
        <v>4406</v>
      </c>
      <c r="H855" s="6" t="s">
        <v>4436</v>
      </c>
      <c r="I855" s="6" t="n">
        <v>96</v>
      </c>
      <c r="J855" s="6" t="s">
        <v>83</v>
      </c>
      <c r="K855" s="6" t="s">
        <v>4504</v>
      </c>
      <c r="L855" s="7"/>
      <c r="M855" s="7"/>
    </row>
    <row r="856" customFormat="false" ht="35.05" hidden="false" customHeight="false" outlineLevel="0" collapsed="false">
      <c r="A856" s="6" t="s">
        <v>1693</v>
      </c>
      <c r="B856" s="6" t="s">
        <v>110</v>
      </c>
      <c r="C856" s="6" t="s">
        <v>1362</v>
      </c>
      <c r="D856" s="6" t="s">
        <v>1330</v>
      </c>
      <c r="E856" s="6"/>
      <c r="F856" s="6" t="s">
        <v>1364</v>
      </c>
      <c r="G856" s="6" t="s">
        <v>4409</v>
      </c>
      <c r="H856" s="6" t="s">
        <v>4438</v>
      </c>
      <c r="I856" s="6" t="n">
        <v>62</v>
      </c>
      <c r="J856" s="6"/>
      <c r="K856" s="6" t="s">
        <v>4411</v>
      </c>
      <c r="L856" s="7"/>
      <c r="M856" s="7"/>
    </row>
    <row r="857" customFormat="false" ht="35.05" hidden="false" customHeight="false" outlineLevel="0" collapsed="false">
      <c r="A857" s="6" t="s">
        <v>1693</v>
      </c>
      <c r="B857" s="6" t="s">
        <v>110</v>
      </c>
      <c r="C857" s="6" t="s">
        <v>1362</v>
      </c>
      <c r="D857" s="6" t="s">
        <v>1330</v>
      </c>
      <c r="E857" s="6"/>
      <c r="F857" s="6" t="s">
        <v>1364</v>
      </c>
      <c r="G857" s="6" t="s">
        <v>4412</v>
      </c>
      <c r="H857" s="6" t="s">
        <v>4439</v>
      </c>
      <c r="I857" s="6" t="n">
        <v>28</v>
      </c>
      <c r="J857" s="6"/>
      <c r="K857" s="6" t="s">
        <v>4414</v>
      </c>
      <c r="L857" s="7"/>
      <c r="M857" s="7"/>
    </row>
    <row r="858" customFormat="false" ht="35.05" hidden="false" customHeight="false" outlineLevel="0" collapsed="false">
      <c r="A858" s="6" t="s">
        <v>1693</v>
      </c>
      <c r="B858" s="6" t="s">
        <v>110</v>
      </c>
      <c r="C858" s="6" t="s">
        <v>1362</v>
      </c>
      <c r="D858" s="6" t="s">
        <v>1330</v>
      </c>
      <c r="E858" s="6"/>
      <c r="F858" s="6" t="s">
        <v>1364</v>
      </c>
      <c r="G858" s="6" t="s">
        <v>4415</v>
      </c>
      <c r="H858" s="6" t="s">
        <v>4440</v>
      </c>
      <c r="I858" s="6" t="n">
        <v>18</v>
      </c>
      <c r="J858" s="6"/>
      <c r="K858" s="6" t="s">
        <v>4417</v>
      </c>
      <c r="L858" s="7"/>
      <c r="M858" s="7"/>
    </row>
    <row r="859" customFormat="false" ht="35.05" hidden="false" customHeight="false" outlineLevel="0" collapsed="false">
      <c r="A859" s="6" t="s">
        <v>1696</v>
      </c>
      <c r="B859" s="6" t="s">
        <v>110</v>
      </c>
      <c r="C859" s="6" t="s">
        <v>1362</v>
      </c>
      <c r="D859" s="6" t="s">
        <v>1330</v>
      </c>
      <c r="E859" s="6"/>
      <c r="F859" s="6" t="s">
        <v>1370</v>
      </c>
      <c r="G859" s="6" t="s">
        <v>4406</v>
      </c>
      <c r="H859" s="6" t="s">
        <v>4441</v>
      </c>
      <c r="I859" s="6" t="n">
        <v>96</v>
      </c>
      <c r="J859" s="6" t="s">
        <v>83</v>
      </c>
      <c r="K859" s="6" t="s">
        <v>4504</v>
      </c>
      <c r="L859" s="7"/>
      <c r="M859" s="7"/>
    </row>
    <row r="860" customFormat="false" ht="35.05" hidden="false" customHeight="false" outlineLevel="0" collapsed="false">
      <c r="A860" s="6" t="s">
        <v>1696</v>
      </c>
      <c r="B860" s="6" t="s">
        <v>110</v>
      </c>
      <c r="C860" s="6" t="s">
        <v>1362</v>
      </c>
      <c r="D860" s="6" t="s">
        <v>1330</v>
      </c>
      <c r="E860" s="6"/>
      <c r="F860" s="6" t="s">
        <v>1370</v>
      </c>
      <c r="G860" s="6" t="s">
        <v>4409</v>
      </c>
      <c r="H860" s="6" t="s">
        <v>4442</v>
      </c>
      <c r="I860" s="6" t="n">
        <v>62</v>
      </c>
      <c r="J860" s="6"/>
      <c r="K860" s="6" t="s">
        <v>4411</v>
      </c>
      <c r="L860" s="7"/>
      <c r="M860" s="7"/>
    </row>
    <row r="861" customFormat="false" ht="35.05" hidden="false" customHeight="false" outlineLevel="0" collapsed="false">
      <c r="A861" s="6" t="s">
        <v>1696</v>
      </c>
      <c r="B861" s="6" t="s">
        <v>110</v>
      </c>
      <c r="C861" s="6" t="s">
        <v>1362</v>
      </c>
      <c r="D861" s="6" t="s">
        <v>1330</v>
      </c>
      <c r="E861" s="6"/>
      <c r="F861" s="6" t="s">
        <v>1370</v>
      </c>
      <c r="G861" s="6" t="s">
        <v>4412</v>
      </c>
      <c r="H861" s="6" t="s">
        <v>4443</v>
      </c>
      <c r="I861" s="6" t="n">
        <v>28</v>
      </c>
      <c r="J861" s="6"/>
      <c r="K861" s="6" t="s">
        <v>4414</v>
      </c>
      <c r="L861" s="7"/>
      <c r="M861" s="7"/>
    </row>
    <row r="862" customFormat="false" ht="35.05" hidden="false" customHeight="false" outlineLevel="0" collapsed="false">
      <c r="A862" s="6" t="s">
        <v>1696</v>
      </c>
      <c r="B862" s="6" t="s">
        <v>110</v>
      </c>
      <c r="C862" s="6" t="s">
        <v>1362</v>
      </c>
      <c r="D862" s="6" t="s">
        <v>1330</v>
      </c>
      <c r="E862" s="6"/>
      <c r="F862" s="6" t="s">
        <v>1370</v>
      </c>
      <c r="G862" s="6" t="s">
        <v>4415</v>
      </c>
      <c r="H862" s="6" t="s">
        <v>4444</v>
      </c>
      <c r="I862" s="6" t="n">
        <v>18</v>
      </c>
      <c r="J862" s="6"/>
      <c r="K862" s="6" t="s">
        <v>4417</v>
      </c>
      <c r="L862" s="7"/>
      <c r="M862" s="7"/>
    </row>
    <row r="863" customFormat="false" ht="23.85" hidden="false" customHeight="false" outlineLevel="0" collapsed="false">
      <c r="A863" s="6" t="s">
        <v>1698</v>
      </c>
      <c r="B863" s="6" t="s">
        <v>132</v>
      </c>
      <c r="C863" s="6" t="s">
        <v>79</v>
      </c>
      <c r="D863" s="6" t="s">
        <v>1330</v>
      </c>
      <c r="E863" s="6"/>
      <c r="F863" s="6" t="s">
        <v>1335</v>
      </c>
      <c r="G863" s="6" t="s">
        <v>4406</v>
      </c>
      <c r="H863" s="6" t="s">
        <v>4407</v>
      </c>
      <c r="I863" s="6" t="n">
        <v>96</v>
      </c>
      <c r="J863" s="6" t="s">
        <v>83</v>
      </c>
      <c r="K863" s="6" t="s">
        <v>4505</v>
      </c>
      <c r="L863" s="7"/>
      <c r="M863" s="7"/>
    </row>
    <row r="864" customFormat="false" ht="23.85" hidden="false" customHeight="false" outlineLevel="0" collapsed="false">
      <c r="A864" s="6" t="s">
        <v>1698</v>
      </c>
      <c r="B864" s="6" t="s">
        <v>132</v>
      </c>
      <c r="C864" s="6" t="s">
        <v>79</v>
      </c>
      <c r="D864" s="6" t="s">
        <v>1330</v>
      </c>
      <c r="E864" s="6"/>
      <c r="F864" s="6" t="s">
        <v>1335</v>
      </c>
      <c r="G864" s="6" t="s">
        <v>4409</v>
      </c>
      <c r="H864" s="6" t="s">
        <v>4410</v>
      </c>
      <c r="I864" s="6" t="n">
        <v>60</v>
      </c>
      <c r="J864" s="6"/>
      <c r="K864" s="6" t="s">
        <v>4411</v>
      </c>
      <c r="L864" s="7"/>
      <c r="M864" s="7"/>
    </row>
    <row r="865" customFormat="false" ht="23.85" hidden="false" customHeight="false" outlineLevel="0" collapsed="false">
      <c r="A865" s="6" t="s">
        <v>1698</v>
      </c>
      <c r="B865" s="6" t="s">
        <v>132</v>
      </c>
      <c r="C865" s="6" t="s">
        <v>79</v>
      </c>
      <c r="D865" s="6" t="s">
        <v>1330</v>
      </c>
      <c r="E865" s="6"/>
      <c r="F865" s="6" t="s">
        <v>1335</v>
      </c>
      <c r="G865" s="6" t="s">
        <v>4412</v>
      </c>
      <c r="H865" s="6" t="s">
        <v>4413</v>
      </c>
      <c r="I865" s="6" t="n">
        <v>28</v>
      </c>
      <c r="J865" s="6"/>
      <c r="K865" s="6" t="s">
        <v>4414</v>
      </c>
      <c r="L865" s="7"/>
      <c r="M865" s="7"/>
    </row>
    <row r="866" customFormat="false" ht="23.85" hidden="false" customHeight="false" outlineLevel="0" collapsed="false">
      <c r="A866" s="6" t="s">
        <v>1698</v>
      </c>
      <c r="B866" s="6" t="s">
        <v>132</v>
      </c>
      <c r="C866" s="6" t="s">
        <v>79</v>
      </c>
      <c r="D866" s="6" t="s">
        <v>1330</v>
      </c>
      <c r="E866" s="6"/>
      <c r="F866" s="6" t="s">
        <v>1335</v>
      </c>
      <c r="G866" s="6" t="s">
        <v>4415</v>
      </c>
      <c r="H866" s="6" t="s">
        <v>4416</v>
      </c>
      <c r="I866" s="6" t="n">
        <v>18</v>
      </c>
      <c r="J866" s="6"/>
      <c r="K866" s="6" t="s">
        <v>4417</v>
      </c>
      <c r="L866" s="7"/>
      <c r="M866" s="7"/>
    </row>
    <row r="867" customFormat="false" ht="23.85" hidden="false" customHeight="false" outlineLevel="0" collapsed="false">
      <c r="A867" s="6" t="s">
        <v>1706</v>
      </c>
      <c r="B867" s="6" t="s">
        <v>132</v>
      </c>
      <c r="C867" s="6" t="s">
        <v>98</v>
      </c>
      <c r="D867" s="6" t="s">
        <v>1330</v>
      </c>
      <c r="E867" s="6"/>
      <c r="F867" s="6" t="s">
        <v>1341</v>
      </c>
      <c r="G867" s="6" t="s">
        <v>4406</v>
      </c>
      <c r="H867" s="6" t="s">
        <v>4418</v>
      </c>
      <c r="I867" s="6" t="n">
        <v>96</v>
      </c>
      <c r="J867" s="6" t="s">
        <v>83</v>
      </c>
      <c r="K867" s="6" t="s">
        <v>4506</v>
      </c>
      <c r="L867" s="7"/>
      <c r="M867" s="7"/>
    </row>
    <row r="868" customFormat="false" ht="23.85" hidden="false" customHeight="false" outlineLevel="0" collapsed="false">
      <c r="A868" s="6" t="s">
        <v>1706</v>
      </c>
      <c r="B868" s="6" t="s">
        <v>132</v>
      </c>
      <c r="C868" s="6" t="s">
        <v>98</v>
      </c>
      <c r="D868" s="6" t="s">
        <v>1330</v>
      </c>
      <c r="E868" s="6"/>
      <c r="F868" s="6" t="s">
        <v>1341</v>
      </c>
      <c r="G868" s="6" t="s">
        <v>4409</v>
      </c>
      <c r="H868" s="6" t="s">
        <v>4420</v>
      </c>
      <c r="I868" s="6" t="n">
        <v>58</v>
      </c>
      <c r="J868" s="6"/>
      <c r="K868" s="6" t="s">
        <v>4411</v>
      </c>
      <c r="L868" s="7"/>
      <c r="M868" s="7"/>
    </row>
    <row r="869" customFormat="false" ht="23.85" hidden="false" customHeight="false" outlineLevel="0" collapsed="false">
      <c r="A869" s="6" t="s">
        <v>1706</v>
      </c>
      <c r="B869" s="6" t="s">
        <v>132</v>
      </c>
      <c r="C869" s="6" t="s">
        <v>98</v>
      </c>
      <c r="D869" s="6" t="s">
        <v>1330</v>
      </c>
      <c r="E869" s="6"/>
      <c r="F869" s="6" t="s">
        <v>1341</v>
      </c>
      <c r="G869" s="6" t="s">
        <v>4412</v>
      </c>
      <c r="H869" s="6" t="s">
        <v>4421</v>
      </c>
      <c r="I869" s="6" t="n">
        <v>28</v>
      </c>
      <c r="J869" s="6"/>
      <c r="K869" s="6" t="s">
        <v>4414</v>
      </c>
      <c r="L869" s="7"/>
      <c r="M869" s="7"/>
    </row>
    <row r="870" customFormat="false" ht="23.85" hidden="false" customHeight="false" outlineLevel="0" collapsed="false">
      <c r="A870" s="6" t="s">
        <v>1706</v>
      </c>
      <c r="B870" s="6" t="s">
        <v>132</v>
      </c>
      <c r="C870" s="6" t="s">
        <v>98</v>
      </c>
      <c r="D870" s="6" t="s">
        <v>1330</v>
      </c>
      <c r="E870" s="6"/>
      <c r="F870" s="6" t="s">
        <v>1341</v>
      </c>
      <c r="G870" s="6" t="s">
        <v>4415</v>
      </c>
      <c r="H870" s="6" t="s">
        <v>4422</v>
      </c>
      <c r="I870" s="6" t="n">
        <v>18</v>
      </c>
      <c r="J870" s="6"/>
      <c r="K870" s="6" t="s">
        <v>4417</v>
      </c>
      <c r="L870" s="7"/>
      <c r="M870" s="7"/>
    </row>
    <row r="871" customFormat="false" ht="23.85" hidden="false" customHeight="false" outlineLevel="0" collapsed="false">
      <c r="A871" s="6" t="s">
        <v>1709</v>
      </c>
      <c r="B871" s="6" t="s">
        <v>132</v>
      </c>
      <c r="C871" s="6" t="s">
        <v>98</v>
      </c>
      <c r="D871" s="6" t="s">
        <v>1330</v>
      </c>
      <c r="E871" s="6"/>
      <c r="F871" s="6" t="s">
        <v>1347</v>
      </c>
      <c r="G871" s="6" t="s">
        <v>4406</v>
      </c>
      <c r="H871" s="6" t="s">
        <v>4423</v>
      </c>
      <c r="I871" s="6" t="n">
        <v>96</v>
      </c>
      <c r="J871" s="6" t="s">
        <v>83</v>
      </c>
      <c r="K871" s="6" t="s">
        <v>4506</v>
      </c>
      <c r="L871" s="7"/>
      <c r="M871" s="7"/>
    </row>
    <row r="872" customFormat="false" ht="23.85" hidden="false" customHeight="false" outlineLevel="0" collapsed="false">
      <c r="A872" s="6" t="s">
        <v>1709</v>
      </c>
      <c r="B872" s="6" t="s">
        <v>132</v>
      </c>
      <c r="C872" s="6" t="s">
        <v>98</v>
      </c>
      <c r="D872" s="6" t="s">
        <v>1330</v>
      </c>
      <c r="E872" s="6"/>
      <c r="F872" s="6" t="s">
        <v>1347</v>
      </c>
      <c r="G872" s="6" t="s">
        <v>4409</v>
      </c>
      <c r="H872" s="6" t="s">
        <v>4424</v>
      </c>
      <c r="I872" s="6" t="n">
        <v>58</v>
      </c>
      <c r="J872" s="6"/>
      <c r="K872" s="6" t="s">
        <v>4411</v>
      </c>
      <c r="L872" s="7"/>
      <c r="M872" s="7"/>
    </row>
    <row r="873" customFormat="false" ht="23.85" hidden="false" customHeight="false" outlineLevel="0" collapsed="false">
      <c r="A873" s="6" t="s">
        <v>1709</v>
      </c>
      <c r="B873" s="6" t="s">
        <v>132</v>
      </c>
      <c r="C873" s="6" t="s">
        <v>98</v>
      </c>
      <c r="D873" s="6" t="s">
        <v>1330</v>
      </c>
      <c r="E873" s="6"/>
      <c r="F873" s="6" t="s">
        <v>1347</v>
      </c>
      <c r="G873" s="6" t="s">
        <v>4412</v>
      </c>
      <c r="H873" s="6" t="s">
        <v>4425</v>
      </c>
      <c r="I873" s="6" t="n">
        <v>28</v>
      </c>
      <c r="J873" s="6"/>
      <c r="K873" s="6" t="s">
        <v>4414</v>
      </c>
      <c r="L873" s="7"/>
      <c r="M873" s="7"/>
    </row>
    <row r="874" customFormat="false" ht="23.85" hidden="false" customHeight="false" outlineLevel="0" collapsed="false">
      <c r="A874" s="6" t="s">
        <v>1709</v>
      </c>
      <c r="B874" s="6" t="s">
        <v>132</v>
      </c>
      <c r="C874" s="6" t="s">
        <v>98</v>
      </c>
      <c r="D874" s="6" t="s">
        <v>1330</v>
      </c>
      <c r="E874" s="6"/>
      <c r="F874" s="6" t="s">
        <v>1347</v>
      </c>
      <c r="G874" s="6" t="s">
        <v>4415</v>
      </c>
      <c r="H874" s="6" t="s">
        <v>4426</v>
      </c>
      <c r="I874" s="6" t="n">
        <v>18</v>
      </c>
      <c r="J874" s="6"/>
      <c r="K874" s="6" t="s">
        <v>4417</v>
      </c>
      <c r="L874" s="7"/>
      <c r="M874" s="7"/>
    </row>
    <row r="875" customFormat="false" ht="35.05" hidden="false" customHeight="false" outlineLevel="0" collapsed="false">
      <c r="A875" s="6" t="s">
        <v>1711</v>
      </c>
      <c r="B875" s="6" t="s">
        <v>132</v>
      </c>
      <c r="C875" s="6" t="s">
        <v>165</v>
      </c>
      <c r="D875" s="6" t="s">
        <v>1330</v>
      </c>
      <c r="E875" s="6"/>
      <c r="F875" s="6" t="s">
        <v>1352</v>
      </c>
      <c r="G875" s="6" t="s">
        <v>4406</v>
      </c>
      <c r="H875" s="6" t="s">
        <v>4427</v>
      </c>
      <c r="I875" s="6" t="n">
        <v>96</v>
      </c>
      <c r="J875" s="6" t="s">
        <v>83</v>
      </c>
      <c r="K875" s="6" t="s">
        <v>4507</v>
      </c>
      <c r="L875" s="7"/>
      <c r="M875" s="7"/>
    </row>
    <row r="876" customFormat="false" ht="23.85" hidden="false" customHeight="false" outlineLevel="0" collapsed="false">
      <c r="A876" s="6" t="s">
        <v>1711</v>
      </c>
      <c r="B876" s="6" t="s">
        <v>132</v>
      </c>
      <c r="C876" s="6" t="s">
        <v>165</v>
      </c>
      <c r="D876" s="6" t="s">
        <v>1330</v>
      </c>
      <c r="E876" s="6"/>
      <c r="F876" s="6" t="s">
        <v>1352</v>
      </c>
      <c r="G876" s="6" t="s">
        <v>4409</v>
      </c>
      <c r="H876" s="6" t="s">
        <v>4429</v>
      </c>
      <c r="I876" s="6" t="n">
        <v>62</v>
      </c>
      <c r="J876" s="6"/>
      <c r="K876" s="6" t="s">
        <v>4411</v>
      </c>
      <c r="L876" s="7"/>
      <c r="M876" s="7"/>
    </row>
    <row r="877" customFormat="false" ht="23.85" hidden="false" customHeight="false" outlineLevel="0" collapsed="false">
      <c r="A877" s="6" t="s">
        <v>1711</v>
      </c>
      <c r="B877" s="6" t="s">
        <v>132</v>
      </c>
      <c r="C877" s="6" t="s">
        <v>165</v>
      </c>
      <c r="D877" s="6" t="s">
        <v>1330</v>
      </c>
      <c r="E877" s="6"/>
      <c r="F877" s="6" t="s">
        <v>1352</v>
      </c>
      <c r="G877" s="6" t="s">
        <v>4412</v>
      </c>
      <c r="H877" s="6" t="s">
        <v>4430</v>
      </c>
      <c r="I877" s="6" t="n">
        <v>28</v>
      </c>
      <c r="J877" s="6"/>
      <c r="K877" s="6" t="s">
        <v>4414</v>
      </c>
      <c r="L877" s="7"/>
      <c r="M877" s="7"/>
    </row>
    <row r="878" customFormat="false" ht="23.85" hidden="false" customHeight="false" outlineLevel="0" collapsed="false">
      <c r="A878" s="6" t="s">
        <v>1711</v>
      </c>
      <c r="B878" s="6" t="s">
        <v>132</v>
      </c>
      <c r="C878" s="6" t="s">
        <v>165</v>
      </c>
      <c r="D878" s="6" t="s">
        <v>1330</v>
      </c>
      <c r="E878" s="6"/>
      <c r="F878" s="6" t="s">
        <v>1352</v>
      </c>
      <c r="G878" s="6" t="s">
        <v>4415</v>
      </c>
      <c r="H878" s="6" t="s">
        <v>4431</v>
      </c>
      <c r="I878" s="6" t="n">
        <v>18</v>
      </c>
      <c r="J878" s="6"/>
      <c r="K878" s="6" t="s">
        <v>4417</v>
      </c>
      <c r="L878" s="7"/>
      <c r="M878" s="7"/>
    </row>
    <row r="879" customFormat="false" ht="35.05" hidden="false" customHeight="false" outlineLevel="0" collapsed="false">
      <c r="A879" s="6" t="s">
        <v>1714</v>
      </c>
      <c r="B879" s="6" t="s">
        <v>132</v>
      </c>
      <c r="C879" s="6" t="s">
        <v>165</v>
      </c>
      <c r="D879" s="6" t="s">
        <v>1330</v>
      </c>
      <c r="E879" s="6"/>
      <c r="F879" s="6" t="s">
        <v>1358</v>
      </c>
      <c r="G879" s="6" t="s">
        <v>4406</v>
      </c>
      <c r="H879" s="6" t="s">
        <v>4432</v>
      </c>
      <c r="I879" s="6" t="n">
        <v>96</v>
      </c>
      <c r="J879" s="6" t="s">
        <v>83</v>
      </c>
      <c r="K879" s="6" t="s">
        <v>4507</v>
      </c>
      <c r="L879" s="7"/>
      <c r="M879" s="7"/>
    </row>
    <row r="880" customFormat="false" ht="23.85" hidden="false" customHeight="false" outlineLevel="0" collapsed="false">
      <c r="A880" s="6" t="s">
        <v>1714</v>
      </c>
      <c r="B880" s="6" t="s">
        <v>132</v>
      </c>
      <c r="C880" s="6" t="s">
        <v>165</v>
      </c>
      <c r="D880" s="6" t="s">
        <v>1330</v>
      </c>
      <c r="E880" s="6"/>
      <c r="F880" s="6" t="s">
        <v>1358</v>
      </c>
      <c r="G880" s="6" t="s">
        <v>4409</v>
      </c>
      <c r="H880" s="6" t="s">
        <v>4433</v>
      </c>
      <c r="I880" s="6" t="n">
        <v>62</v>
      </c>
      <c r="J880" s="6"/>
      <c r="K880" s="6" t="s">
        <v>4411</v>
      </c>
      <c r="L880" s="7"/>
      <c r="M880" s="7"/>
    </row>
    <row r="881" customFormat="false" ht="23.85" hidden="false" customHeight="false" outlineLevel="0" collapsed="false">
      <c r="A881" s="6" t="s">
        <v>1714</v>
      </c>
      <c r="B881" s="6" t="s">
        <v>132</v>
      </c>
      <c r="C881" s="6" t="s">
        <v>165</v>
      </c>
      <c r="D881" s="6" t="s">
        <v>1330</v>
      </c>
      <c r="E881" s="6"/>
      <c r="F881" s="6" t="s">
        <v>1358</v>
      </c>
      <c r="G881" s="6" t="s">
        <v>4412</v>
      </c>
      <c r="H881" s="6" t="s">
        <v>4434</v>
      </c>
      <c r="I881" s="6" t="n">
        <v>28</v>
      </c>
      <c r="J881" s="6"/>
      <c r="K881" s="6" t="s">
        <v>4414</v>
      </c>
      <c r="L881" s="7"/>
      <c r="M881" s="7"/>
    </row>
    <row r="882" customFormat="false" ht="23.85" hidden="false" customHeight="false" outlineLevel="0" collapsed="false">
      <c r="A882" s="6" t="s">
        <v>1714</v>
      </c>
      <c r="B882" s="6" t="s">
        <v>132</v>
      </c>
      <c r="C882" s="6" t="s">
        <v>165</v>
      </c>
      <c r="D882" s="6" t="s">
        <v>1330</v>
      </c>
      <c r="E882" s="6"/>
      <c r="F882" s="6" t="s">
        <v>1358</v>
      </c>
      <c r="G882" s="6" t="s">
        <v>4415</v>
      </c>
      <c r="H882" s="6" t="s">
        <v>4435</v>
      </c>
      <c r="I882" s="6" t="n">
        <v>18</v>
      </c>
      <c r="J882" s="6"/>
      <c r="K882" s="6" t="s">
        <v>4417</v>
      </c>
      <c r="L882" s="7"/>
      <c r="M882" s="7"/>
    </row>
    <row r="883" customFormat="false" ht="35.05" hidden="false" customHeight="false" outlineLevel="0" collapsed="false">
      <c r="A883" s="6" t="s">
        <v>1716</v>
      </c>
      <c r="B883" s="6" t="s">
        <v>132</v>
      </c>
      <c r="C883" s="6" t="s">
        <v>1362</v>
      </c>
      <c r="D883" s="6" t="s">
        <v>1330</v>
      </c>
      <c r="E883" s="6"/>
      <c r="F883" s="6" t="s">
        <v>1364</v>
      </c>
      <c r="G883" s="6" t="s">
        <v>4406</v>
      </c>
      <c r="H883" s="6" t="s">
        <v>4436</v>
      </c>
      <c r="I883" s="6" t="n">
        <v>96</v>
      </c>
      <c r="J883" s="6" t="s">
        <v>83</v>
      </c>
      <c r="K883" s="6" t="s">
        <v>4508</v>
      </c>
      <c r="L883" s="7"/>
      <c r="M883" s="7"/>
    </row>
    <row r="884" customFormat="false" ht="35.05" hidden="false" customHeight="false" outlineLevel="0" collapsed="false">
      <c r="A884" s="6" t="s">
        <v>1716</v>
      </c>
      <c r="B884" s="6" t="s">
        <v>132</v>
      </c>
      <c r="C884" s="6" t="s">
        <v>1362</v>
      </c>
      <c r="D884" s="6" t="s">
        <v>1330</v>
      </c>
      <c r="E884" s="6"/>
      <c r="F884" s="6" t="s">
        <v>1364</v>
      </c>
      <c r="G884" s="6" t="s">
        <v>4409</v>
      </c>
      <c r="H884" s="6" t="s">
        <v>4438</v>
      </c>
      <c r="I884" s="6" t="n">
        <v>62</v>
      </c>
      <c r="J884" s="6"/>
      <c r="K884" s="6" t="s">
        <v>4411</v>
      </c>
      <c r="L884" s="7"/>
      <c r="M884" s="7"/>
    </row>
    <row r="885" customFormat="false" ht="35.05" hidden="false" customHeight="false" outlineLevel="0" collapsed="false">
      <c r="A885" s="6" t="s">
        <v>1716</v>
      </c>
      <c r="B885" s="6" t="s">
        <v>132</v>
      </c>
      <c r="C885" s="6" t="s">
        <v>1362</v>
      </c>
      <c r="D885" s="6" t="s">
        <v>1330</v>
      </c>
      <c r="E885" s="6"/>
      <c r="F885" s="6" t="s">
        <v>1364</v>
      </c>
      <c r="G885" s="6" t="s">
        <v>4412</v>
      </c>
      <c r="H885" s="6" t="s">
        <v>4439</v>
      </c>
      <c r="I885" s="6" t="n">
        <v>28</v>
      </c>
      <c r="J885" s="6"/>
      <c r="K885" s="6" t="s">
        <v>4414</v>
      </c>
      <c r="L885" s="7"/>
      <c r="M885" s="7"/>
    </row>
    <row r="886" customFormat="false" ht="35.05" hidden="false" customHeight="false" outlineLevel="0" collapsed="false">
      <c r="A886" s="6" t="s">
        <v>1716</v>
      </c>
      <c r="B886" s="6" t="s">
        <v>132</v>
      </c>
      <c r="C886" s="6" t="s">
        <v>1362</v>
      </c>
      <c r="D886" s="6" t="s">
        <v>1330</v>
      </c>
      <c r="E886" s="6"/>
      <c r="F886" s="6" t="s">
        <v>1364</v>
      </c>
      <c r="G886" s="6" t="s">
        <v>4415</v>
      </c>
      <c r="H886" s="6" t="s">
        <v>4440</v>
      </c>
      <c r="I886" s="6" t="n">
        <v>18</v>
      </c>
      <c r="J886" s="6"/>
      <c r="K886" s="6" t="s">
        <v>4417</v>
      </c>
      <c r="L886" s="7"/>
      <c r="M886" s="7"/>
    </row>
    <row r="887" customFormat="false" ht="35.05" hidden="false" customHeight="false" outlineLevel="0" collapsed="false">
      <c r="A887" s="6" t="s">
        <v>1719</v>
      </c>
      <c r="B887" s="6" t="s">
        <v>132</v>
      </c>
      <c r="C887" s="6" t="s">
        <v>1362</v>
      </c>
      <c r="D887" s="6" t="s">
        <v>1330</v>
      </c>
      <c r="E887" s="6"/>
      <c r="F887" s="6" t="s">
        <v>1370</v>
      </c>
      <c r="G887" s="6" t="s">
        <v>4406</v>
      </c>
      <c r="H887" s="6" t="s">
        <v>4441</v>
      </c>
      <c r="I887" s="6" t="n">
        <v>96</v>
      </c>
      <c r="J887" s="6" t="s">
        <v>83</v>
      </c>
      <c r="K887" s="6" t="s">
        <v>4508</v>
      </c>
      <c r="L887" s="7"/>
      <c r="M887" s="7"/>
    </row>
    <row r="888" customFormat="false" ht="23.85" hidden="false" customHeight="false" outlineLevel="0" collapsed="false">
      <c r="A888" s="6" t="s">
        <v>1719</v>
      </c>
      <c r="B888" s="6" t="s">
        <v>132</v>
      </c>
      <c r="C888" s="6" t="s">
        <v>1362</v>
      </c>
      <c r="D888" s="6" t="s">
        <v>1330</v>
      </c>
      <c r="E888" s="6"/>
      <c r="F888" s="6" t="s">
        <v>1370</v>
      </c>
      <c r="G888" s="6" t="s">
        <v>4409</v>
      </c>
      <c r="H888" s="6" t="s">
        <v>4442</v>
      </c>
      <c r="I888" s="6" t="n">
        <v>62</v>
      </c>
      <c r="J888" s="6"/>
      <c r="K888" s="6" t="s">
        <v>4411</v>
      </c>
      <c r="L888" s="7"/>
      <c r="M888" s="7"/>
    </row>
    <row r="889" customFormat="false" ht="23.85" hidden="false" customHeight="false" outlineLevel="0" collapsed="false">
      <c r="A889" s="6" t="s">
        <v>1719</v>
      </c>
      <c r="B889" s="6" t="s">
        <v>132</v>
      </c>
      <c r="C889" s="6" t="s">
        <v>1362</v>
      </c>
      <c r="D889" s="6" t="s">
        <v>1330</v>
      </c>
      <c r="E889" s="6"/>
      <c r="F889" s="6" t="s">
        <v>1370</v>
      </c>
      <c r="G889" s="6" t="s">
        <v>4412</v>
      </c>
      <c r="H889" s="6" t="s">
        <v>4443</v>
      </c>
      <c r="I889" s="6" t="n">
        <v>28</v>
      </c>
      <c r="J889" s="6"/>
      <c r="K889" s="6" t="s">
        <v>4414</v>
      </c>
      <c r="L889" s="7"/>
      <c r="M889" s="7"/>
    </row>
    <row r="890" customFormat="false" ht="23.85" hidden="false" customHeight="false" outlineLevel="0" collapsed="false">
      <c r="A890" s="6" t="s">
        <v>1719</v>
      </c>
      <c r="B890" s="6" t="s">
        <v>132</v>
      </c>
      <c r="C890" s="6" t="s">
        <v>1362</v>
      </c>
      <c r="D890" s="6" t="s">
        <v>1330</v>
      </c>
      <c r="E890" s="6"/>
      <c r="F890" s="6" t="s">
        <v>1370</v>
      </c>
      <c r="G890" s="6" t="s">
        <v>4415</v>
      </c>
      <c r="H890" s="6" t="s">
        <v>4444</v>
      </c>
      <c r="I890" s="6" t="n">
        <v>18</v>
      </c>
      <c r="J890" s="6"/>
      <c r="K890" s="6" t="s">
        <v>4417</v>
      </c>
      <c r="L890" s="7"/>
      <c r="M890" s="7"/>
    </row>
    <row r="891" customFormat="false" ht="35.05" hidden="false" customHeight="false" outlineLevel="0" collapsed="false">
      <c r="A891" s="6" t="s">
        <v>1721</v>
      </c>
      <c r="B891" s="6" t="s">
        <v>132</v>
      </c>
      <c r="C891" s="6" t="s">
        <v>79</v>
      </c>
      <c r="D891" s="6" t="s">
        <v>1330</v>
      </c>
      <c r="E891" s="6"/>
      <c r="F891" s="6" t="s">
        <v>1335</v>
      </c>
      <c r="G891" s="6" t="s">
        <v>4406</v>
      </c>
      <c r="H891" s="6" t="s">
        <v>4407</v>
      </c>
      <c r="I891" s="6" t="n">
        <v>96</v>
      </c>
      <c r="J891" s="6" t="s">
        <v>83</v>
      </c>
      <c r="K891" s="6" t="s">
        <v>4509</v>
      </c>
      <c r="L891" s="7"/>
      <c r="M891" s="7"/>
    </row>
    <row r="892" customFormat="false" ht="35.05" hidden="false" customHeight="false" outlineLevel="0" collapsed="false">
      <c r="A892" s="6" t="s">
        <v>1721</v>
      </c>
      <c r="B892" s="6" t="s">
        <v>132</v>
      </c>
      <c r="C892" s="6" t="s">
        <v>79</v>
      </c>
      <c r="D892" s="6" t="s">
        <v>1330</v>
      </c>
      <c r="E892" s="6"/>
      <c r="F892" s="6" t="s">
        <v>1335</v>
      </c>
      <c r="G892" s="6" t="s">
        <v>4409</v>
      </c>
      <c r="H892" s="6" t="s">
        <v>4410</v>
      </c>
      <c r="I892" s="6" t="n">
        <v>60</v>
      </c>
      <c r="J892" s="6"/>
      <c r="K892" s="6" t="s">
        <v>4411</v>
      </c>
      <c r="L892" s="7"/>
      <c r="M892" s="7"/>
    </row>
    <row r="893" customFormat="false" ht="35.05" hidden="false" customHeight="false" outlineLevel="0" collapsed="false">
      <c r="A893" s="6" t="s">
        <v>1721</v>
      </c>
      <c r="B893" s="6" t="s">
        <v>132</v>
      </c>
      <c r="C893" s="6" t="s">
        <v>79</v>
      </c>
      <c r="D893" s="6" t="s">
        <v>1330</v>
      </c>
      <c r="E893" s="6"/>
      <c r="F893" s="6" t="s">
        <v>1335</v>
      </c>
      <c r="G893" s="6" t="s">
        <v>4412</v>
      </c>
      <c r="H893" s="6" t="s">
        <v>4413</v>
      </c>
      <c r="I893" s="6" t="n">
        <v>28</v>
      </c>
      <c r="J893" s="6"/>
      <c r="K893" s="6" t="s">
        <v>4414</v>
      </c>
      <c r="L893" s="7"/>
      <c r="M893" s="7"/>
    </row>
    <row r="894" customFormat="false" ht="35.05" hidden="false" customHeight="false" outlineLevel="0" collapsed="false">
      <c r="A894" s="6" t="s">
        <v>1721</v>
      </c>
      <c r="B894" s="6" t="s">
        <v>132</v>
      </c>
      <c r="C894" s="6" t="s">
        <v>79</v>
      </c>
      <c r="D894" s="6" t="s">
        <v>1330</v>
      </c>
      <c r="E894" s="6"/>
      <c r="F894" s="6" t="s">
        <v>1335</v>
      </c>
      <c r="G894" s="6" t="s">
        <v>4415</v>
      </c>
      <c r="H894" s="6" t="s">
        <v>4416</v>
      </c>
      <c r="I894" s="6" t="n">
        <v>18</v>
      </c>
      <c r="J894" s="6"/>
      <c r="K894" s="6" t="s">
        <v>4417</v>
      </c>
      <c r="L894" s="7"/>
      <c r="M894" s="7"/>
    </row>
    <row r="895" customFormat="false" ht="23.85" hidden="false" customHeight="false" outlineLevel="0" collapsed="false">
      <c r="A895" s="6" t="s">
        <v>1729</v>
      </c>
      <c r="B895" s="6" t="s">
        <v>132</v>
      </c>
      <c r="C895" s="6" t="s">
        <v>98</v>
      </c>
      <c r="D895" s="6" t="s">
        <v>1330</v>
      </c>
      <c r="E895" s="6"/>
      <c r="F895" s="6" t="s">
        <v>1341</v>
      </c>
      <c r="G895" s="6" t="s">
        <v>4406</v>
      </c>
      <c r="H895" s="6" t="s">
        <v>4418</v>
      </c>
      <c r="I895" s="6" t="n">
        <v>96</v>
      </c>
      <c r="J895" s="6" t="s">
        <v>83</v>
      </c>
      <c r="K895" s="6" t="s">
        <v>4510</v>
      </c>
      <c r="L895" s="7"/>
      <c r="M895" s="7"/>
    </row>
    <row r="896" customFormat="false" ht="23.85" hidden="false" customHeight="false" outlineLevel="0" collapsed="false">
      <c r="A896" s="6" t="s">
        <v>1729</v>
      </c>
      <c r="B896" s="6" t="s">
        <v>132</v>
      </c>
      <c r="C896" s="6" t="s">
        <v>98</v>
      </c>
      <c r="D896" s="6" t="s">
        <v>1330</v>
      </c>
      <c r="E896" s="6"/>
      <c r="F896" s="6" t="s">
        <v>1341</v>
      </c>
      <c r="G896" s="6" t="s">
        <v>4409</v>
      </c>
      <c r="H896" s="6" t="s">
        <v>4420</v>
      </c>
      <c r="I896" s="6" t="n">
        <v>58</v>
      </c>
      <c r="J896" s="6"/>
      <c r="K896" s="6" t="s">
        <v>4411</v>
      </c>
      <c r="L896" s="7"/>
      <c r="M896" s="7"/>
    </row>
    <row r="897" customFormat="false" ht="23.85" hidden="false" customHeight="false" outlineLevel="0" collapsed="false">
      <c r="A897" s="6" t="s">
        <v>1729</v>
      </c>
      <c r="B897" s="6" t="s">
        <v>132</v>
      </c>
      <c r="C897" s="6" t="s">
        <v>98</v>
      </c>
      <c r="D897" s="6" t="s">
        <v>1330</v>
      </c>
      <c r="E897" s="6"/>
      <c r="F897" s="6" t="s">
        <v>1341</v>
      </c>
      <c r="G897" s="6" t="s">
        <v>4412</v>
      </c>
      <c r="H897" s="6" t="s">
        <v>4421</v>
      </c>
      <c r="I897" s="6" t="n">
        <v>28</v>
      </c>
      <c r="J897" s="6"/>
      <c r="K897" s="6" t="s">
        <v>4414</v>
      </c>
      <c r="L897" s="7"/>
      <c r="M897" s="7"/>
    </row>
    <row r="898" customFormat="false" ht="23.85" hidden="false" customHeight="false" outlineLevel="0" collapsed="false">
      <c r="A898" s="6" t="s">
        <v>1729</v>
      </c>
      <c r="B898" s="6" t="s">
        <v>132</v>
      </c>
      <c r="C898" s="6" t="s">
        <v>98</v>
      </c>
      <c r="D898" s="6" t="s">
        <v>1330</v>
      </c>
      <c r="E898" s="6"/>
      <c r="F898" s="6" t="s">
        <v>1341</v>
      </c>
      <c r="G898" s="6" t="s">
        <v>4415</v>
      </c>
      <c r="H898" s="6" t="s">
        <v>4422</v>
      </c>
      <c r="I898" s="6" t="n">
        <v>18</v>
      </c>
      <c r="J898" s="6"/>
      <c r="K898" s="6" t="s">
        <v>4417</v>
      </c>
      <c r="L898" s="7"/>
      <c r="M898" s="7"/>
    </row>
    <row r="899" customFormat="false" ht="23.85" hidden="false" customHeight="false" outlineLevel="0" collapsed="false">
      <c r="A899" s="6" t="s">
        <v>1732</v>
      </c>
      <c r="B899" s="6" t="s">
        <v>132</v>
      </c>
      <c r="C899" s="6" t="s">
        <v>98</v>
      </c>
      <c r="D899" s="6" t="s">
        <v>1330</v>
      </c>
      <c r="E899" s="6"/>
      <c r="F899" s="6" t="s">
        <v>1347</v>
      </c>
      <c r="G899" s="6" t="s">
        <v>4406</v>
      </c>
      <c r="H899" s="6" t="s">
        <v>4423</v>
      </c>
      <c r="I899" s="6" t="n">
        <v>96</v>
      </c>
      <c r="J899" s="6" t="s">
        <v>83</v>
      </c>
      <c r="K899" s="6" t="s">
        <v>4510</v>
      </c>
      <c r="L899" s="7"/>
      <c r="M899" s="7"/>
    </row>
    <row r="900" customFormat="false" ht="23.85" hidden="false" customHeight="false" outlineLevel="0" collapsed="false">
      <c r="A900" s="6" t="s">
        <v>1732</v>
      </c>
      <c r="B900" s="6" t="s">
        <v>132</v>
      </c>
      <c r="C900" s="6" t="s">
        <v>98</v>
      </c>
      <c r="D900" s="6" t="s">
        <v>1330</v>
      </c>
      <c r="E900" s="6"/>
      <c r="F900" s="6" t="s">
        <v>1347</v>
      </c>
      <c r="G900" s="6" t="s">
        <v>4409</v>
      </c>
      <c r="H900" s="6" t="s">
        <v>4424</v>
      </c>
      <c r="I900" s="6" t="n">
        <v>58</v>
      </c>
      <c r="J900" s="6"/>
      <c r="K900" s="6" t="s">
        <v>4411</v>
      </c>
      <c r="L900" s="7"/>
      <c r="M900" s="7"/>
    </row>
    <row r="901" customFormat="false" ht="23.85" hidden="false" customHeight="false" outlineLevel="0" collapsed="false">
      <c r="A901" s="6" t="s">
        <v>1732</v>
      </c>
      <c r="B901" s="6" t="s">
        <v>132</v>
      </c>
      <c r="C901" s="6" t="s">
        <v>98</v>
      </c>
      <c r="D901" s="6" t="s">
        <v>1330</v>
      </c>
      <c r="E901" s="6"/>
      <c r="F901" s="6" t="s">
        <v>1347</v>
      </c>
      <c r="G901" s="6" t="s">
        <v>4412</v>
      </c>
      <c r="H901" s="6" t="s">
        <v>4425</v>
      </c>
      <c r="I901" s="6" t="n">
        <v>28</v>
      </c>
      <c r="J901" s="6"/>
      <c r="K901" s="6" t="s">
        <v>4414</v>
      </c>
      <c r="L901" s="7"/>
      <c r="M901" s="7"/>
    </row>
    <row r="902" customFormat="false" ht="23.85" hidden="false" customHeight="false" outlineLevel="0" collapsed="false">
      <c r="A902" s="6" t="s">
        <v>1732</v>
      </c>
      <c r="B902" s="6" t="s">
        <v>132</v>
      </c>
      <c r="C902" s="6" t="s">
        <v>98</v>
      </c>
      <c r="D902" s="6" t="s">
        <v>1330</v>
      </c>
      <c r="E902" s="6"/>
      <c r="F902" s="6" t="s">
        <v>1347</v>
      </c>
      <c r="G902" s="6" t="s">
        <v>4415</v>
      </c>
      <c r="H902" s="6" t="s">
        <v>4426</v>
      </c>
      <c r="I902" s="6" t="n">
        <v>18</v>
      </c>
      <c r="J902" s="6"/>
      <c r="K902" s="6" t="s">
        <v>4417</v>
      </c>
      <c r="L902" s="7"/>
      <c r="M902" s="7"/>
    </row>
    <row r="903" customFormat="false" ht="35.05" hidden="false" customHeight="false" outlineLevel="0" collapsed="false">
      <c r="A903" s="6" t="s">
        <v>1734</v>
      </c>
      <c r="B903" s="6" t="s">
        <v>132</v>
      </c>
      <c r="C903" s="6" t="s">
        <v>165</v>
      </c>
      <c r="D903" s="6" t="s">
        <v>1330</v>
      </c>
      <c r="E903" s="6"/>
      <c r="F903" s="6" t="s">
        <v>1352</v>
      </c>
      <c r="G903" s="6" t="s">
        <v>4406</v>
      </c>
      <c r="H903" s="6" t="s">
        <v>4427</v>
      </c>
      <c r="I903" s="6" t="n">
        <v>96</v>
      </c>
      <c r="J903" s="6" t="s">
        <v>83</v>
      </c>
      <c r="K903" s="6" t="s">
        <v>4511</v>
      </c>
      <c r="L903" s="7"/>
      <c r="M903" s="7"/>
    </row>
    <row r="904" customFormat="false" ht="35.05" hidden="false" customHeight="false" outlineLevel="0" collapsed="false">
      <c r="A904" s="6" t="s">
        <v>1734</v>
      </c>
      <c r="B904" s="6" t="s">
        <v>132</v>
      </c>
      <c r="C904" s="6" t="s">
        <v>165</v>
      </c>
      <c r="D904" s="6" t="s">
        <v>1330</v>
      </c>
      <c r="E904" s="6"/>
      <c r="F904" s="6" t="s">
        <v>1352</v>
      </c>
      <c r="G904" s="6" t="s">
        <v>4409</v>
      </c>
      <c r="H904" s="6" t="s">
        <v>4429</v>
      </c>
      <c r="I904" s="6" t="n">
        <v>62</v>
      </c>
      <c r="J904" s="6"/>
      <c r="K904" s="6" t="s">
        <v>4411</v>
      </c>
      <c r="L904" s="7"/>
      <c r="M904" s="7"/>
    </row>
    <row r="905" customFormat="false" ht="35.05" hidden="false" customHeight="false" outlineLevel="0" collapsed="false">
      <c r="A905" s="6" t="s">
        <v>1734</v>
      </c>
      <c r="B905" s="6" t="s">
        <v>132</v>
      </c>
      <c r="C905" s="6" t="s">
        <v>165</v>
      </c>
      <c r="D905" s="6" t="s">
        <v>1330</v>
      </c>
      <c r="E905" s="6"/>
      <c r="F905" s="6" t="s">
        <v>1352</v>
      </c>
      <c r="G905" s="6" t="s">
        <v>4412</v>
      </c>
      <c r="H905" s="6" t="s">
        <v>4430</v>
      </c>
      <c r="I905" s="6" t="n">
        <v>28</v>
      </c>
      <c r="J905" s="6"/>
      <c r="K905" s="6" t="s">
        <v>4414</v>
      </c>
      <c r="L905" s="7"/>
      <c r="M905" s="7"/>
    </row>
    <row r="906" customFormat="false" ht="35.05" hidden="false" customHeight="false" outlineLevel="0" collapsed="false">
      <c r="A906" s="6" t="s">
        <v>1734</v>
      </c>
      <c r="B906" s="6" t="s">
        <v>132</v>
      </c>
      <c r="C906" s="6" t="s">
        <v>165</v>
      </c>
      <c r="D906" s="6" t="s">
        <v>1330</v>
      </c>
      <c r="E906" s="6"/>
      <c r="F906" s="6" t="s">
        <v>1352</v>
      </c>
      <c r="G906" s="6" t="s">
        <v>4415</v>
      </c>
      <c r="H906" s="6" t="s">
        <v>4431</v>
      </c>
      <c r="I906" s="6" t="n">
        <v>18</v>
      </c>
      <c r="J906" s="6"/>
      <c r="K906" s="6" t="s">
        <v>4417</v>
      </c>
      <c r="L906" s="7"/>
      <c r="M906" s="7"/>
    </row>
    <row r="907" customFormat="false" ht="35.05" hidden="false" customHeight="false" outlineLevel="0" collapsed="false">
      <c r="A907" s="6" t="s">
        <v>1737</v>
      </c>
      <c r="B907" s="6" t="s">
        <v>132</v>
      </c>
      <c r="C907" s="6" t="s">
        <v>165</v>
      </c>
      <c r="D907" s="6" t="s">
        <v>1330</v>
      </c>
      <c r="E907" s="6"/>
      <c r="F907" s="6" t="s">
        <v>1358</v>
      </c>
      <c r="G907" s="6" t="s">
        <v>4406</v>
      </c>
      <c r="H907" s="6" t="s">
        <v>4432</v>
      </c>
      <c r="I907" s="6" t="n">
        <v>96</v>
      </c>
      <c r="J907" s="6" t="s">
        <v>83</v>
      </c>
      <c r="K907" s="6" t="s">
        <v>4511</v>
      </c>
      <c r="L907" s="7"/>
      <c r="M907" s="7"/>
    </row>
    <row r="908" customFormat="false" ht="35.05" hidden="false" customHeight="false" outlineLevel="0" collapsed="false">
      <c r="A908" s="6" t="s">
        <v>1737</v>
      </c>
      <c r="B908" s="6" t="s">
        <v>132</v>
      </c>
      <c r="C908" s="6" t="s">
        <v>165</v>
      </c>
      <c r="D908" s="6" t="s">
        <v>1330</v>
      </c>
      <c r="E908" s="6"/>
      <c r="F908" s="6" t="s">
        <v>1358</v>
      </c>
      <c r="G908" s="6" t="s">
        <v>4409</v>
      </c>
      <c r="H908" s="6" t="s">
        <v>4433</v>
      </c>
      <c r="I908" s="6" t="n">
        <v>62</v>
      </c>
      <c r="J908" s="6"/>
      <c r="K908" s="6" t="s">
        <v>4411</v>
      </c>
      <c r="L908" s="7"/>
      <c r="M908" s="7"/>
    </row>
    <row r="909" customFormat="false" ht="35.05" hidden="false" customHeight="false" outlineLevel="0" collapsed="false">
      <c r="A909" s="6" t="s">
        <v>1737</v>
      </c>
      <c r="B909" s="6" t="s">
        <v>132</v>
      </c>
      <c r="C909" s="6" t="s">
        <v>165</v>
      </c>
      <c r="D909" s="6" t="s">
        <v>1330</v>
      </c>
      <c r="E909" s="6"/>
      <c r="F909" s="6" t="s">
        <v>1358</v>
      </c>
      <c r="G909" s="6" t="s">
        <v>4412</v>
      </c>
      <c r="H909" s="6" t="s">
        <v>4434</v>
      </c>
      <c r="I909" s="6" t="n">
        <v>28</v>
      </c>
      <c r="J909" s="6"/>
      <c r="K909" s="6" t="s">
        <v>4414</v>
      </c>
      <c r="L909" s="7"/>
      <c r="M909" s="7"/>
    </row>
    <row r="910" customFormat="false" ht="35.05" hidden="false" customHeight="false" outlineLevel="0" collapsed="false">
      <c r="A910" s="6" t="s">
        <v>1737</v>
      </c>
      <c r="B910" s="6" t="s">
        <v>132</v>
      </c>
      <c r="C910" s="6" t="s">
        <v>165</v>
      </c>
      <c r="D910" s="6" t="s">
        <v>1330</v>
      </c>
      <c r="E910" s="6"/>
      <c r="F910" s="6" t="s">
        <v>1358</v>
      </c>
      <c r="G910" s="6" t="s">
        <v>4415</v>
      </c>
      <c r="H910" s="6" t="s">
        <v>4435</v>
      </c>
      <c r="I910" s="6" t="n">
        <v>18</v>
      </c>
      <c r="J910" s="6"/>
      <c r="K910" s="6" t="s">
        <v>4417</v>
      </c>
      <c r="L910" s="7"/>
      <c r="M910" s="7"/>
    </row>
    <row r="911" customFormat="false" ht="35.05" hidden="false" customHeight="false" outlineLevel="0" collapsed="false">
      <c r="A911" s="6" t="s">
        <v>1739</v>
      </c>
      <c r="B911" s="6" t="s">
        <v>132</v>
      </c>
      <c r="C911" s="6" t="s">
        <v>1362</v>
      </c>
      <c r="D911" s="6" t="s">
        <v>1330</v>
      </c>
      <c r="E911" s="6"/>
      <c r="F911" s="6" t="s">
        <v>1364</v>
      </c>
      <c r="G911" s="6" t="s">
        <v>4406</v>
      </c>
      <c r="H911" s="6" t="s">
        <v>4436</v>
      </c>
      <c r="I911" s="6" t="n">
        <v>96</v>
      </c>
      <c r="J911" s="6" t="s">
        <v>83</v>
      </c>
      <c r="K911" s="6" t="s">
        <v>4512</v>
      </c>
      <c r="L911" s="7"/>
      <c r="M911" s="7"/>
    </row>
    <row r="912" customFormat="false" ht="35.05" hidden="false" customHeight="false" outlineLevel="0" collapsed="false">
      <c r="A912" s="6" t="s">
        <v>1739</v>
      </c>
      <c r="B912" s="6" t="s">
        <v>132</v>
      </c>
      <c r="C912" s="6" t="s">
        <v>1362</v>
      </c>
      <c r="D912" s="6" t="s">
        <v>1330</v>
      </c>
      <c r="E912" s="6"/>
      <c r="F912" s="6" t="s">
        <v>1364</v>
      </c>
      <c r="G912" s="6" t="s">
        <v>4409</v>
      </c>
      <c r="H912" s="6" t="s">
        <v>4438</v>
      </c>
      <c r="I912" s="6" t="n">
        <v>62</v>
      </c>
      <c r="J912" s="6"/>
      <c r="K912" s="6" t="s">
        <v>4411</v>
      </c>
      <c r="L912" s="7"/>
      <c r="M912" s="7"/>
    </row>
    <row r="913" customFormat="false" ht="35.05" hidden="false" customHeight="false" outlineLevel="0" collapsed="false">
      <c r="A913" s="6" t="s">
        <v>1739</v>
      </c>
      <c r="B913" s="6" t="s">
        <v>132</v>
      </c>
      <c r="C913" s="6" t="s">
        <v>1362</v>
      </c>
      <c r="D913" s="6" t="s">
        <v>1330</v>
      </c>
      <c r="E913" s="6"/>
      <c r="F913" s="6" t="s">
        <v>1364</v>
      </c>
      <c r="G913" s="6" t="s">
        <v>4412</v>
      </c>
      <c r="H913" s="6" t="s">
        <v>4439</v>
      </c>
      <c r="I913" s="6" t="n">
        <v>28</v>
      </c>
      <c r="J913" s="6"/>
      <c r="K913" s="6" t="s">
        <v>4414</v>
      </c>
      <c r="L913" s="7"/>
      <c r="M913" s="7"/>
    </row>
    <row r="914" customFormat="false" ht="35.05" hidden="false" customHeight="false" outlineLevel="0" collapsed="false">
      <c r="A914" s="6" t="s">
        <v>1739</v>
      </c>
      <c r="B914" s="6" t="s">
        <v>132</v>
      </c>
      <c r="C914" s="6" t="s">
        <v>1362</v>
      </c>
      <c r="D914" s="6" t="s">
        <v>1330</v>
      </c>
      <c r="E914" s="6"/>
      <c r="F914" s="6" t="s">
        <v>1364</v>
      </c>
      <c r="G914" s="6" t="s">
        <v>4415</v>
      </c>
      <c r="H914" s="6" t="s">
        <v>4440</v>
      </c>
      <c r="I914" s="6" t="n">
        <v>18</v>
      </c>
      <c r="J914" s="6"/>
      <c r="K914" s="6" t="s">
        <v>4417</v>
      </c>
      <c r="L914" s="7"/>
      <c r="M914" s="7"/>
    </row>
    <row r="915" customFormat="false" ht="35.05" hidden="false" customHeight="false" outlineLevel="0" collapsed="false">
      <c r="A915" s="6" t="s">
        <v>1742</v>
      </c>
      <c r="B915" s="6" t="s">
        <v>132</v>
      </c>
      <c r="C915" s="6" t="s">
        <v>1362</v>
      </c>
      <c r="D915" s="6" t="s">
        <v>1330</v>
      </c>
      <c r="E915" s="6"/>
      <c r="F915" s="6" t="s">
        <v>1370</v>
      </c>
      <c r="G915" s="6" t="s">
        <v>4406</v>
      </c>
      <c r="H915" s="6" t="s">
        <v>4441</v>
      </c>
      <c r="I915" s="6" t="n">
        <v>96</v>
      </c>
      <c r="J915" s="6" t="s">
        <v>83</v>
      </c>
      <c r="K915" s="6" t="s">
        <v>4512</v>
      </c>
      <c r="L915" s="7"/>
      <c r="M915" s="7"/>
    </row>
    <row r="916" customFormat="false" ht="23.85" hidden="false" customHeight="false" outlineLevel="0" collapsed="false">
      <c r="A916" s="6" t="s">
        <v>1742</v>
      </c>
      <c r="B916" s="6" t="s">
        <v>132</v>
      </c>
      <c r="C916" s="6" t="s">
        <v>1362</v>
      </c>
      <c r="D916" s="6" t="s">
        <v>1330</v>
      </c>
      <c r="E916" s="6"/>
      <c r="F916" s="6" t="s">
        <v>1370</v>
      </c>
      <c r="G916" s="6" t="s">
        <v>4409</v>
      </c>
      <c r="H916" s="6" t="s">
        <v>4442</v>
      </c>
      <c r="I916" s="6" t="n">
        <v>62</v>
      </c>
      <c r="J916" s="6"/>
      <c r="K916" s="6" t="s">
        <v>4411</v>
      </c>
      <c r="L916" s="7"/>
      <c r="M916" s="7"/>
    </row>
    <row r="917" customFormat="false" ht="23.85" hidden="false" customHeight="false" outlineLevel="0" collapsed="false">
      <c r="A917" s="6" t="s">
        <v>1742</v>
      </c>
      <c r="B917" s="6" t="s">
        <v>132</v>
      </c>
      <c r="C917" s="6" t="s">
        <v>1362</v>
      </c>
      <c r="D917" s="6" t="s">
        <v>1330</v>
      </c>
      <c r="E917" s="6"/>
      <c r="F917" s="6" t="s">
        <v>1370</v>
      </c>
      <c r="G917" s="6" t="s">
        <v>4412</v>
      </c>
      <c r="H917" s="6" t="s">
        <v>4443</v>
      </c>
      <c r="I917" s="6" t="n">
        <v>28</v>
      </c>
      <c r="J917" s="6"/>
      <c r="K917" s="6" t="s">
        <v>4414</v>
      </c>
      <c r="L917" s="7"/>
      <c r="M917" s="7"/>
    </row>
    <row r="918" customFormat="false" ht="23.85" hidden="false" customHeight="false" outlineLevel="0" collapsed="false">
      <c r="A918" s="6" t="s">
        <v>1742</v>
      </c>
      <c r="B918" s="6" t="s">
        <v>132</v>
      </c>
      <c r="C918" s="6" t="s">
        <v>1362</v>
      </c>
      <c r="D918" s="6" t="s">
        <v>1330</v>
      </c>
      <c r="E918" s="6"/>
      <c r="F918" s="6" t="s">
        <v>1370</v>
      </c>
      <c r="G918" s="6" t="s">
        <v>4415</v>
      </c>
      <c r="H918" s="6" t="s">
        <v>4444</v>
      </c>
      <c r="I918" s="6" t="n">
        <v>18</v>
      </c>
      <c r="J918" s="6"/>
      <c r="K918" s="6" t="s">
        <v>4417</v>
      </c>
      <c r="L918" s="7"/>
      <c r="M918" s="7"/>
    </row>
    <row r="919" customFormat="false" ht="35.05" hidden="false" customHeight="false" outlineLevel="0" collapsed="false">
      <c r="A919" s="6" t="s">
        <v>1744</v>
      </c>
      <c r="B919" s="6" t="s">
        <v>132</v>
      </c>
      <c r="C919" s="6" t="s">
        <v>79</v>
      </c>
      <c r="D919" s="6" t="s">
        <v>1330</v>
      </c>
      <c r="E919" s="6"/>
      <c r="F919" s="6" t="s">
        <v>1335</v>
      </c>
      <c r="G919" s="6" t="s">
        <v>4406</v>
      </c>
      <c r="H919" s="6" t="s">
        <v>4407</v>
      </c>
      <c r="I919" s="6" t="n">
        <v>96</v>
      </c>
      <c r="J919" s="6" t="s">
        <v>83</v>
      </c>
      <c r="K919" s="6" t="s">
        <v>4513</v>
      </c>
      <c r="L919" s="7"/>
      <c r="M919" s="7"/>
    </row>
    <row r="920" customFormat="false" ht="35.05" hidden="false" customHeight="false" outlineLevel="0" collapsed="false">
      <c r="A920" s="6" t="s">
        <v>1744</v>
      </c>
      <c r="B920" s="6" t="s">
        <v>132</v>
      </c>
      <c r="C920" s="6" t="s">
        <v>79</v>
      </c>
      <c r="D920" s="6" t="s">
        <v>1330</v>
      </c>
      <c r="E920" s="6"/>
      <c r="F920" s="6" t="s">
        <v>1335</v>
      </c>
      <c r="G920" s="6" t="s">
        <v>4409</v>
      </c>
      <c r="H920" s="6" t="s">
        <v>4410</v>
      </c>
      <c r="I920" s="6" t="n">
        <v>60</v>
      </c>
      <c r="J920" s="6"/>
      <c r="K920" s="6" t="s">
        <v>4411</v>
      </c>
      <c r="L920" s="7"/>
      <c r="M920" s="7"/>
    </row>
    <row r="921" customFormat="false" ht="35.05" hidden="false" customHeight="false" outlineLevel="0" collapsed="false">
      <c r="A921" s="6" t="s">
        <v>1744</v>
      </c>
      <c r="B921" s="6" t="s">
        <v>132</v>
      </c>
      <c r="C921" s="6" t="s">
        <v>79</v>
      </c>
      <c r="D921" s="6" t="s">
        <v>1330</v>
      </c>
      <c r="E921" s="6"/>
      <c r="F921" s="6" t="s">
        <v>1335</v>
      </c>
      <c r="G921" s="6" t="s">
        <v>4412</v>
      </c>
      <c r="H921" s="6" t="s">
        <v>4413</v>
      </c>
      <c r="I921" s="6" t="n">
        <v>28</v>
      </c>
      <c r="J921" s="6"/>
      <c r="K921" s="6" t="s">
        <v>4414</v>
      </c>
      <c r="L921" s="7"/>
      <c r="M921" s="7"/>
    </row>
    <row r="922" customFormat="false" ht="35.05" hidden="false" customHeight="false" outlineLevel="0" collapsed="false">
      <c r="A922" s="6" t="s">
        <v>1744</v>
      </c>
      <c r="B922" s="6" t="s">
        <v>132</v>
      </c>
      <c r="C922" s="6" t="s">
        <v>79</v>
      </c>
      <c r="D922" s="6" t="s">
        <v>1330</v>
      </c>
      <c r="E922" s="6"/>
      <c r="F922" s="6" t="s">
        <v>1335</v>
      </c>
      <c r="G922" s="6" t="s">
        <v>4415</v>
      </c>
      <c r="H922" s="6" t="s">
        <v>4416</v>
      </c>
      <c r="I922" s="6" t="n">
        <v>18</v>
      </c>
      <c r="J922" s="6"/>
      <c r="K922" s="6" t="s">
        <v>4417</v>
      </c>
      <c r="L922" s="7"/>
      <c r="M922" s="7"/>
    </row>
    <row r="923" customFormat="false" ht="35.05" hidden="false" customHeight="false" outlineLevel="0" collapsed="false">
      <c r="A923" s="6" t="s">
        <v>1751</v>
      </c>
      <c r="B923" s="6" t="s">
        <v>132</v>
      </c>
      <c r="C923" s="6" t="s">
        <v>98</v>
      </c>
      <c r="D923" s="6" t="s">
        <v>1330</v>
      </c>
      <c r="E923" s="6"/>
      <c r="F923" s="6" t="s">
        <v>1341</v>
      </c>
      <c r="G923" s="6" t="s">
        <v>4406</v>
      </c>
      <c r="H923" s="6" t="s">
        <v>4418</v>
      </c>
      <c r="I923" s="6" t="n">
        <v>96</v>
      </c>
      <c r="J923" s="6" t="s">
        <v>83</v>
      </c>
      <c r="K923" s="6" t="s">
        <v>4514</v>
      </c>
      <c r="L923" s="7"/>
      <c r="M923" s="7"/>
    </row>
    <row r="924" customFormat="false" ht="35.05" hidden="false" customHeight="false" outlineLevel="0" collapsed="false">
      <c r="A924" s="6" t="s">
        <v>1751</v>
      </c>
      <c r="B924" s="6" t="s">
        <v>132</v>
      </c>
      <c r="C924" s="6" t="s">
        <v>98</v>
      </c>
      <c r="D924" s="6" t="s">
        <v>1330</v>
      </c>
      <c r="E924" s="6"/>
      <c r="F924" s="6" t="s">
        <v>1341</v>
      </c>
      <c r="G924" s="6" t="s">
        <v>4409</v>
      </c>
      <c r="H924" s="6" t="s">
        <v>4420</v>
      </c>
      <c r="I924" s="6" t="n">
        <v>58</v>
      </c>
      <c r="J924" s="6"/>
      <c r="K924" s="6" t="s">
        <v>4411</v>
      </c>
      <c r="L924" s="7"/>
      <c r="M924" s="7"/>
    </row>
    <row r="925" customFormat="false" ht="35.05" hidden="false" customHeight="false" outlineLevel="0" collapsed="false">
      <c r="A925" s="6" t="s">
        <v>1751</v>
      </c>
      <c r="B925" s="6" t="s">
        <v>132</v>
      </c>
      <c r="C925" s="6" t="s">
        <v>98</v>
      </c>
      <c r="D925" s="6" t="s">
        <v>1330</v>
      </c>
      <c r="E925" s="6"/>
      <c r="F925" s="6" t="s">
        <v>1341</v>
      </c>
      <c r="G925" s="6" t="s">
        <v>4412</v>
      </c>
      <c r="H925" s="6" t="s">
        <v>4421</v>
      </c>
      <c r="I925" s="6" t="n">
        <v>28</v>
      </c>
      <c r="J925" s="6"/>
      <c r="K925" s="6" t="s">
        <v>4414</v>
      </c>
      <c r="L925" s="7"/>
      <c r="M925" s="7"/>
    </row>
    <row r="926" customFormat="false" ht="35.05" hidden="false" customHeight="false" outlineLevel="0" collapsed="false">
      <c r="A926" s="6" t="s">
        <v>1751</v>
      </c>
      <c r="B926" s="6" t="s">
        <v>132</v>
      </c>
      <c r="C926" s="6" t="s">
        <v>98</v>
      </c>
      <c r="D926" s="6" t="s">
        <v>1330</v>
      </c>
      <c r="E926" s="6"/>
      <c r="F926" s="6" t="s">
        <v>1341</v>
      </c>
      <c r="G926" s="6" t="s">
        <v>4415</v>
      </c>
      <c r="H926" s="6" t="s">
        <v>4422</v>
      </c>
      <c r="I926" s="6" t="n">
        <v>18</v>
      </c>
      <c r="J926" s="6"/>
      <c r="K926" s="6" t="s">
        <v>4417</v>
      </c>
      <c r="L926" s="7"/>
      <c r="M926" s="7"/>
    </row>
    <row r="927" customFormat="false" ht="35.05" hidden="false" customHeight="false" outlineLevel="0" collapsed="false">
      <c r="A927" s="6" t="s">
        <v>1754</v>
      </c>
      <c r="B927" s="6" t="s">
        <v>132</v>
      </c>
      <c r="C927" s="6" t="s">
        <v>98</v>
      </c>
      <c r="D927" s="6" t="s">
        <v>1330</v>
      </c>
      <c r="E927" s="6"/>
      <c r="F927" s="6" t="s">
        <v>1347</v>
      </c>
      <c r="G927" s="6" t="s">
        <v>4406</v>
      </c>
      <c r="H927" s="6" t="s">
        <v>4423</v>
      </c>
      <c r="I927" s="6" t="n">
        <v>96</v>
      </c>
      <c r="J927" s="6" t="s">
        <v>83</v>
      </c>
      <c r="K927" s="6" t="s">
        <v>4514</v>
      </c>
      <c r="L927" s="7"/>
      <c r="M927" s="7"/>
    </row>
    <row r="928" customFormat="false" ht="35.05" hidden="false" customHeight="false" outlineLevel="0" collapsed="false">
      <c r="A928" s="6" t="s">
        <v>1754</v>
      </c>
      <c r="B928" s="6" t="s">
        <v>132</v>
      </c>
      <c r="C928" s="6" t="s">
        <v>98</v>
      </c>
      <c r="D928" s="6" t="s">
        <v>1330</v>
      </c>
      <c r="E928" s="6"/>
      <c r="F928" s="6" t="s">
        <v>1347</v>
      </c>
      <c r="G928" s="6" t="s">
        <v>4409</v>
      </c>
      <c r="H928" s="6" t="s">
        <v>4424</v>
      </c>
      <c r="I928" s="6" t="n">
        <v>58</v>
      </c>
      <c r="J928" s="6"/>
      <c r="K928" s="6" t="s">
        <v>4411</v>
      </c>
      <c r="L928" s="7"/>
      <c r="M928" s="7"/>
    </row>
    <row r="929" customFormat="false" ht="35.05" hidden="false" customHeight="false" outlineLevel="0" collapsed="false">
      <c r="A929" s="6" t="s">
        <v>1754</v>
      </c>
      <c r="B929" s="6" t="s">
        <v>132</v>
      </c>
      <c r="C929" s="6" t="s">
        <v>98</v>
      </c>
      <c r="D929" s="6" t="s">
        <v>1330</v>
      </c>
      <c r="E929" s="6"/>
      <c r="F929" s="6" t="s">
        <v>1347</v>
      </c>
      <c r="G929" s="6" t="s">
        <v>4412</v>
      </c>
      <c r="H929" s="6" t="s">
        <v>4425</v>
      </c>
      <c r="I929" s="6" t="n">
        <v>28</v>
      </c>
      <c r="J929" s="6"/>
      <c r="K929" s="6" t="s">
        <v>4414</v>
      </c>
      <c r="L929" s="7"/>
      <c r="M929" s="7"/>
    </row>
    <row r="930" customFormat="false" ht="35.05" hidden="false" customHeight="false" outlineLevel="0" collapsed="false">
      <c r="A930" s="6" t="s">
        <v>1754</v>
      </c>
      <c r="B930" s="6" t="s">
        <v>132</v>
      </c>
      <c r="C930" s="6" t="s">
        <v>98</v>
      </c>
      <c r="D930" s="6" t="s">
        <v>1330</v>
      </c>
      <c r="E930" s="6"/>
      <c r="F930" s="6" t="s">
        <v>1347</v>
      </c>
      <c r="G930" s="6" t="s">
        <v>4415</v>
      </c>
      <c r="H930" s="6" t="s">
        <v>4426</v>
      </c>
      <c r="I930" s="6" t="n">
        <v>18</v>
      </c>
      <c r="J930" s="6"/>
      <c r="K930" s="6" t="s">
        <v>4417</v>
      </c>
      <c r="L930" s="7"/>
      <c r="M930" s="7"/>
    </row>
    <row r="931" customFormat="false" ht="35.05" hidden="false" customHeight="false" outlineLevel="0" collapsed="false">
      <c r="A931" s="6" t="s">
        <v>1756</v>
      </c>
      <c r="B931" s="6" t="s">
        <v>132</v>
      </c>
      <c r="C931" s="6" t="s">
        <v>165</v>
      </c>
      <c r="D931" s="6" t="s">
        <v>1330</v>
      </c>
      <c r="E931" s="6"/>
      <c r="F931" s="6" t="s">
        <v>1352</v>
      </c>
      <c r="G931" s="6" t="s">
        <v>4406</v>
      </c>
      <c r="H931" s="6" t="s">
        <v>4427</v>
      </c>
      <c r="I931" s="6" t="n">
        <v>96</v>
      </c>
      <c r="J931" s="6" t="s">
        <v>83</v>
      </c>
      <c r="K931" s="6" t="s">
        <v>4515</v>
      </c>
      <c r="L931" s="7"/>
      <c r="M931" s="7"/>
    </row>
    <row r="932" customFormat="false" ht="35.05" hidden="false" customHeight="false" outlineLevel="0" collapsed="false">
      <c r="A932" s="6" t="s">
        <v>1756</v>
      </c>
      <c r="B932" s="6" t="s">
        <v>132</v>
      </c>
      <c r="C932" s="6" t="s">
        <v>165</v>
      </c>
      <c r="D932" s="6" t="s">
        <v>1330</v>
      </c>
      <c r="E932" s="6"/>
      <c r="F932" s="6" t="s">
        <v>1352</v>
      </c>
      <c r="G932" s="6" t="s">
        <v>4409</v>
      </c>
      <c r="H932" s="6" t="s">
        <v>4429</v>
      </c>
      <c r="I932" s="6" t="n">
        <v>62</v>
      </c>
      <c r="J932" s="6"/>
      <c r="K932" s="6" t="s">
        <v>4411</v>
      </c>
      <c r="L932" s="7"/>
      <c r="M932" s="7"/>
    </row>
    <row r="933" customFormat="false" ht="35.05" hidden="false" customHeight="false" outlineLevel="0" collapsed="false">
      <c r="A933" s="6" t="s">
        <v>1756</v>
      </c>
      <c r="B933" s="6" t="s">
        <v>132</v>
      </c>
      <c r="C933" s="6" t="s">
        <v>165</v>
      </c>
      <c r="D933" s="6" t="s">
        <v>1330</v>
      </c>
      <c r="E933" s="6"/>
      <c r="F933" s="6" t="s">
        <v>1352</v>
      </c>
      <c r="G933" s="6" t="s">
        <v>4412</v>
      </c>
      <c r="H933" s="6" t="s">
        <v>4430</v>
      </c>
      <c r="I933" s="6" t="n">
        <v>28</v>
      </c>
      <c r="J933" s="6"/>
      <c r="K933" s="6" t="s">
        <v>4414</v>
      </c>
      <c r="L933" s="7"/>
      <c r="M933" s="7"/>
    </row>
    <row r="934" customFormat="false" ht="35.05" hidden="false" customHeight="false" outlineLevel="0" collapsed="false">
      <c r="A934" s="6" t="s">
        <v>1756</v>
      </c>
      <c r="B934" s="6" t="s">
        <v>132</v>
      </c>
      <c r="C934" s="6" t="s">
        <v>165</v>
      </c>
      <c r="D934" s="6" t="s">
        <v>1330</v>
      </c>
      <c r="E934" s="6"/>
      <c r="F934" s="6" t="s">
        <v>1352</v>
      </c>
      <c r="G934" s="6" t="s">
        <v>4415</v>
      </c>
      <c r="H934" s="6" t="s">
        <v>4431</v>
      </c>
      <c r="I934" s="6" t="n">
        <v>18</v>
      </c>
      <c r="J934" s="6"/>
      <c r="K934" s="6" t="s">
        <v>4417</v>
      </c>
      <c r="L934" s="7"/>
      <c r="M934" s="7"/>
    </row>
    <row r="935" customFormat="false" ht="35.05" hidden="false" customHeight="false" outlineLevel="0" collapsed="false">
      <c r="A935" s="6" t="s">
        <v>1759</v>
      </c>
      <c r="B935" s="6" t="s">
        <v>132</v>
      </c>
      <c r="C935" s="6" t="s">
        <v>165</v>
      </c>
      <c r="D935" s="6" t="s">
        <v>1330</v>
      </c>
      <c r="E935" s="6"/>
      <c r="F935" s="6" t="s">
        <v>1358</v>
      </c>
      <c r="G935" s="6" t="s">
        <v>4406</v>
      </c>
      <c r="H935" s="6" t="s">
        <v>4432</v>
      </c>
      <c r="I935" s="6" t="n">
        <v>96</v>
      </c>
      <c r="J935" s="6" t="s">
        <v>83</v>
      </c>
      <c r="K935" s="6" t="s">
        <v>4515</v>
      </c>
      <c r="L935" s="7"/>
      <c r="M935" s="7"/>
    </row>
    <row r="936" customFormat="false" ht="35.05" hidden="false" customHeight="false" outlineLevel="0" collapsed="false">
      <c r="A936" s="6" t="s">
        <v>1759</v>
      </c>
      <c r="B936" s="6" t="s">
        <v>132</v>
      </c>
      <c r="C936" s="6" t="s">
        <v>165</v>
      </c>
      <c r="D936" s="6" t="s">
        <v>1330</v>
      </c>
      <c r="E936" s="6"/>
      <c r="F936" s="6" t="s">
        <v>1358</v>
      </c>
      <c r="G936" s="6" t="s">
        <v>4409</v>
      </c>
      <c r="H936" s="6" t="s">
        <v>4433</v>
      </c>
      <c r="I936" s="6" t="n">
        <v>62</v>
      </c>
      <c r="J936" s="6"/>
      <c r="K936" s="6" t="s">
        <v>4411</v>
      </c>
      <c r="L936" s="7"/>
      <c r="M936" s="7"/>
    </row>
    <row r="937" customFormat="false" ht="35.05" hidden="false" customHeight="false" outlineLevel="0" collapsed="false">
      <c r="A937" s="6" t="s">
        <v>1759</v>
      </c>
      <c r="B937" s="6" t="s">
        <v>132</v>
      </c>
      <c r="C937" s="6" t="s">
        <v>165</v>
      </c>
      <c r="D937" s="6" t="s">
        <v>1330</v>
      </c>
      <c r="E937" s="6"/>
      <c r="F937" s="6" t="s">
        <v>1358</v>
      </c>
      <c r="G937" s="6" t="s">
        <v>4412</v>
      </c>
      <c r="H937" s="6" t="s">
        <v>4434</v>
      </c>
      <c r="I937" s="6" t="n">
        <v>28</v>
      </c>
      <c r="J937" s="6"/>
      <c r="K937" s="6" t="s">
        <v>4414</v>
      </c>
      <c r="L937" s="7"/>
      <c r="M937" s="7"/>
    </row>
    <row r="938" customFormat="false" ht="35.05" hidden="false" customHeight="false" outlineLevel="0" collapsed="false">
      <c r="A938" s="6" t="s">
        <v>1759</v>
      </c>
      <c r="B938" s="6" t="s">
        <v>132</v>
      </c>
      <c r="C938" s="6" t="s">
        <v>165</v>
      </c>
      <c r="D938" s="6" t="s">
        <v>1330</v>
      </c>
      <c r="E938" s="6"/>
      <c r="F938" s="6" t="s">
        <v>1358</v>
      </c>
      <c r="G938" s="6" t="s">
        <v>4415</v>
      </c>
      <c r="H938" s="6" t="s">
        <v>4435</v>
      </c>
      <c r="I938" s="6" t="n">
        <v>18</v>
      </c>
      <c r="J938" s="6"/>
      <c r="K938" s="6" t="s">
        <v>4417</v>
      </c>
      <c r="L938" s="7"/>
      <c r="M938" s="7"/>
    </row>
    <row r="939" customFormat="false" ht="35.05" hidden="false" customHeight="false" outlineLevel="0" collapsed="false">
      <c r="A939" s="6" t="s">
        <v>1761</v>
      </c>
      <c r="B939" s="6" t="s">
        <v>132</v>
      </c>
      <c r="C939" s="6" t="s">
        <v>1362</v>
      </c>
      <c r="D939" s="6" t="s">
        <v>1330</v>
      </c>
      <c r="E939" s="6"/>
      <c r="F939" s="6" t="s">
        <v>1364</v>
      </c>
      <c r="G939" s="6" t="s">
        <v>4406</v>
      </c>
      <c r="H939" s="6" t="s">
        <v>4436</v>
      </c>
      <c r="I939" s="6" t="n">
        <v>96</v>
      </c>
      <c r="J939" s="6" t="s">
        <v>83</v>
      </c>
      <c r="K939" s="6" t="s">
        <v>4516</v>
      </c>
      <c r="L939" s="7"/>
      <c r="M939" s="7"/>
    </row>
    <row r="940" customFormat="false" ht="35.05" hidden="false" customHeight="false" outlineLevel="0" collapsed="false">
      <c r="A940" s="6" t="s">
        <v>1761</v>
      </c>
      <c r="B940" s="6" t="s">
        <v>132</v>
      </c>
      <c r="C940" s="6" t="s">
        <v>1362</v>
      </c>
      <c r="D940" s="6" t="s">
        <v>1330</v>
      </c>
      <c r="E940" s="6"/>
      <c r="F940" s="6" t="s">
        <v>1364</v>
      </c>
      <c r="G940" s="6" t="s">
        <v>4409</v>
      </c>
      <c r="H940" s="6" t="s">
        <v>4438</v>
      </c>
      <c r="I940" s="6" t="n">
        <v>62</v>
      </c>
      <c r="J940" s="6"/>
      <c r="K940" s="6" t="s">
        <v>4411</v>
      </c>
      <c r="L940" s="7"/>
      <c r="M940" s="7"/>
    </row>
    <row r="941" customFormat="false" ht="35.05" hidden="false" customHeight="false" outlineLevel="0" collapsed="false">
      <c r="A941" s="6" t="s">
        <v>1761</v>
      </c>
      <c r="B941" s="6" t="s">
        <v>132</v>
      </c>
      <c r="C941" s="6" t="s">
        <v>1362</v>
      </c>
      <c r="D941" s="6" t="s">
        <v>1330</v>
      </c>
      <c r="E941" s="6"/>
      <c r="F941" s="6" t="s">
        <v>1364</v>
      </c>
      <c r="G941" s="6" t="s">
        <v>4412</v>
      </c>
      <c r="H941" s="6" t="s">
        <v>4439</v>
      </c>
      <c r="I941" s="6" t="n">
        <v>28</v>
      </c>
      <c r="J941" s="6"/>
      <c r="K941" s="6" t="s">
        <v>4414</v>
      </c>
      <c r="L941" s="7"/>
      <c r="M941" s="7"/>
    </row>
    <row r="942" customFormat="false" ht="35.05" hidden="false" customHeight="false" outlineLevel="0" collapsed="false">
      <c r="A942" s="6" t="s">
        <v>1761</v>
      </c>
      <c r="B942" s="6" t="s">
        <v>132</v>
      </c>
      <c r="C942" s="6" t="s">
        <v>1362</v>
      </c>
      <c r="D942" s="6" t="s">
        <v>1330</v>
      </c>
      <c r="E942" s="6"/>
      <c r="F942" s="6" t="s">
        <v>1364</v>
      </c>
      <c r="G942" s="6" t="s">
        <v>4415</v>
      </c>
      <c r="H942" s="6" t="s">
        <v>4440</v>
      </c>
      <c r="I942" s="6" t="n">
        <v>18</v>
      </c>
      <c r="J942" s="6"/>
      <c r="K942" s="6" t="s">
        <v>4417</v>
      </c>
      <c r="L942" s="7"/>
      <c r="M942" s="7"/>
    </row>
    <row r="943" customFormat="false" ht="35.05" hidden="false" customHeight="false" outlineLevel="0" collapsed="false">
      <c r="A943" s="6" t="s">
        <v>1764</v>
      </c>
      <c r="B943" s="6" t="s">
        <v>132</v>
      </c>
      <c r="C943" s="6" t="s">
        <v>1362</v>
      </c>
      <c r="D943" s="6" t="s">
        <v>1330</v>
      </c>
      <c r="E943" s="6"/>
      <c r="F943" s="6" t="s">
        <v>1370</v>
      </c>
      <c r="G943" s="6" t="s">
        <v>4406</v>
      </c>
      <c r="H943" s="6" t="s">
        <v>4441</v>
      </c>
      <c r="I943" s="6" t="n">
        <v>96</v>
      </c>
      <c r="J943" s="6" t="s">
        <v>83</v>
      </c>
      <c r="K943" s="6" t="s">
        <v>4516</v>
      </c>
      <c r="L943" s="7"/>
      <c r="M943" s="7"/>
    </row>
    <row r="944" customFormat="false" ht="35.05" hidden="false" customHeight="false" outlineLevel="0" collapsed="false">
      <c r="A944" s="6" t="s">
        <v>1764</v>
      </c>
      <c r="B944" s="6" t="s">
        <v>132</v>
      </c>
      <c r="C944" s="6" t="s">
        <v>1362</v>
      </c>
      <c r="D944" s="6" t="s">
        <v>1330</v>
      </c>
      <c r="E944" s="6"/>
      <c r="F944" s="6" t="s">
        <v>1370</v>
      </c>
      <c r="G944" s="6" t="s">
        <v>4409</v>
      </c>
      <c r="H944" s="6" t="s">
        <v>4442</v>
      </c>
      <c r="I944" s="6" t="n">
        <v>62</v>
      </c>
      <c r="J944" s="6"/>
      <c r="K944" s="6" t="s">
        <v>4411</v>
      </c>
      <c r="L944" s="7"/>
      <c r="M944" s="7"/>
    </row>
    <row r="945" customFormat="false" ht="35.05" hidden="false" customHeight="false" outlineLevel="0" collapsed="false">
      <c r="A945" s="6" t="s">
        <v>1764</v>
      </c>
      <c r="B945" s="6" t="s">
        <v>132</v>
      </c>
      <c r="C945" s="6" t="s">
        <v>1362</v>
      </c>
      <c r="D945" s="6" t="s">
        <v>1330</v>
      </c>
      <c r="E945" s="6"/>
      <c r="F945" s="6" t="s">
        <v>1370</v>
      </c>
      <c r="G945" s="6" t="s">
        <v>4412</v>
      </c>
      <c r="H945" s="6" t="s">
        <v>4443</v>
      </c>
      <c r="I945" s="6" t="n">
        <v>28</v>
      </c>
      <c r="J945" s="6"/>
      <c r="K945" s="6" t="s">
        <v>4414</v>
      </c>
      <c r="L945" s="7"/>
      <c r="M945" s="7"/>
    </row>
    <row r="946" customFormat="false" ht="35.05" hidden="false" customHeight="false" outlineLevel="0" collapsed="false">
      <c r="A946" s="6" t="s">
        <v>1764</v>
      </c>
      <c r="B946" s="6" t="s">
        <v>132</v>
      </c>
      <c r="C946" s="6" t="s">
        <v>1362</v>
      </c>
      <c r="D946" s="6" t="s">
        <v>1330</v>
      </c>
      <c r="E946" s="6"/>
      <c r="F946" s="6" t="s">
        <v>1370</v>
      </c>
      <c r="G946" s="6" t="s">
        <v>4415</v>
      </c>
      <c r="H946" s="6" t="s">
        <v>4444</v>
      </c>
      <c r="I946" s="6" t="n">
        <v>18</v>
      </c>
      <c r="J946" s="6"/>
      <c r="K946" s="6" t="s">
        <v>4417</v>
      </c>
      <c r="L946" s="7"/>
      <c r="M946" s="7"/>
    </row>
    <row r="947" customFormat="false" ht="46.25" hidden="false" customHeight="false" outlineLevel="0" collapsed="false">
      <c r="A947" s="6" t="s">
        <v>1766</v>
      </c>
      <c r="B947" s="6" t="s">
        <v>132</v>
      </c>
      <c r="C947" s="6" t="s">
        <v>79</v>
      </c>
      <c r="D947" s="6" t="s">
        <v>1330</v>
      </c>
      <c r="E947" s="6"/>
      <c r="F947" s="6" t="s">
        <v>1335</v>
      </c>
      <c r="G947" s="6" t="s">
        <v>4406</v>
      </c>
      <c r="H947" s="6" t="s">
        <v>4407</v>
      </c>
      <c r="I947" s="6" t="n">
        <v>96</v>
      </c>
      <c r="J947" s="6" t="s">
        <v>83</v>
      </c>
      <c r="K947" s="6" t="s">
        <v>4517</v>
      </c>
      <c r="L947" s="7"/>
      <c r="M947" s="7"/>
    </row>
    <row r="948" customFormat="false" ht="46.25" hidden="false" customHeight="false" outlineLevel="0" collapsed="false">
      <c r="A948" s="6" t="s">
        <v>1766</v>
      </c>
      <c r="B948" s="6" t="s">
        <v>132</v>
      </c>
      <c r="C948" s="6" t="s">
        <v>79</v>
      </c>
      <c r="D948" s="6" t="s">
        <v>1330</v>
      </c>
      <c r="E948" s="6"/>
      <c r="F948" s="6" t="s">
        <v>1335</v>
      </c>
      <c r="G948" s="6" t="s">
        <v>4409</v>
      </c>
      <c r="H948" s="6" t="s">
        <v>4410</v>
      </c>
      <c r="I948" s="6" t="n">
        <v>60</v>
      </c>
      <c r="J948" s="6"/>
      <c r="K948" s="6" t="s">
        <v>4411</v>
      </c>
      <c r="L948" s="7"/>
      <c r="M948" s="7"/>
    </row>
    <row r="949" customFormat="false" ht="46.25" hidden="false" customHeight="false" outlineLevel="0" collapsed="false">
      <c r="A949" s="6" t="s">
        <v>1766</v>
      </c>
      <c r="B949" s="6" t="s">
        <v>132</v>
      </c>
      <c r="C949" s="6" t="s">
        <v>79</v>
      </c>
      <c r="D949" s="6" t="s">
        <v>1330</v>
      </c>
      <c r="E949" s="6"/>
      <c r="F949" s="6" t="s">
        <v>1335</v>
      </c>
      <c r="G949" s="6" t="s">
        <v>4412</v>
      </c>
      <c r="H949" s="6" t="s">
        <v>4413</v>
      </c>
      <c r="I949" s="6" t="n">
        <v>28</v>
      </c>
      <c r="J949" s="6"/>
      <c r="K949" s="6" t="s">
        <v>4414</v>
      </c>
      <c r="L949" s="7"/>
      <c r="M949" s="7"/>
    </row>
    <row r="950" customFormat="false" ht="46.25" hidden="false" customHeight="false" outlineLevel="0" collapsed="false">
      <c r="A950" s="6" t="s">
        <v>1766</v>
      </c>
      <c r="B950" s="6" t="s">
        <v>132</v>
      </c>
      <c r="C950" s="6" t="s">
        <v>79</v>
      </c>
      <c r="D950" s="6" t="s">
        <v>1330</v>
      </c>
      <c r="E950" s="6"/>
      <c r="F950" s="6" t="s">
        <v>1335</v>
      </c>
      <c r="G950" s="6" t="s">
        <v>4415</v>
      </c>
      <c r="H950" s="6" t="s">
        <v>4416</v>
      </c>
      <c r="I950" s="6" t="n">
        <v>18</v>
      </c>
      <c r="J950" s="6"/>
      <c r="K950" s="6" t="s">
        <v>4417</v>
      </c>
      <c r="L950" s="7"/>
      <c r="M950" s="7"/>
    </row>
    <row r="951" customFormat="false" ht="35.05" hidden="false" customHeight="false" outlineLevel="0" collapsed="false">
      <c r="A951" s="6" t="s">
        <v>1772</v>
      </c>
      <c r="B951" s="6" t="s">
        <v>132</v>
      </c>
      <c r="C951" s="6" t="s">
        <v>98</v>
      </c>
      <c r="D951" s="6" t="s">
        <v>1330</v>
      </c>
      <c r="E951" s="6"/>
      <c r="F951" s="6" t="s">
        <v>1341</v>
      </c>
      <c r="G951" s="6" t="s">
        <v>4406</v>
      </c>
      <c r="H951" s="6" t="s">
        <v>4418</v>
      </c>
      <c r="I951" s="6" t="n">
        <v>96</v>
      </c>
      <c r="J951" s="6" t="s">
        <v>83</v>
      </c>
      <c r="K951" s="6" t="s">
        <v>4518</v>
      </c>
      <c r="L951" s="7"/>
      <c r="M951" s="7"/>
    </row>
    <row r="952" customFormat="false" ht="35.05" hidden="false" customHeight="false" outlineLevel="0" collapsed="false">
      <c r="A952" s="6" t="s">
        <v>1772</v>
      </c>
      <c r="B952" s="6" t="s">
        <v>132</v>
      </c>
      <c r="C952" s="6" t="s">
        <v>98</v>
      </c>
      <c r="D952" s="6" t="s">
        <v>1330</v>
      </c>
      <c r="E952" s="6"/>
      <c r="F952" s="6" t="s">
        <v>1341</v>
      </c>
      <c r="G952" s="6" t="s">
        <v>4409</v>
      </c>
      <c r="H952" s="6" t="s">
        <v>4420</v>
      </c>
      <c r="I952" s="6" t="n">
        <v>58</v>
      </c>
      <c r="J952" s="6"/>
      <c r="K952" s="6" t="s">
        <v>4411</v>
      </c>
      <c r="L952" s="7"/>
      <c r="M952" s="7"/>
    </row>
    <row r="953" customFormat="false" ht="35.05" hidden="false" customHeight="false" outlineLevel="0" collapsed="false">
      <c r="A953" s="6" t="s">
        <v>1772</v>
      </c>
      <c r="B953" s="6" t="s">
        <v>132</v>
      </c>
      <c r="C953" s="6" t="s">
        <v>98</v>
      </c>
      <c r="D953" s="6" t="s">
        <v>1330</v>
      </c>
      <c r="E953" s="6"/>
      <c r="F953" s="6" t="s">
        <v>1341</v>
      </c>
      <c r="G953" s="6" t="s">
        <v>4412</v>
      </c>
      <c r="H953" s="6" t="s">
        <v>4421</v>
      </c>
      <c r="I953" s="6" t="n">
        <v>28</v>
      </c>
      <c r="J953" s="6"/>
      <c r="K953" s="6" t="s">
        <v>4414</v>
      </c>
      <c r="L953" s="7"/>
      <c r="M953" s="7"/>
    </row>
    <row r="954" customFormat="false" ht="35.05" hidden="false" customHeight="false" outlineLevel="0" collapsed="false">
      <c r="A954" s="6" t="s">
        <v>1772</v>
      </c>
      <c r="B954" s="6" t="s">
        <v>132</v>
      </c>
      <c r="C954" s="6" t="s">
        <v>98</v>
      </c>
      <c r="D954" s="6" t="s">
        <v>1330</v>
      </c>
      <c r="E954" s="6"/>
      <c r="F954" s="6" t="s">
        <v>1341</v>
      </c>
      <c r="G954" s="6" t="s">
        <v>4415</v>
      </c>
      <c r="H954" s="6" t="s">
        <v>4422</v>
      </c>
      <c r="I954" s="6" t="n">
        <v>18</v>
      </c>
      <c r="J954" s="6"/>
      <c r="K954" s="6" t="s">
        <v>4417</v>
      </c>
      <c r="L954" s="7"/>
      <c r="M954" s="7"/>
    </row>
    <row r="955" customFormat="false" ht="35.05" hidden="false" customHeight="false" outlineLevel="0" collapsed="false">
      <c r="A955" s="6" t="s">
        <v>1775</v>
      </c>
      <c r="B955" s="6" t="s">
        <v>132</v>
      </c>
      <c r="C955" s="6" t="s">
        <v>98</v>
      </c>
      <c r="D955" s="6" t="s">
        <v>1330</v>
      </c>
      <c r="E955" s="6"/>
      <c r="F955" s="6" t="s">
        <v>1347</v>
      </c>
      <c r="G955" s="6" t="s">
        <v>4406</v>
      </c>
      <c r="H955" s="6" t="s">
        <v>4423</v>
      </c>
      <c r="I955" s="6" t="n">
        <v>96</v>
      </c>
      <c r="J955" s="6" t="s">
        <v>83</v>
      </c>
      <c r="K955" s="6" t="s">
        <v>4518</v>
      </c>
      <c r="L955" s="7"/>
      <c r="M955" s="7"/>
    </row>
    <row r="956" customFormat="false" ht="35.05" hidden="false" customHeight="false" outlineLevel="0" collapsed="false">
      <c r="A956" s="6" t="s">
        <v>1775</v>
      </c>
      <c r="B956" s="6" t="s">
        <v>132</v>
      </c>
      <c r="C956" s="6" t="s">
        <v>98</v>
      </c>
      <c r="D956" s="6" t="s">
        <v>1330</v>
      </c>
      <c r="E956" s="6"/>
      <c r="F956" s="6" t="s">
        <v>1347</v>
      </c>
      <c r="G956" s="6" t="s">
        <v>4409</v>
      </c>
      <c r="H956" s="6" t="s">
        <v>4424</v>
      </c>
      <c r="I956" s="6" t="n">
        <v>58</v>
      </c>
      <c r="J956" s="6"/>
      <c r="K956" s="6" t="s">
        <v>4411</v>
      </c>
      <c r="L956" s="7"/>
      <c r="M956" s="7"/>
    </row>
    <row r="957" customFormat="false" ht="35.05" hidden="false" customHeight="false" outlineLevel="0" collapsed="false">
      <c r="A957" s="6" t="s">
        <v>1775</v>
      </c>
      <c r="B957" s="6" t="s">
        <v>132</v>
      </c>
      <c r="C957" s="6" t="s">
        <v>98</v>
      </c>
      <c r="D957" s="6" t="s">
        <v>1330</v>
      </c>
      <c r="E957" s="6"/>
      <c r="F957" s="6" t="s">
        <v>1347</v>
      </c>
      <c r="G957" s="6" t="s">
        <v>4412</v>
      </c>
      <c r="H957" s="6" t="s">
        <v>4425</v>
      </c>
      <c r="I957" s="6" t="n">
        <v>28</v>
      </c>
      <c r="J957" s="6"/>
      <c r="K957" s="6" t="s">
        <v>4414</v>
      </c>
      <c r="L957" s="7"/>
      <c r="M957" s="7"/>
    </row>
    <row r="958" customFormat="false" ht="35.05" hidden="false" customHeight="false" outlineLevel="0" collapsed="false">
      <c r="A958" s="6" t="s">
        <v>1775</v>
      </c>
      <c r="B958" s="6" t="s">
        <v>132</v>
      </c>
      <c r="C958" s="6" t="s">
        <v>98</v>
      </c>
      <c r="D958" s="6" t="s">
        <v>1330</v>
      </c>
      <c r="E958" s="6"/>
      <c r="F958" s="6" t="s">
        <v>1347</v>
      </c>
      <c r="G958" s="6" t="s">
        <v>4415</v>
      </c>
      <c r="H958" s="6" t="s">
        <v>4426</v>
      </c>
      <c r="I958" s="6" t="n">
        <v>18</v>
      </c>
      <c r="J958" s="6"/>
      <c r="K958" s="6" t="s">
        <v>4417</v>
      </c>
      <c r="L958" s="7"/>
      <c r="M958" s="7"/>
    </row>
    <row r="959" customFormat="false" ht="46.25" hidden="false" customHeight="false" outlineLevel="0" collapsed="false">
      <c r="A959" s="6" t="s">
        <v>1777</v>
      </c>
      <c r="B959" s="6" t="s">
        <v>132</v>
      </c>
      <c r="C959" s="6" t="s">
        <v>165</v>
      </c>
      <c r="D959" s="6" t="s">
        <v>1330</v>
      </c>
      <c r="E959" s="6"/>
      <c r="F959" s="6" t="s">
        <v>1352</v>
      </c>
      <c r="G959" s="6" t="s">
        <v>4406</v>
      </c>
      <c r="H959" s="6" t="s">
        <v>4427</v>
      </c>
      <c r="I959" s="6" t="n">
        <v>96</v>
      </c>
      <c r="J959" s="6" t="s">
        <v>83</v>
      </c>
      <c r="K959" s="6" t="s">
        <v>4519</v>
      </c>
      <c r="L959" s="7"/>
      <c r="M959" s="7"/>
    </row>
    <row r="960" customFormat="false" ht="46.25" hidden="false" customHeight="false" outlineLevel="0" collapsed="false">
      <c r="A960" s="6" t="s">
        <v>1777</v>
      </c>
      <c r="B960" s="6" t="s">
        <v>132</v>
      </c>
      <c r="C960" s="6" t="s">
        <v>165</v>
      </c>
      <c r="D960" s="6" t="s">
        <v>1330</v>
      </c>
      <c r="E960" s="6"/>
      <c r="F960" s="6" t="s">
        <v>1352</v>
      </c>
      <c r="G960" s="6" t="s">
        <v>4409</v>
      </c>
      <c r="H960" s="6" t="s">
        <v>4429</v>
      </c>
      <c r="I960" s="6" t="n">
        <v>62</v>
      </c>
      <c r="J960" s="6"/>
      <c r="K960" s="6" t="s">
        <v>4411</v>
      </c>
      <c r="L960" s="7"/>
      <c r="M960" s="7"/>
    </row>
    <row r="961" customFormat="false" ht="46.25" hidden="false" customHeight="false" outlineLevel="0" collapsed="false">
      <c r="A961" s="6" t="s">
        <v>1777</v>
      </c>
      <c r="B961" s="6" t="s">
        <v>132</v>
      </c>
      <c r="C961" s="6" t="s">
        <v>165</v>
      </c>
      <c r="D961" s="6" t="s">
        <v>1330</v>
      </c>
      <c r="E961" s="6"/>
      <c r="F961" s="6" t="s">
        <v>1352</v>
      </c>
      <c r="G961" s="6" t="s">
        <v>4412</v>
      </c>
      <c r="H961" s="6" t="s">
        <v>4430</v>
      </c>
      <c r="I961" s="6" t="n">
        <v>28</v>
      </c>
      <c r="J961" s="6"/>
      <c r="K961" s="6" t="s">
        <v>4414</v>
      </c>
      <c r="L961" s="7"/>
      <c r="M961" s="7"/>
    </row>
    <row r="962" customFormat="false" ht="46.25" hidden="false" customHeight="false" outlineLevel="0" collapsed="false">
      <c r="A962" s="6" t="s">
        <v>1777</v>
      </c>
      <c r="B962" s="6" t="s">
        <v>132</v>
      </c>
      <c r="C962" s="6" t="s">
        <v>165</v>
      </c>
      <c r="D962" s="6" t="s">
        <v>1330</v>
      </c>
      <c r="E962" s="6"/>
      <c r="F962" s="6" t="s">
        <v>1352</v>
      </c>
      <c r="G962" s="6" t="s">
        <v>4415</v>
      </c>
      <c r="H962" s="6" t="s">
        <v>4431</v>
      </c>
      <c r="I962" s="6" t="n">
        <v>18</v>
      </c>
      <c r="J962" s="6"/>
      <c r="K962" s="6" t="s">
        <v>4417</v>
      </c>
      <c r="L962" s="7"/>
      <c r="M962" s="7"/>
    </row>
    <row r="963" customFormat="false" ht="46.25" hidden="false" customHeight="false" outlineLevel="0" collapsed="false">
      <c r="A963" s="6" t="s">
        <v>1780</v>
      </c>
      <c r="B963" s="6" t="s">
        <v>132</v>
      </c>
      <c r="C963" s="6" t="s">
        <v>165</v>
      </c>
      <c r="D963" s="6" t="s">
        <v>1330</v>
      </c>
      <c r="E963" s="6"/>
      <c r="F963" s="6" t="s">
        <v>1358</v>
      </c>
      <c r="G963" s="6" t="s">
        <v>4406</v>
      </c>
      <c r="H963" s="6" t="s">
        <v>4432</v>
      </c>
      <c r="I963" s="6" t="n">
        <v>96</v>
      </c>
      <c r="J963" s="6" t="s">
        <v>83</v>
      </c>
      <c r="K963" s="6" t="s">
        <v>4519</v>
      </c>
      <c r="L963" s="7"/>
      <c r="M963" s="7"/>
    </row>
    <row r="964" customFormat="false" ht="46.25" hidden="false" customHeight="false" outlineLevel="0" collapsed="false">
      <c r="A964" s="6" t="s">
        <v>1780</v>
      </c>
      <c r="B964" s="6" t="s">
        <v>132</v>
      </c>
      <c r="C964" s="6" t="s">
        <v>165</v>
      </c>
      <c r="D964" s="6" t="s">
        <v>1330</v>
      </c>
      <c r="E964" s="6"/>
      <c r="F964" s="6" t="s">
        <v>1358</v>
      </c>
      <c r="G964" s="6" t="s">
        <v>4409</v>
      </c>
      <c r="H964" s="6" t="s">
        <v>4433</v>
      </c>
      <c r="I964" s="6" t="n">
        <v>62</v>
      </c>
      <c r="J964" s="6"/>
      <c r="K964" s="6" t="s">
        <v>4411</v>
      </c>
      <c r="L964" s="7"/>
      <c r="M964" s="7"/>
    </row>
    <row r="965" customFormat="false" ht="46.25" hidden="false" customHeight="false" outlineLevel="0" collapsed="false">
      <c r="A965" s="6" t="s">
        <v>1780</v>
      </c>
      <c r="B965" s="6" t="s">
        <v>132</v>
      </c>
      <c r="C965" s="6" t="s">
        <v>165</v>
      </c>
      <c r="D965" s="6" t="s">
        <v>1330</v>
      </c>
      <c r="E965" s="6"/>
      <c r="F965" s="6" t="s">
        <v>1358</v>
      </c>
      <c r="G965" s="6" t="s">
        <v>4412</v>
      </c>
      <c r="H965" s="6" t="s">
        <v>4434</v>
      </c>
      <c r="I965" s="6" t="n">
        <v>28</v>
      </c>
      <c r="J965" s="6"/>
      <c r="K965" s="6" t="s">
        <v>4414</v>
      </c>
      <c r="L965" s="7"/>
      <c r="M965" s="7"/>
    </row>
    <row r="966" customFormat="false" ht="46.25" hidden="false" customHeight="false" outlineLevel="0" collapsed="false">
      <c r="A966" s="6" t="s">
        <v>1780</v>
      </c>
      <c r="B966" s="6" t="s">
        <v>132</v>
      </c>
      <c r="C966" s="6" t="s">
        <v>165</v>
      </c>
      <c r="D966" s="6" t="s">
        <v>1330</v>
      </c>
      <c r="E966" s="6"/>
      <c r="F966" s="6" t="s">
        <v>1358</v>
      </c>
      <c r="G966" s="6" t="s">
        <v>4415</v>
      </c>
      <c r="H966" s="6" t="s">
        <v>4435</v>
      </c>
      <c r="I966" s="6" t="n">
        <v>18</v>
      </c>
      <c r="J966" s="6"/>
      <c r="K966" s="6" t="s">
        <v>4417</v>
      </c>
      <c r="L966" s="7"/>
      <c r="M966" s="7"/>
    </row>
    <row r="967" customFormat="false" ht="46.25" hidden="false" customHeight="false" outlineLevel="0" collapsed="false">
      <c r="A967" s="6" t="s">
        <v>1782</v>
      </c>
      <c r="B967" s="6" t="s">
        <v>132</v>
      </c>
      <c r="C967" s="6" t="s">
        <v>1362</v>
      </c>
      <c r="D967" s="6" t="s">
        <v>1330</v>
      </c>
      <c r="E967" s="6"/>
      <c r="F967" s="6" t="s">
        <v>1364</v>
      </c>
      <c r="G967" s="6" t="s">
        <v>4406</v>
      </c>
      <c r="H967" s="6" t="s">
        <v>4436</v>
      </c>
      <c r="I967" s="6" t="n">
        <v>96</v>
      </c>
      <c r="J967" s="6" t="s">
        <v>83</v>
      </c>
      <c r="K967" s="6" t="s">
        <v>4520</v>
      </c>
      <c r="L967" s="7"/>
      <c r="M967" s="7"/>
    </row>
    <row r="968" customFormat="false" ht="46.25" hidden="false" customHeight="false" outlineLevel="0" collapsed="false">
      <c r="A968" s="6" t="s">
        <v>1782</v>
      </c>
      <c r="B968" s="6" t="s">
        <v>132</v>
      </c>
      <c r="C968" s="6" t="s">
        <v>1362</v>
      </c>
      <c r="D968" s="6" t="s">
        <v>1330</v>
      </c>
      <c r="E968" s="6"/>
      <c r="F968" s="6" t="s">
        <v>1364</v>
      </c>
      <c r="G968" s="6" t="s">
        <v>4409</v>
      </c>
      <c r="H968" s="6" t="s">
        <v>4438</v>
      </c>
      <c r="I968" s="6" t="n">
        <v>62</v>
      </c>
      <c r="J968" s="6"/>
      <c r="K968" s="6" t="s">
        <v>4411</v>
      </c>
      <c r="L968" s="7"/>
      <c r="M968" s="7"/>
    </row>
    <row r="969" customFormat="false" ht="46.25" hidden="false" customHeight="false" outlineLevel="0" collapsed="false">
      <c r="A969" s="6" t="s">
        <v>1782</v>
      </c>
      <c r="B969" s="6" t="s">
        <v>132</v>
      </c>
      <c r="C969" s="6" t="s">
        <v>1362</v>
      </c>
      <c r="D969" s="6" t="s">
        <v>1330</v>
      </c>
      <c r="E969" s="6"/>
      <c r="F969" s="6" t="s">
        <v>1364</v>
      </c>
      <c r="G969" s="6" t="s">
        <v>4412</v>
      </c>
      <c r="H969" s="6" t="s">
        <v>4439</v>
      </c>
      <c r="I969" s="6" t="n">
        <v>28</v>
      </c>
      <c r="J969" s="6"/>
      <c r="K969" s="6" t="s">
        <v>4414</v>
      </c>
      <c r="L969" s="7"/>
      <c r="M969" s="7"/>
    </row>
    <row r="970" customFormat="false" ht="46.25" hidden="false" customHeight="false" outlineLevel="0" collapsed="false">
      <c r="A970" s="6" t="s">
        <v>1782</v>
      </c>
      <c r="B970" s="6" t="s">
        <v>132</v>
      </c>
      <c r="C970" s="6" t="s">
        <v>1362</v>
      </c>
      <c r="D970" s="6" t="s">
        <v>1330</v>
      </c>
      <c r="E970" s="6"/>
      <c r="F970" s="6" t="s">
        <v>1364</v>
      </c>
      <c r="G970" s="6" t="s">
        <v>4415</v>
      </c>
      <c r="H970" s="6" t="s">
        <v>4440</v>
      </c>
      <c r="I970" s="6" t="n">
        <v>18</v>
      </c>
      <c r="J970" s="6"/>
      <c r="K970" s="6" t="s">
        <v>4417</v>
      </c>
      <c r="L970" s="7"/>
      <c r="M970" s="7"/>
    </row>
    <row r="971" customFormat="false" ht="46.25" hidden="false" customHeight="false" outlineLevel="0" collapsed="false">
      <c r="A971" s="6" t="s">
        <v>1785</v>
      </c>
      <c r="B971" s="6" t="s">
        <v>132</v>
      </c>
      <c r="C971" s="6" t="s">
        <v>1362</v>
      </c>
      <c r="D971" s="6" t="s">
        <v>1330</v>
      </c>
      <c r="E971" s="6"/>
      <c r="F971" s="6" t="s">
        <v>1370</v>
      </c>
      <c r="G971" s="6" t="s">
        <v>4406</v>
      </c>
      <c r="H971" s="6" t="s">
        <v>4441</v>
      </c>
      <c r="I971" s="6" t="n">
        <v>96</v>
      </c>
      <c r="J971" s="6" t="s">
        <v>83</v>
      </c>
      <c r="K971" s="6" t="s">
        <v>4520</v>
      </c>
      <c r="L971" s="7"/>
      <c r="M971" s="7"/>
    </row>
    <row r="972" customFormat="false" ht="46.25" hidden="false" customHeight="false" outlineLevel="0" collapsed="false">
      <c r="A972" s="6" t="s">
        <v>1785</v>
      </c>
      <c r="B972" s="6" t="s">
        <v>132</v>
      </c>
      <c r="C972" s="6" t="s">
        <v>1362</v>
      </c>
      <c r="D972" s="6" t="s">
        <v>1330</v>
      </c>
      <c r="E972" s="6"/>
      <c r="F972" s="6" t="s">
        <v>1370</v>
      </c>
      <c r="G972" s="6" t="s">
        <v>4409</v>
      </c>
      <c r="H972" s="6" t="s">
        <v>4442</v>
      </c>
      <c r="I972" s="6" t="n">
        <v>62</v>
      </c>
      <c r="J972" s="6"/>
      <c r="K972" s="6" t="s">
        <v>4411</v>
      </c>
      <c r="L972" s="7"/>
      <c r="M972" s="7"/>
    </row>
    <row r="973" customFormat="false" ht="46.25" hidden="false" customHeight="false" outlineLevel="0" collapsed="false">
      <c r="A973" s="6" t="s">
        <v>1785</v>
      </c>
      <c r="B973" s="6" t="s">
        <v>132</v>
      </c>
      <c r="C973" s="6" t="s">
        <v>1362</v>
      </c>
      <c r="D973" s="6" t="s">
        <v>1330</v>
      </c>
      <c r="E973" s="6"/>
      <c r="F973" s="6" t="s">
        <v>1370</v>
      </c>
      <c r="G973" s="6" t="s">
        <v>4412</v>
      </c>
      <c r="H973" s="6" t="s">
        <v>4443</v>
      </c>
      <c r="I973" s="6" t="n">
        <v>28</v>
      </c>
      <c r="J973" s="6"/>
      <c r="K973" s="6" t="s">
        <v>4414</v>
      </c>
      <c r="L973" s="7"/>
      <c r="M973" s="7"/>
    </row>
    <row r="974" customFormat="false" ht="46.25" hidden="false" customHeight="false" outlineLevel="0" collapsed="false">
      <c r="A974" s="6" t="s">
        <v>1785</v>
      </c>
      <c r="B974" s="6" t="s">
        <v>132</v>
      </c>
      <c r="C974" s="6" t="s">
        <v>1362</v>
      </c>
      <c r="D974" s="6" t="s">
        <v>1330</v>
      </c>
      <c r="E974" s="6"/>
      <c r="F974" s="6" t="s">
        <v>1370</v>
      </c>
      <c r="G974" s="6" t="s">
        <v>4415</v>
      </c>
      <c r="H974" s="6" t="s">
        <v>4444</v>
      </c>
      <c r="I974" s="6" t="n">
        <v>18</v>
      </c>
      <c r="J974" s="6"/>
      <c r="K974" s="6" t="s">
        <v>4417</v>
      </c>
      <c r="L974" s="7"/>
      <c r="M974" s="7"/>
    </row>
    <row r="975" customFormat="false" ht="35.05" hidden="false" customHeight="false" outlineLevel="0" collapsed="false">
      <c r="A975" s="6" t="s">
        <v>1787</v>
      </c>
      <c r="B975" s="6" t="s">
        <v>145</v>
      </c>
      <c r="C975" s="6" t="s">
        <v>79</v>
      </c>
      <c r="D975" s="6" t="s">
        <v>1330</v>
      </c>
      <c r="E975" s="6"/>
      <c r="F975" s="6" t="s">
        <v>1335</v>
      </c>
      <c r="G975" s="6" t="s">
        <v>4406</v>
      </c>
      <c r="H975" s="6" t="s">
        <v>4407</v>
      </c>
      <c r="I975" s="6" t="n">
        <v>96</v>
      </c>
      <c r="J975" s="6" t="s">
        <v>83</v>
      </c>
      <c r="K975" s="6" t="s">
        <v>4521</v>
      </c>
      <c r="L975" s="7"/>
      <c r="M975" s="7"/>
    </row>
    <row r="976" customFormat="false" ht="35.05" hidden="false" customHeight="false" outlineLevel="0" collapsed="false">
      <c r="A976" s="6" t="s">
        <v>1787</v>
      </c>
      <c r="B976" s="6" t="s">
        <v>145</v>
      </c>
      <c r="C976" s="6" t="s">
        <v>79</v>
      </c>
      <c r="D976" s="6" t="s">
        <v>1330</v>
      </c>
      <c r="E976" s="6"/>
      <c r="F976" s="6" t="s">
        <v>1335</v>
      </c>
      <c r="G976" s="6" t="s">
        <v>4409</v>
      </c>
      <c r="H976" s="6" t="s">
        <v>4410</v>
      </c>
      <c r="I976" s="6" t="n">
        <v>60</v>
      </c>
      <c r="J976" s="6"/>
      <c r="K976" s="6" t="s">
        <v>4411</v>
      </c>
      <c r="L976" s="7"/>
      <c r="M976" s="7"/>
    </row>
    <row r="977" customFormat="false" ht="35.05" hidden="false" customHeight="false" outlineLevel="0" collapsed="false">
      <c r="A977" s="6" t="s">
        <v>1787</v>
      </c>
      <c r="B977" s="6" t="s">
        <v>145</v>
      </c>
      <c r="C977" s="6" t="s">
        <v>79</v>
      </c>
      <c r="D977" s="6" t="s">
        <v>1330</v>
      </c>
      <c r="E977" s="6"/>
      <c r="F977" s="6" t="s">
        <v>1335</v>
      </c>
      <c r="G977" s="6" t="s">
        <v>4412</v>
      </c>
      <c r="H977" s="6" t="s">
        <v>4413</v>
      </c>
      <c r="I977" s="6" t="n">
        <v>28</v>
      </c>
      <c r="J977" s="6"/>
      <c r="K977" s="6" t="s">
        <v>4414</v>
      </c>
      <c r="L977" s="7"/>
      <c r="M977" s="7"/>
    </row>
    <row r="978" customFormat="false" ht="35.05" hidden="false" customHeight="false" outlineLevel="0" collapsed="false">
      <c r="A978" s="6" t="s">
        <v>1787</v>
      </c>
      <c r="B978" s="6" t="s">
        <v>145</v>
      </c>
      <c r="C978" s="6" t="s">
        <v>79</v>
      </c>
      <c r="D978" s="6" t="s">
        <v>1330</v>
      </c>
      <c r="E978" s="6"/>
      <c r="F978" s="6" t="s">
        <v>1335</v>
      </c>
      <c r="G978" s="6" t="s">
        <v>4415</v>
      </c>
      <c r="H978" s="6" t="s">
        <v>4416</v>
      </c>
      <c r="I978" s="6" t="n">
        <v>18</v>
      </c>
      <c r="J978" s="6"/>
      <c r="K978" s="6" t="s">
        <v>4417</v>
      </c>
      <c r="L978" s="7"/>
      <c r="M978" s="7"/>
    </row>
    <row r="979" customFormat="false" ht="23.85" hidden="false" customHeight="false" outlineLevel="0" collapsed="false">
      <c r="A979" s="6" t="s">
        <v>1791</v>
      </c>
      <c r="B979" s="6" t="s">
        <v>145</v>
      </c>
      <c r="C979" s="6" t="s">
        <v>98</v>
      </c>
      <c r="D979" s="6" t="s">
        <v>1330</v>
      </c>
      <c r="E979" s="6"/>
      <c r="F979" s="6" t="s">
        <v>1341</v>
      </c>
      <c r="G979" s="6" t="s">
        <v>4406</v>
      </c>
      <c r="H979" s="6" t="s">
        <v>4418</v>
      </c>
      <c r="I979" s="6" t="n">
        <v>96</v>
      </c>
      <c r="J979" s="6" t="s">
        <v>83</v>
      </c>
      <c r="K979" s="6" t="s">
        <v>4522</v>
      </c>
      <c r="L979" s="7"/>
      <c r="M979" s="7"/>
    </row>
    <row r="980" customFormat="false" ht="23.85" hidden="false" customHeight="false" outlineLevel="0" collapsed="false">
      <c r="A980" s="6" t="s">
        <v>1791</v>
      </c>
      <c r="B980" s="6" t="s">
        <v>145</v>
      </c>
      <c r="C980" s="6" t="s">
        <v>98</v>
      </c>
      <c r="D980" s="6" t="s">
        <v>1330</v>
      </c>
      <c r="E980" s="6"/>
      <c r="F980" s="6" t="s">
        <v>1341</v>
      </c>
      <c r="G980" s="6" t="s">
        <v>4409</v>
      </c>
      <c r="H980" s="6" t="s">
        <v>4420</v>
      </c>
      <c r="I980" s="6" t="n">
        <v>58</v>
      </c>
      <c r="J980" s="6"/>
      <c r="K980" s="6" t="s">
        <v>4411</v>
      </c>
      <c r="L980" s="7"/>
      <c r="M980" s="7"/>
    </row>
    <row r="981" customFormat="false" ht="23.85" hidden="false" customHeight="false" outlineLevel="0" collapsed="false">
      <c r="A981" s="6" t="s">
        <v>1791</v>
      </c>
      <c r="B981" s="6" t="s">
        <v>145</v>
      </c>
      <c r="C981" s="6" t="s">
        <v>98</v>
      </c>
      <c r="D981" s="6" t="s">
        <v>1330</v>
      </c>
      <c r="E981" s="6"/>
      <c r="F981" s="6" t="s">
        <v>1341</v>
      </c>
      <c r="G981" s="6" t="s">
        <v>4412</v>
      </c>
      <c r="H981" s="6" t="s">
        <v>4421</v>
      </c>
      <c r="I981" s="6" t="n">
        <v>28</v>
      </c>
      <c r="J981" s="6"/>
      <c r="K981" s="6" t="s">
        <v>4414</v>
      </c>
      <c r="L981" s="7"/>
      <c r="M981" s="7"/>
    </row>
    <row r="982" customFormat="false" ht="23.85" hidden="false" customHeight="false" outlineLevel="0" collapsed="false">
      <c r="A982" s="6" t="s">
        <v>1791</v>
      </c>
      <c r="B982" s="6" t="s">
        <v>145</v>
      </c>
      <c r="C982" s="6" t="s">
        <v>98</v>
      </c>
      <c r="D982" s="6" t="s">
        <v>1330</v>
      </c>
      <c r="E982" s="6"/>
      <c r="F982" s="6" t="s">
        <v>1341</v>
      </c>
      <c r="G982" s="6" t="s">
        <v>4415</v>
      </c>
      <c r="H982" s="6" t="s">
        <v>4422</v>
      </c>
      <c r="I982" s="6" t="n">
        <v>18</v>
      </c>
      <c r="J982" s="6"/>
      <c r="K982" s="6" t="s">
        <v>4417</v>
      </c>
      <c r="L982" s="7"/>
      <c r="M982" s="7"/>
    </row>
    <row r="983" customFormat="false" ht="23.85" hidden="false" customHeight="false" outlineLevel="0" collapsed="false">
      <c r="A983" s="6" t="s">
        <v>1794</v>
      </c>
      <c r="B983" s="6" t="s">
        <v>145</v>
      </c>
      <c r="C983" s="6" t="s">
        <v>98</v>
      </c>
      <c r="D983" s="6" t="s">
        <v>1330</v>
      </c>
      <c r="E983" s="6"/>
      <c r="F983" s="6" t="s">
        <v>1347</v>
      </c>
      <c r="G983" s="6" t="s">
        <v>4406</v>
      </c>
      <c r="H983" s="6" t="s">
        <v>4423</v>
      </c>
      <c r="I983" s="6" t="n">
        <v>96</v>
      </c>
      <c r="J983" s="6" t="s">
        <v>83</v>
      </c>
      <c r="K983" s="6" t="s">
        <v>4522</v>
      </c>
      <c r="L983" s="7"/>
      <c r="M983" s="7"/>
    </row>
    <row r="984" customFormat="false" ht="23.85" hidden="false" customHeight="false" outlineLevel="0" collapsed="false">
      <c r="A984" s="6" t="s">
        <v>1794</v>
      </c>
      <c r="B984" s="6" t="s">
        <v>145</v>
      </c>
      <c r="C984" s="6" t="s">
        <v>98</v>
      </c>
      <c r="D984" s="6" t="s">
        <v>1330</v>
      </c>
      <c r="E984" s="6"/>
      <c r="F984" s="6" t="s">
        <v>1347</v>
      </c>
      <c r="G984" s="6" t="s">
        <v>4409</v>
      </c>
      <c r="H984" s="6" t="s">
        <v>4424</v>
      </c>
      <c r="I984" s="6" t="n">
        <v>58</v>
      </c>
      <c r="J984" s="6"/>
      <c r="K984" s="6" t="s">
        <v>4411</v>
      </c>
      <c r="L984" s="7"/>
      <c r="M984" s="7"/>
    </row>
    <row r="985" customFormat="false" ht="23.85" hidden="false" customHeight="false" outlineLevel="0" collapsed="false">
      <c r="A985" s="6" t="s">
        <v>1794</v>
      </c>
      <c r="B985" s="6" t="s">
        <v>145</v>
      </c>
      <c r="C985" s="6" t="s">
        <v>98</v>
      </c>
      <c r="D985" s="6" t="s">
        <v>1330</v>
      </c>
      <c r="E985" s="6"/>
      <c r="F985" s="6" t="s">
        <v>1347</v>
      </c>
      <c r="G985" s="6" t="s">
        <v>4412</v>
      </c>
      <c r="H985" s="6" t="s">
        <v>4425</v>
      </c>
      <c r="I985" s="6" t="n">
        <v>28</v>
      </c>
      <c r="J985" s="6"/>
      <c r="K985" s="6" t="s">
        <v>4414</v>
      </c>
      <c r="L985" s="7"/>
      <c r="M985" s="7"/>
    </row>
    <row r="986" customFormat="false" ht="23.85" hidden="false" customHeight="false" outlineLevel="0" collapsed="false">
      <c r="A986" s="6" t="s">
        <v>1794</v>
      </c>
      <c r="B986" s="6" t="s">
        <v>145</v>
      </c>
      <c r="C986" s="6" t="s">
        <v>98</v>
      </c>
      <c r="D986" s="6" t="s">
        <v>1330</v>
      </c>
      <c r="E986" s="6"/>
      <c r="F986" s="6" t="s">
        <v>1347</v>
      </c>
      <c r="G986" s="6" t="s">
        <v>4415</v>
      </c>
      <c r="H986" s="6" t="s">
        <v>4426</v>
      </c>
      <c r="I986" s="6" t="n">
        <v>18</v>
      </c>
      <c r="J986" s="6"/>
      <c r="K986" s="6" t="s">
        <v>4417</v>
      </c>
      <c r="L986" s="7"/>
      <c r="M986" s="7"/>
    </row>
    <row r="987" customFormat="false" ht="35.05" hidden="false" customHeight="false" outlineLevel="0" collapsed="false">
      <c r="A987" s="6" t="s">
        <v>1796</v>
      </c>
      <c r="B987" s="6" t="s">
        <v>145</v>
      </c>
      <c r="C987" s="6" t="s">
        <v>165</v>
      </c>
      <c r="D987" s="6" t="s">
        <v>1330</v>
      </c>
      <c r="E987" s="6"/>
      <c r="F987" s="6" t="s">
        <v>1352</v>
      </c>
      <c r="G987" s="6" t="s">
        <v>4406</v>
      </c>
      <c r="H987" s="6" t="s">
        <v>4427</v>
      </c>
      <c r="I987" s="6" t="n">
        <v>96</v>
      </c>
      <c r="J987" s="6" t="s">
        <v>83</v>
      </c>
      <c r="K987" s="6" t="s">
        <v>4523</v>
      </c>
      <c r="L987" s="7"/>
      <c r="M987" s="7"/>
    </row>
    <row r="988" customFormat="false" ht="35.05" hidden="false" customHeight="false" outlineLevel="0" collapsed="false">
      <c r="A988" s="6" t="s">
        <v>1796</v>
      </c>
      <c r="B988" s="6" t="s">
        <v>145</v>
      </c>
      <c r="C988" s="6" t="s">
        <v>165</v>
      </c>
      <c r="D988" s="6" t="s">
        <v>1330</v>
      </c>
      <c r="E988" s="6"/>
      <c r="F988" s="6" t="s">
        <v>1352</v>
      </c>
      <c r="G988" s="6" t="s">
        <v>4409</v>
      </c>
      <c r="H988" s="6" t="s">
        <v>4429</v>
      </c>
      <c r="I988" s="6" t="n">
        <v>62</v>
      </c>
      <c r="J988" s="6"/>
      <c r="K988" s="6" t="s">
        <v>4411</v>
      </c>
      <c r="L988" s="7"/>
      <c r="M988" s="7"/>
    </row>
    <row r="989" customFormat="false" ht="35.05" hidden="false" customHeight="false" outlineLevel="0" collapsed="false">
      <c r="A989" s="6" t="s">
        <v>1796</v>
      </c>
      <c r="B989" s="6" t="s">
        <v>145</v>
      </c>
      <c r="C989" s="6" t="s">
        <v>165</v>
      </c>
      <c r="D989" s="6" t="s">
        <v>1330</v>
      </c>
      <c r="E989" s="6"/>
      <c r="F989" s="6" t="s">
        <v>1352</v>
      </c>
      <c r="G989" s="6" t="s">
        <v>4412</v>
      </c>
      <c r="H989" s="6" t="s">
        <v>4430</v>
      </c>
      <c r="I989" s="6" t="n">
        <v>28</v>
      </c>
      <c r="J989" s="6"/>
      <c r="K989" s="6" t="s">
        <v>4414</v>
      </c>
      <c r="L989" s="7"/>
      <c r="M989" s="7"/>
    </row>
    <row r="990" customFormat="false" ht="35.05" hidden="false" customHeight="false" outlineLevel="0" collapsed="false">
      <c r="A990" s="6" t="s">
        <v>1796</v>
      </c>
      <c r="B990" s="6" t="s">
        <v>145</v>
      </c>
      <c r="C990" s="6" t="s">
        <v>165</v>
      </c>
      <c r="D990" s="6" t="s">
        <v>1330</v>
      </c>
      <c r="E990" s="6"/>
      <c r="F990" s="6" t="s">
        <v>1352</v>
      </c>
      <c r="G990" s="6" t="s">
        <v>4415</v>
      </c>
      <c r="H990" s="6" t="s">
        <v>4431</v>
      </c>
      <c r="I990" s="6" t="n">
        <v>18</v>
      </c>
      <c r="J990" s="6"/>
      <c r="K990" s="6" t="s">
        <v>4417</v>
      </c>
      <c r="L990" s="7"/>
      <c r="M990" s="7"/>
    </row>
    <row r="991" customFormat="false" ht="35.05" hidden="false" customHeight="false" outlineLevel="0" collapsed="false">
      <c r="A991" s="6" t="s">
        <v>1799</v>
      </c>
      <c r="B991" s="6" t="s">
        <v>145</v>
      </c>
      <c r="C991" s="6" t="s">
        <v>165</v>
      </c>
      <c r="D991" s="6" t="s">
        <v>1330</v>
      </c>
      <c r="E991" s="6"/>
      <c r="F991" s="6" t="s">
        <v>1358</v>
      </c>
      <c r="G991" s="6" t="s">
        <v>4406</v>
      </c>
      <c r="H991" s="6" t="s">
        <v>4432</v>
      </c>
      <c r="I991" s="6" t="n">
        <v>96</v>
      </c>
      <c r="J991" s="6" t="s">
        <v>83</v>
      </c>
      <c r="K991" s="6" t="s">
        <v>4523</v>
      </c>
      <c r="L991" s="7"/>
      <c r="M991" s="7"/>
    </row>
    <row r="992" customFormat="false" ht="35.05" hidden="false" customHeight="false" outlineLevel="0" collapsed="false">
      <c r="A992" s="6" t="s">
        <v>1799</v>
      </c>
      <c r="B992" s="6" t="s">
        <v>145</v>
      </c>
      <c r="C992" s="6" t="s">
        <v>165</v>
      </c>
      <c r="D992" s="6" t="s">
        <v>1330</v>
      </c>
      <c r="E992" s="6"/>
      <c r="F992" s="6" t="s">
        <v>1358</v>
      </c>
      <c r="G992" s="6" t="s">
        <v>4409</v>
      </c>
      <c r="H992" s="6" t="s">
        <v>4433</v>
      </c>
      <c r="I992" s="6" t="n">
        <v>62</v>
      </c>
      <c r="J992" s="6"/>
      <c r="K992" s="6" t="s">
        <v>4411</v>
      </c>
      <c r="L992" s="7"/>
      <c r="M992" s="7"/>
    </row>
    <row r="993" customFormat="false" ht="35.05" hidden="false" customHeight="false" outlineLevel="0" collapsed="false">
      <c r="A993" s="6" t="s">
        <v>1799</v>
      </c>
      <c r="B993" s="6" t="s">
        <v>145</v>
      </c>
      <c r="C993" s="6" t="s">
        <v>165</v>
      </c>
      <c r="D993" s="6" t="s">
        <v>1330</v>
      </c>
      <c r="E993" s="6"/>
      <c r="F993" s="6" t="s">
        <v>1358</v>
      </c>
      <c r="G993" s="6" t="s">
        <v>4412</v>
      </c>
      <c r="H993" s="6" t="s">
        <v>4434</v>
      </c>
      <c r="I993" s="6" t="n">
        <v>28</v>
      </c>
      <c r="J993" s="6"/>
      <c r="K993" s="6" t="s">
        <v>4414</v>
      </c>
      <c r="L993" s="7"/>
      <c r="M993" s="7"/>
    </row>
    <row r="994" customFormat="false" ht="35.05" hidden="false" customHeight="false" outlineLevel="0" collapsed="false">
      <c r="A994" s="6" t="s">
        <v>1799</v>
      </c>
      <c r="B994" s="6" t="s">
        <v>145</v>
      </c>
      <c r="C994" s="6" t="s">
        <v>165</v>
      </c>
      <c r="D994" s="6" t="s">
        <v>1330</v>
      </c>
      <c r="E994" s="6"/>
      <c r="F994" s="6" t="s">
        <v>1358</v>
      </c>
      <c r="G994" s="6" t="s">
        <v>4415</v>
      </c>
      <c r="H994" s="6" t="s">
        <v>4435</v>
      </c>
      <c r="I994" s="6" t="n">
        <v>18</v>
      </c>
      <c r="J994" s="6"/>
      <c r="K994" s="6" t="s">
        <v>4417</v>
      </c>
      <c r="L994" s="7"/>
      <c r="M994" s="7"/>
    </row>
    <row r="995" customFormat="false" ht="35.05" hidden="false" customHeight="false" outlineLevel="0" collapsed="false">
      <c r="A995" s="6" t="s">
        <v>1801</v>
      </c>
      <c r="B995" s="6" t="s">
        <v>145</v>
      </c>
      <c r="C995" s="6" t="s">
        <v>1362</v>
      </c>
      <c r="D995" s="6" t="s">
        <v>1330</v>
      </c>
      <c r="E995" s="6"/>
      <c r="F995" s="6" t="s">
        <v>1364</v>
      </c>
      <c r="G995" s="6" t="s">
        <v>4406</v>
      </c>
      <c r="H995" s="6" t="s">
        <v>4436</v>
      </c>
      <c r="I995" s="6" t="n">
        <v>96</v>
      </c>
      <c r="J995" s="6" t="s">
        <v>83</v>
      </c>
      <c r="K995" s="6" t="s">
        <v>4524</v>
      </c>
      <c r="L995" s="7"/>
      <c r="M995" s="7"/>
    </row>
    <row r="996" customFormat="false" ht="35.05" hidden="false" customHeight="false" outlineLevel="0" collapsed="false">
      <c r="A996" s="6" t="s">
        <v>1801</v>
      </c>
      <c r="B996" s="6" t="s">
        <v>145</v>
      </c>
      <c r="C996" s="6" t="s">
        <v>1362</v>
      </c>
      <c r="D996" s="6" t="s">
        <v>1330</v>
      </c>
      <c r="E996" s="6"/>
      <c r="F996" s="6" t="s">
        <v>1364</v>
      </c>
      <c r="G996" s="6" t="s">
        <v>4409</v>
      </c>
      <c r="H996" s="6" t="s">
        <v>4438</v>
      </c>
      <c r="I996" s="6" t="n">
        <v>62</v>
      </c>
      <c r="J996" s="6"/>
      <c r="K996" s="6" t="s">
        <v>4411</v>
      </c>
      <c r="L996" s="7"/>
      <c r="M996" s="7"/>
    </row>
    <row r="997" customFormat="false" ht="35.05" hidden="false" customHeight="false" outlineLevel="0" collapsed="false">
      <c r="A997" s="6" t="s">
        <v>1801</v>
      </c>
      <c r="B997" s="6" t="s">
        <v>145</v>
      </c>
      <c r="C997" s="6" t="s">
        <v>1362</v>
      </c>
      <c r="D997" s="6" t="s">
        <v>1330</v>
      </c>
      <c r="E997" s="6"/>
      <c r="F997" s="6" t="s">
        <v>1364</v>
      </c>
      <c r="G997" s="6" t="s">
        <v>4412</v>
      </c>
      <c r="H997" s="6" t="s">
        <v>4439</v>
      </c>
      <c r="I997" s="6" t="n">
        <v>28</v>
      </c>
      <c r="J997" s="6"/>
      <c r="K997" s="6" t="s">
        <v>4414</v>
      </c>
      <c r="L997" s="7"/>
      <c r="M997" s="7"/>
    </row>
    <row r="998" customFormat="false" ht="35.05" hidden="false" customHeight="false" outlineLevel="0" collapsed="false">
      <c r="A998" s="6" t="s">
        <v>1801</v>
      </c>
      <c r="B998" s="6" t="s">
        <v>145</v>
      </c>
      <c r="C998" s="6" t="s">
        <v>1362</v>
      </c>
      <c r="D998" s="6" t="s">
        <v>1330</v>
      </c>
      <c r="E998" s="6"/>
      <c r="F998" s="6" t="s">
        <v>1364</v>
      </c>
      <c r="G998" s="6" t="s">
        <v>4415</v>
      </c>
      <c r="H998" s="6" t="s">
        <v>4440</v>
      </c>
      <c r="I998" s="6" t="n">
        <v>18</v>
      </c>
      <c r="J998" s="6"/>
      <c r="K998" s="6" t="s">
        <v>4417</v>
      </c>
      <c r="L998" s="7"/>
      <c r="M998" s="7"/>
    </row>
    <row r="999" customFormat="false" ht="35.05" hidden="false" customHeight="false" outlineLevel="0" collapsed="false">
      <c r="A999" s="6" t="s">
        <v>1804</v>
      </c>
      <c r="B999" s="6" t="s">
        <v>145</v>
      </c>
      <c r="C999" s="6" t="s">
        <v>1362</v>
      </c>
      <c r="D999" s="6" t="s">
        <v>1330</v>
      </c>
      <c r="E999" s="6"/>
      <c r="F999" s="6" t="s">
        <v>1370</v>
      </c>
      <c r="G999" s="6" t="s">
        <v>4406</v>
      </c>
      <c r="H999" s="6" t="s">
        <v>4441</v>
      </c>
      <c r="I999" s="6" t="n">
        <v>96</v>
      </c>
      <c r="J999" s="6" t="s">
        <v>83</v>
      </c>
      <c r="K999" s="6" t="s">
        <v>4524</v>
      </c>
      <c r="L999" s="7"/>
      <c r="M999" s="7"/>
    </row>
    <row r="1000" customFormat="false" ht="23.85" hidden="false" customHeight="false" outlineLevel="0" collapsed="false">
      <c r="A1000" s="6" t="s">
        <v>1804</v>
      </c>
      <c r="B1000" s="6" t="s">
        <v>145</v>
      </c>
      <c r="C1000" s="6" t="s">
        <v>1362</v>
      </c>
      <c r="D1000" s="6" t="s">
        <v>1330</v>
      </c>
      <c r="E1000" s="6"/>
      <c r="F1000" s="6" t="s">
        <v>1370</v>
      </c>
      <c r="G1000" s="6" t="s">
        <v>4409</v>
      </c>
      <c r="H1000" s="6" t="s">
        <v>4442</v>
      </c>
      <c r="I1000" s="6" t="n">
        <v>62</v>
      </c>
      <c r="J1000" s="6"/>
      <c r="K1000" s="6" t="s">
        <v>4411</v>
      </c>
      <c r="L1000" s="7"/>
      <c r="M1000" s="7"/>
    </row>
    <row r="1001" customFormat="false" ht="23.85" hidden="false" customHeight="false" outlineLevel="0" collapsed="false">
      <c r="A1001" s="6" t="s">
        <v>1804</v>
      </c>
      <c r="B1001" s="6" t="s">
        <v>145</v>
      </c>
      <c r="C1001" s="6" t="s">
        <v>1362</v>
      </c>
      <c r="D1001" s="6" t="s">
        <v>1330</v>
      </c>
      <c r="E1001" s="6"/>
      <c r="F1001" s="6" t="s">
        <v>1370</v>
      </c>
      <c r="G1001" s="6" t="s">
        <v>4412</v>
      </c>
      <c r="H1001" s="6" t="s">
        <v>4443</v>
      </c>
      <c r="I1001" s="6" t="n">
        <v>28</v>
      </c>
      <c r="J1001" s="6"/>
      <c r="K1001" s="6" t="s">
        <v>4414</v>
      </c>
      <c r="L1001" s="7"/>
      <c r="M1001" s="7"/>
    </row>
    <row r="1002" customFormat="false" ht="23.85" hidden="false" customHeight="false" outlineLevel="0" collapsed="false">
      <c r="A1002" s="6" t="s">
        <v>1804</v>
      </c>
      <c r="B1002" s="6" t="s">
        <v>145</v>
      </c>
      <c r="C1002" s="6" t="s">
        <v>1362</v>
      </c>
      <c r="D1002" s="6" t="s">
        <v>1330</v>
      </c>
      <c r="E1002" s="6"/>
      <c r="F1002" s="6" t="s">
        <v>1370</v>
      </c>
      <c r="G1002" s="6" t="s">
        <v>4415</v>
      </c>
      <c r="H1002" s="6" t="s">
        <v>4444</v>
      </c>
      <c r="I1002" s="6" t="n">
        <v>18</v>
      </c>
      <c r="J1002" s="6"/>
      <c r="K1002" s="6" t="s">
        <v>4417</v>
      </c>
      <c r="L1002" s="7"/>
      <c r="M1002" s="7"/>
    </row>
    <row r="1003" customFormat="false" ht="35.05" hidden="false" customHeight="false" outlineLevel="0" collapsed="false">
      <c r="A1003" s="6" t="s">
        <v>1806</v>
      </c>
      <c r="B1003" s="6" t="s">
        <v>145</v>
      </c>
      <c r="C1003" s="6" t="s">
        <v>79</v>
      </c>
      <c r="D1003" s="6" t="s">
        <v>1330</v>
      </c>
      <c r="E1003" s="6"/>
      <c r="F1003" s="6" t="s">
        <v>1335</v>
      </c>
      <c r="G1003" s="6" t="s">
        <v>4406</v>
      </c>
      <c r="H1003" s="6" t="s">
        <v>4407</v>
      </c>
      <c r="I1003" s="6" t="n">
        <v>96</v>
      </c>
      <c r="J1003" s="6" t="s">
        <v>83</v>
      </c>
      <c r="K1003" s="6" t="s">
        <v>4525</v>
      </c>
      <c r="L1003" s="7"/>
      <c r="M1003" s="7"/>
    </row>
    <row r="1004" customFormat="false" ht="35.05" hidden="false" customHeight="false" outlineLevel="0" collapsed="false">
      <c r="A1004" s="6" t="s">
        <v>1806</v>
      </c>
      <c r="B1004" s="6" t="s">
        <v>145</v>
      </c>
      <c r="C1004" s="6" t="s">
        <v>79</v>
      </c>
      <c r="D1004" s="6" t="s">
        <v>1330</v>
      </c>
      <c r="E1004" s="6"/>
      <c r="F1004" s="6" t="s">
        <v>1335</v>
      </c>
      <c r="G1004" s="6" t="s">
        <v>4409</v>
      </c>
      <c r="H1004" s="6" t="s">
        <v>4410</v>
      </c>
      <c r="I1004" s="6" t="n">
        <v>60</v>
      </c>
      <c r="J1004" s="6"/>
      <c r="K1004" s="6" t="s">
        <v>4411</v>
      </c>
      <c r="L1004" s="7"/>
      <c r="M1004" s="7"/>
    </row>
    <row r="1005" customFormat="false" ht="35.05" hidden="false" customHeight="false" outlineLevel="0" collapsed="false">
      <c r="A1005" s="6" t="s">
        <v>1806</v>
      </c>
      <c r="B1005" s="6" t="s">
        <v>145</v>
      </c>
      <c r="C1005" s="6" t="s">
        <v>79</v>
      </c>
      <c r="D1005" s="6" t="s">
        <v>1330</v>
      </c>
      <c r="E1005" s="6"/>
      <c r="F1005" s="6" t="s">
        <v>1335</v>
      </c>
      <c r="G1005" s="6" t="s">
        <v>4412</v>
      </c>
      <c r="H1005" s="6" t="s">
        <v>4413</v>
      </c>
      <c r="I1005" s="6" t="n">
        <v>28</v>
      </c>
      <c r="J1005" s="6"/>
      <c r="K1005" s="6" t="s">
        <v>4414</v>
      </c>
      <c r="L1005" s="7"/>
      <c r="M1005" s="7"/>
    </row>
    <row r="1006" customFormat="false" ht="35.05" hidden="false" customHeight="false" outlineLevel="0" collapsed="false">
      <c r="A1006" s="6" t="s">
        <v>1806</v>
      </c>
      <c r="B1006" s="6" t="s">
        <v>145</v>
      </c>
      <c r="C1006" s="6" t="s">
        <v>79</v>
      </c>
      <c r="D1006" s="6" t="s">
        <v>1330</v>
      </c>
      <c r="E1006" s="6"/>
      <c r="F1006" s="6" t="s">
        <v>1335</v>
      </c>
      <c r="G1006" s="6" t="s">
        <v>4415</v>
      </c>
      <c r="H1006" s="6" t="s">
        <v>4416</v>
      </c>
      <c r="I1006" s="6" t="n">
        <v>18</v>
      </c>
      <c r="J1006" s="6"/>
      <c r="K1006" s="6" t="s">
        <v>4417</v>
      </c>
      <c r="L1006" s="7"/>
      <c r="M1006" s="7"/>
    </row>
    <row r="1007" customFormat="false" ht="23.85" hidden="false" customHeight="false" outlineLevel="0" collapsed="false">
      <c r="A1007" s="6" t="s">
        <v>1815</v>
      </c>
      <c r="B1007" s="6" t="s">
        <v>145</v>
      </c>
      <c r="C1007" s="6" t="s">
        <v>98</v>
      </c>
      <c r="D1007" s="6" t="s">
        <v>1330</v>
      </c>
      <c r="E1007" s="6"/>
      <c r="F1007" s="6" t="s">
        <v>1341</v>
      </c>
      <c r="G1007" s="6" t="s">
        <v>4406</v>
      </c>
      <c r="H1007" s="6" t="s">
        <v>4418</v>
      </c>
      <c r="I1007" s="6" t="n">
        <v>96</v>
      </c>
      <c r="J1007" s="6" t="s">
        <v>83</v>
      </c>
      <c r="K1007" s="6" t="s">
        <v>4526</v>
      </c>
      <c r="L1007" s="7"/>
      <c r="M1007" s="7"/>
    </row>
    <row r="1008" customFormat="false" ht="23.85" hidden="false" customHeight="false" outlineLevel="0" collapsed="false">
      <c r="A1008" s="6" t="s">
        <v>1815</v>
      </c>
      <c r="B1008" s="6" t="s">
        <v>145</v>
      </c>
      <c r="C1008" s="6" t="s">
        <v>98</v>
      </c>
      <c r="D1008" s="6" t="s">
        <v>1330</v>
      </c>
      <c r="E1008" s="6"/>
      <c r="F1008" s="6" t="s">
        <v>1341</v>
      </c>
      <c r="G1008" s="6" t="s">
        <v>4409</v>
      </c>
      <c r="H1008" s="6" t="s">
        <v>4420</v>
      </c>
      <c r="I1008" s="6" t="n">
        <v>58</v>
      </c>
      <c r="J1008" s="6"/>
      <c r="K1008" s="6" t="s">
        <v>4411</v>
      </c>
      <c r="L1008" s="7"/>
      <c r="M1008" s="7"/>
    </row>
    <row r="1009" customFormat="false" ht="23.85" hidden="false" customHeight="false" outlineLevel="0" collapsed="false">
      <c r="A1009" s="6" t="s">
        <v>1815</v>
      </c>
      <c r="B1009" s="6" t="s">
        <v>145</v>
      </c>
      <c r="C1009" s="6" t="s">
        <v>98</v>
      </c>
      <c r="D1009" s="6" t="s">
        <v>1330</v>
      </c>
      <c r="E1009" s="6"/>
      <c r="F1009" s="6" t="s">
        <v>1341</v>
      </c>
      <c r="G1009" s="6" t="s">
        <v>4412</v>
      </c>
      <c r="H1009" s="6" t="s">
        <v>4421</v>
      </c>
      <c r="I1009" s="6" t="n">
        <v>28</v>
      </c>
      <c r="J1009" s="6"/>
      <c r="K1009" s="6" t="s">
        <v>4414</v>
      </c>
      <c r="L1009" s="7"/>
      <c r="M1009" s="7"/>
    </row>
    <row r="1010" customFormat="false" ht="23.85" hidden="false" customHeight="false" outlineLevel="0" collapsed="false">
      <c r="A1010" s="6" t="s">
        <v>1815</v>
      </c>
      <c r="B1010" s="6" t="s">
        <v>145</v>
      </c>
      <c r="C1010" s="6" t="s">
        <v>98</v>
      </c>
      <c r="D1010" s="6" t="s">
        <v>1330</v>
      </c>
      <c r="E1010" s="6"/>
      <c r="F1010" s="6" t="s">
        <v>1341</v>
      </c>
      <c r="G1010" s="6" t="s">
        <v>4415</v>
      </c>
      <c r="H1010" s="6" t="s">
        <v>4422</v>
      </c>
      <c r="I1010" s="6" t="n">
        <v>18</v>
      </c>
      <c r="J1010" s="6"/>
      <c r="K1010" s="6" t="s">
        <v>4417</v>
      </c>
      <c r="L1010" s="7"/>
      <c r="M1010" s="7"/>
    </row>
    <row r="1011" customFormat="false" ht="23.85" hidden="false" customHeight="false" outlineLevel="0" collapsed="false">
      <c r="A1011" s="6" t="s">
        <v>1818</v>
      </c>
      <c r="B1011" s="6" t="s">
        <v>145</v>
      </c>
      <c r="C1011" s="6" t="s">
        <v>98</v>
      </c>
      <c r="D1011" s="6" t="s">
        <v>1330</v>
      </c>
      <c r="E1011" s="6"/>
      <c r="F1011" s="6" t="s">
        <v>1347</v>
      </c>
      <c r="G1011" s="6" t="s">
        <v>4406</v>
      </c>
      <c r="H1011" s="6" t="s">
        <v>4423</v>
      </c>
      <c r="I1011" s="6" t="n">
        <v>96</v>
      </c>
      <c r="J1011" s="6" t="s">
        <v>83</v>
      </c>
      <c r="K1011" s="6" t="s">
        <v>4526</v>
      </c>
      <c r="L1011" s="7"/>
      <c r="M1011" s="7"/>
    </row>
    <row r="1012" customFormat="false" ht="23.85" hidden="false" customHeight="false" outlineLevel="0" collapsed="false">
      <c r="A1012" s="6" t="s">
        <v>1818</v>
      </c>
      <c r="B1012" s="6" t="s">
        <v>145</v>
      </c>
      <c r="C1012" s="6" t="s">
        <v>98</v>
      </c>
      <c r="D1012" s="6" t="s">
        <v>1330</v>
      </c>
      <c r="E1012" s="6"/>
      <c r="F1012" s="6" t="s">
        <v>1347</v>
      </c>
      <c r="G1012" s="6" t="s">
        <v>4409</v>
      </c>
      <c r="H1012" s="6" t="s">
        <v>4424</v>
      </c>
      <c r="I1012" s="6" t="n">
        <v>58</v>
      </c>
      <c r="J1012" s="6"/>
      <c r="K1012" s="6" t="s">
        <v>4411</v>
      </c>
      <c r="L1012" s="7"/>
      <c r="M1012" s="7"/>
    </row>
    <row r="1013" customFormat="false" ht="23.85" hidden="false" customHeight="false" outlineLevel="0" collapsed="false">
      <c r="A1013" s="6" t="s">
        <v>1818</v>
      </c>
      <c r="B1013" s="6" t="s">
        <v>145</v>
      </c>
      <c r="C1013" s="6" t="s">
        <v>98</v>
      </c>
      <c r="D1013" s="6" t="s">
        <v>1330</v>
      </c>
      <c r="E1013" s="6"/>
      <c r="F1013" s="6" t="s">
        <v>1347</v>
      </c>
      <c r="G1013" s="6" t="s">
        <v>4412</v>
      </c>
      <c r="H1013" s="6" t="s">
        <v>4425</v>
      </c>
      <c r="I1013" s="6" t="n">
        <v>28</v>
      </c>
      <c r="J1013" s="6"/>
      <c r="K1013" s="6" t="s">
        <v>4414</v>
      </c>
      <c r="L1013" s="7"/>
      <c r="M1013" s="7"/>
    </row>
    <row r="1014" customFormat="false" ht="23.85" hidden="false" customHeight="false" outlineLevel="0" collapsed="false">
      <c r="A1014" s="6" t="s">
        <v>1818</v>
      </c>
      <c r="B1014" s="6" t="s">
        <v>145</v>
      </c>
      <c r="C1014" s="6" t="s">
        <v>98</v>
      </c>
      <c r="D1014" s="6" t="s">
        <v>1330</v>
      </c>
      <c r="E1014" s="6"/>
      <c r="F1014" s="6" t="s">
        <v>1347</v>
      </c>
      <c r="G1014" s="6" t="s">
        <v>4415</v>
      </c>
      <c r="H1014" s="6" t="s">
        <v>4426</v>
      </c>
      <c r="I1014" s="6" t="n">
        <v>18</v>
      </c>
      <c r="J1014" s="6"/>
      <c r="K1014" s="6" t="s">
        <v>4417</v>
      </c>
      <c r="L1014" s="7"/>
      <c r="M1014" s="7"/>
    </row>
    <row r="1015" customFormat="false" ht="35.05" hidden="false" customHeight="false" outlineLevel="0" collapsed="false">
      <c r="A1015" s="6" t="s">
        <v>1820</v>
      </c>
      <c r="B1015" s="6" t="s">
        <v>145</v>
      </c>
      <c r="C1015" s="6" t="s">
        <v>165</v>
      </c>
      <c r="D1015" s="6" t="s">
        <v>1330</v>
      </c>
      <c r="E1015" s="6"/>
      <c r="F1015" s="6" t="s">
        <v>1352</v>
      </c>
      <c r="G1015" s="6" t="s">
        <v>4406</v>
      </c>
      <c r="H1015" s="6" t="s">
        <v>4427</v>
      </c>
      <c r="I1015" s="6" t="n">
        <v>96</v>
      </c>
      <c r="J1015" s="6" t="s">
        <v>83</v>
      </c>
      <c r="K1015" s="6" t="s">
        <v>4527</v>
      </c>
      <c r="L1015" s="7"/>
      <c r="M1015" s="7"/>
    </row>
    <row r="1016" customFormat="false" ht="35.05" hidden="false" customHeight="false" outlineLevel="0" collapsed="false">
      <c r="A1016" s="6" t="s">
        <v>1820</v>
      </c>
      <c r="B1016" s="6" t="s">
        <v>145</v>
      </c>
      <c r="C1016" s="6" t="s">
        <v>165</v>
      </c>
      <c r="D1016" s="6" t="s">
        <v>1330</v>
      </c>
      <c r="E1016" s="6"/>
      <c r="F1016" s="6" t="s">
        <v>1352</v>
      </c>
      <c r="G1016" s="6" t="s">
        <v>4409</v>
      </c>
      <c r="H1016" s="6" t="s">
        <v>4429</v>
      </c>
      <c r="I1016" s="6" t="n">
        <v>62</v>
      </c>
      <c r="J1016" s="6"/>
      <c r="K1016" s="6" t="s">
        <v>4411</v>
      </c>
      <c r="L1016" s="7"/>
      <c r="M1016" s="7"/>
    </row>
    <row r="1017" customFormat="false" ht="35.05" hidden="false" customHeight="false" outlineLevel="0" collapsed="false">
      <c r="A1017" s="6" t="s">
        <v>1820</v>
      </c>
      <c r="B1017" s="6" t="s">
        <v>145</v>
      </c>
      <c r="C1017" s="6" t="s">
        <v>165</v>
      </c>
      <c r="D1017" s="6" t="s">
        <v>1330</v>
      </c>
      <c r="E1017" s="6"/>
      <c r="F1017" s="6" t="s">
        <v>1352</v>
      </c>
      <c r="G1017" s="6" t="s">
        <v>4412</v>
      </c>
      <c r="H1017" s="6" t="s">
        <v>4430</v>
      </c>
      <c r="I1017" s="6" t="n">
        <v>28</v>
      </c>
      <c r="J1017" s="6"/>
      <c r="K1017" s="6" t="s">
        <v>4414</v>
      </c>
      <c r="L1017" s="7"/>
      <c r="M1017" s="7"/>
    </row>
    <row r="1018" customFormat="false" ht="35.05" hidden="false" customHeight="false" outlineLevel="0" collapsed="false">
      <c r="A1018" s="6" t="s">
        <v>1820</v>
      </c>
      <c r="B1018" s="6" t="s">
        <v>145</v>
      </c>
      <c r="C1018" s="6" t="s">
        <v>165</v>
      </c>
      <c r="D1018" s="6" t="s">
        <v>1330</v>
      </c>
      <c r="E1018" s="6"/>
      <c r="F1018" s="6" t="s">
        <v>1352</v>
      </c>
      <c r="G1018" s="6" t="s">
        <v>4415</v>
      </c>
      <c r="H1018" s="6" t="s">
        <v>4431</v>
      </c>
      <c r="I1018" s="6" t="n">
        <v>18</v>
      </c>
      <c r="J1018" s="6"/>
      <c r="K1018" s="6" t="s">
        <v>4417</v>
      </c>
      <c r="L1018" s="7"/>
      <c r="M1018" s="7"/>
    </row>
    <row r="1019" customFormat="false" ht="35.05" hidden="false" customHeight="false" outlineLevel="0" collapsed="false">
      <c r="A1019" s="6" t="s">
        <v>1823</v>
      </c>
      <c r="B1019" s="6" t="s">
        <v>145</v>
      </c>
      <c r="C1019" s="6" t="s">
        <v>165</v>
      </c>
      <c r="D1019" s="6" t="s">
        <v>1330</v>
      </c>
      <c r="E1019" s="6"/>
      <c r="F1019" s="6" t="s">
        <v>1358</v>
      </c>
      <c r="G1019" s="6" t="s">
        <v>4406</v>
      </c>
      <c r="H1019" s="6" t="s">
        <v>4432</v>
      </c>
      <c r="I1019" s="6" t="n">
        <v>96</v>
      </c>
      <c r="J1019" s="6" t="s">
        <v>83</v>
      </c>
      <c r="K1019" s="6" t="s">
        <v>4527</v>
      </c>
      <c r="L1019" s="7"/>
      <c r="M1019" s="7"/>
    </row>
    <row r="1020" customFormat="false" ht="35.05" hidden="false" customHeight="false" outlineLevel="0" collapsed="false">
      <c r="A1020" s="6" t="s">
        <v>1823</v>
      </c>
      <c r="B1020" s="6" t="s">
        <v>145</v>
      </c>
      <c r="C1020" s="6" t="s">
        <v>165</v>
      </c>
      <c r="D1020" s="6" t="s">
        <v>1330</v>
      </c>
      <c r="E1020" s="6"/>
      <c r="F1020" s="6" t="s">
        <v>1358</v>
      </c>
      <c r="G1020" s="6" t="s">
        <v>4409</v>
      </c>
      <c r="H1020" s="6" t="s">
        <v>4433</v>
      </c>
      <c r="I1020" s="6" t="n">
        <v>62</v>
      </c>
      <c r="J1020" s="6"/>
      <c r="K1020" s="6" t="s">
        <v>4411</v>
      </c>
      <c r="L1020" s="7"/>
      <c r="M1020" s="7"/>
    </row>
    <row r="1021" customFormat="false" ht="35.05" hidden="false" customHeight="false" outlineLevel="0" collapsed="false">
      <c r="A1021" s="6" t="s">
        <v>1823</v>
      </c>
      <c r="B1021" s="6" t="s">
        <v>145</v>
      </c>
      <c r="C1021" s="6" t="s">
        <v>165</v>
      </c>
      <c r="D1021" s="6" t="s">
        <v>1330</v>
      </c>
      <c r="E1021" s="6"/>
      <c r="F1021" s="6" t="s">
        <v>1358</v>
      </c>
      <c r="G1021" s="6" t="s">
        <v>4412</v>
      </c>
      <c r="H1021" s="6" t="s">
        <v>4434</v>
      </c>
      <c r="I1021" s="6" t="n">
        <v>28</v>
      </c>
      <c r="J1021" s="6"/>
      <c r="K1021" s="6" t="s">
        <v>4414</v>
      </c>
      <c r="L1021" s="7"/>
      <c r="M1021" s="7"/>
    </row>
    <row r="1022" customFormat="false" ht="35.05" hidden="false" customHeight="false" outlineLevel="0" collapsed="false">
      <c r="A1022" s="6" t="s">
        <v>1823</v>
      </c>
      <c r="B1022" s="6" t="s">
        <v>145</v>
      </c>
      <c r="C1022" s="6" t="s">
        <v>165</v>
      </c>
      <c r="D1022" s="6" t="s">
        <v>1330</v>
      </c>
      <c r="E1022" s="6"/>
      <c r="F1022" s="6" t="s">
        <v>1358</v>
      </c>
      <c r="G1022" s="6" t="s">
        <v>4415</v>
      </c>
      <c r="H1022" s="6" t="s">
        <v>4435</v>
      </c>
      <c r="I1022" s="6" t="n">
        <v>18</v>
      </c>
      <c r="J1022" s="6"/>
      <c r="K1022" s="6" t="s">
        <v>4417</v>
      </c>
      <c r="L1022" s="7"/>
      <c r="M1022" s="7"/>
    </row>
    <row r="1023" customFormat="false" ht="35.05" hidden="false" customHeight="false" outlineLevel="0" collapsed="false">
      <c r="A1023" s="6" t="s">
        <v>1825</v>
      </c>
      <c r="B1023" s="6" t="s">
        <v>145</v>
      </c>
      <c r="C1023" s="6" t="s">
        <v>1362</v>
      </c>
      <c r="D1023" s="6" t="s">
        <v>1330</v>
      </c>
      <c r="E1023" s="6"/>
      <c r="F1023" s="6" t="s">
        <v>1364</v>
      </c>
      <c r="G1023" s="6" t="s">
        <v>4406</v>
      </c>
      <c r="H1023" s="6" t="s">
        <v>4436</v>
      </c>
      <c r="I1023" s="6" t="n">
        <v>96</v>
      </c>
      <c r="J1023" s="6" t="s">
        <v>83</v>
      </c>
      <c r="K1023" s="6" t="s">
        <v>4528</v>
      </c>
      <c r="L1023" s="7"/>
      <c r="M1023" s="7"/>
    </row>
    <row r="1024" customFormat="false" ht="35.05" hidden="false" customHeight="false" outlineLevel="0" collapsed="false">
      <c r="A1024" s="6" t="s">
        <v>1825</v>
      </c>
      <c r="B1024" s="6" t="s">
        <v>145</v>
      </c>
      <c r="C1024" s="6" t="s">
        <v>1362</v>
      </c>
      <c r="D1024" s="6" t="s">
        <v>1330</v>
      </c>
      <c r="E1024" s="6"/>
      <c r="F1024" s="6" t="s">
        <v>1364</v>
      </c>
      <c r="G1024" s="6" t="s">
        <v>4409</v>
      </c>
      <c r="H1024" s="6" t="s">
        <v>4438</v>
      </c>
      <c r="I1024" s="6" t="n">
        <v>62</v>
      </c>
      <c r="J1024" s="6"/>
      <c r="K1024" s="6" t="s">
        <v>4411</v>
      </c>
      <c r="L1024" s="7"/>
      <c r="M1024" s="7"/>
    </row>
    <row r="1025" customFormat="false" ht="35.05" hidden="false" customHeight="false" outlineLevel="0" collapsed="false">
      <c r="A1025" s="6" t="s">
        <v>1825</v>
      </c>
      <c r="B1025" s="6" t="s">
        <v>145</v>
      </c>
      <c r="C1025" s="6" t="s">
        <v>1362</v>
      </c>
      <c r="D1025" s="6" t="s">
        <v>1330</v>
      </c>
      <c r="E1025" s="6"/>
      <c r="F1025" s="6" t="s">
        <v>1364</v>
      </c>
      <c r="G1025" s="6" t="s">
        <v>4412</v>
      </c>
      <c r="H1025" s="6" t="s">
        <v>4439</v>
      </c>
      <c r="I1025" s="6" t="n">
        <v>28</v>
      </c>
      <c r="J1025" s="6"/>
      <c r="K1025" s="6" t="s">
        <v>4414</v>
      </c>
      <c r="L1025" s="7"/>
      <c r="M1025" s="7"/>
    </row>
    <row r="1026" customFormat="false" ht="35.05" hidden="false" customHeight="false" outlineLevel="0" collapsed="false">
      <c r="A1026" s="6" t="s">
        <v>1825</v>
      </c>
      <c r="B1026" s="6" t="s">
        <v>145</v>
      </c>
      <c r="C1026" s="6" t="s">
        <v>1362</v>
      </c>
      <c r="D1026" s="6" t="s">
        <v>1330</v>
      </c>
      <c r="E1026" s="6"/>
      <c r="F1026" s="6" t="s">
        <v>1364</v>
      </c>
      <c r="G1026" s="6" t="s">
        <v>4415</v>
      </c>
      <c r="H1026" s="6" t="s">
        <v>4440</v>
      </c>
      <c r="I1026" s="6" t="n">
        <v>18</v>
      </c>
      <c r="J1026" s="6"/>
      <c r="K1026" s="6" t="s">
        <v>4417</v>
      </c>
      <c r="L1026" s="7"/>
      <c r="M1026" s="7"/>
    </row>
    <row r="1027" customFormat="false" ht="35.05" hidden="false" customHeight="false" outlineLevel="0" collapsed="false">
      <c r="A1027" s="6" t="s">
        <v>1828</v>
      </c>
      <c r="B1027" s="6" t="s">
        <v>145</v>
      </c>
      <c r="C1027" s="6" t="s">
        <v>1362</v>
      </c>
      <c r="D1027" s="6" t="s">
        <v>1330</v>
      </c>
      <c r="E1027" s="6"/>
      <c r="F1027" s="6" t="s">
        <v>1370</v>
      </c>
      <c r="G1027" s="6" t="s">
        <v>4406</v>
      </c>
      <c r="H1027" s="6" t="s">
        <v>4441</v>
      </c>
      <c r="I1027" s="6" t="n">
        <v>96</v>
      </c>
      <c r="J1027" s="6" t="s">
        <v>83</v>
      </c>
      <c r="K1027" s="6" t="s">
        <v>4528</v>
      </c>
      <c r="L1027" s="7"/>
      <c r="M1027" s="7"/>
    </row>
    <row r="1028" customFormat="false" ht="35.05" hidden="false" customHeight="false" outlineLevel="0" collapsed="false">
      <c r="A1028" s="6" t="s">
        <v>1828</v>
      </c>
      <c r="B1028" s="6" t="s">
        <v>145</v>
      </c>
      <c r="C1028" s="6" t="s">
        <v>1362</v>
      </c>
      <c r="D1028" s="6" t="s">
        <v>1330</v>
      </c>
      <c r="E1028" s="6"/>
      <c r="F1028" s="6" t="s">
        <v>1370</v>
      </c>
      <c r="G1028" s="6" t="s">
        <v>4409</v>
      </c>
      <c r="H1028" s="6" t="s">
        <v>4442</v>
      </c>
      <c r="I1028" s="6" t="n">
        <v>62</v>
      </c>
      <c r="J1028" s="6"/>
      <c r="K1028" s="6" t="s">
        <v>4411</v>
      </c>
      <c r="L1028" s="7"/>
      <c r="M1028" s="7"/>
    </row>
    <row r="1029" customFormat="false" ht="35.05" hidden="false" customHeight="false" outlineLevel="0" collapsed="false">
      <c r="A1029" s="6" t="s">
        <v>1828</v>
      </c>
      <c r="B1029" s="6" t="s">
        <v>145</v>
      </c>
      <c r="C1029" s="6" t="s">
        <v>1362</v>
      </c>
      <c r="D1029" s="6" t="s">
        <v>1330</v>
      </c>
      <c r="E1029" s="6"/>
      <c r="F1029" s="6" t="s">
        <v>1370</v>
      </c>
      <c r="G1029" s="6" t="s">
        <v>4412</v>
      </c>
      <c r="H1029" s="6" t="s">
        <v>4443</v>
      </c>
      <c r="I1029" s="6" t="n">
        <v>28</v>
      </c>
      <c r="J1029" s="6"/>
      <c r="K1029" s="6" t="s">
        <v>4414</v>
      </c>
      <c r="L1029" s="7"/>
      <c r="M1029" s="7"/>
    </row>
    <row r="1030" customFormat="false" ht="35.05" hidden="false" customHeight="false" outlineLevel="0" collapsed="false">
      <c r="A1030" s="6" t="s">
        <v>1828</v>
      </c>
      <c r="B1030" s="6" t="s">
        <v>145</v>
      </c>
      <c r="C1030" s="6" t="s">
        <v>1362</v>
      </c>
      <c r="D1030" s="6" t="s">
        <v>1330</v>
      </c>
      <c r="E1030" s="6"/>
      <c r="F1030" s="6" t="s">
        <v>1370</v>
      </c>
      <c r="G1030" s="6" t="s">
        <v>4415</v>
      </c>
      <c r="H1030" s="6" t="s">
        <v>4444</v>
      </c>
      <c r="I1030" s="6" t="n">
        <v>18</v>
      </c>
      <c r="J1030" s="6"/>
      <c r="K1030" s="6" t="s">
        <v>4417</v>
      </c>
      <c r="L1030" s="7"/>
      <c r="M1030" s="7"/>
    </row>
    <row r="1031" customFormat="false" ht="35.05" hidden="false" customHeight="false" outlineLevel="0" collapsed="false">
      <c r="A1031" s="6" t="s">
        <v>1830</v>
      </c>
      <c r="B1031" s="6" t="s">
        <v>145</v>
      </c>
      <c r="C1031" s="6" t="s">
        <v>79</v>
      </c>
      <c r="D1031" s="6" t="s">
        <v>1330</v>
      </c>
      <c r="E1031" s="6"/>
      <c r="F1031" s="6" t="s">
        <v>1335</v>
      </c>
      <c r="G1031" s="6" t="s">
        <v>4406</v>
      </c>
      <c r="H1031" s="6" t="s">
        <v>4407</v>
      </c>
      <c r="I1031" s="6" t="n">
        <v>96</v>
      </c>
      <c r="J1031" s="6" t="s">
        <v>83</v>
      </c>
      <c r="K1031" s="6" t="s">
        <v>4529</v>
      </c>
      <c r="L1031" s="7"/>
      <c r="M1031" s="7"/>
    </row>
    <row r="1032" customFormat="false" ht="35.05" hidden="false" customHeight="false" outlineLevel="0" collapsed="false">
      <c r="A1032" s="6" t="s">
        <v>1830</v>
      </c>
      <c r="B1032" s="6" t="s">
        <v>145</v>
      </c>
      <c r="C1032" s="6" t="s">
        <v>79</v>
      </c>
      <c r="D1032" s="6" t="s">
        <v>1330</v>
      </c>
      <c r="E1032" s="6"/>
      <c r="F1032" s="6" t="s">
        <v>1335</v>
      </c>
      <c r="G1032" s="6" t="s">
        <v>4409</v>
      </c>
      <c r="H1032" s="6" t="s">
        <v>4410</v>
      </c>
      <c r="I1032" s="6" t="n">
        <v>60</v>
      </c>
      <c r="J1032" s="6"/>
      <c r="K1032" s="6" t="s">
        <v>4411</v>
      </c>
      <c r="L1032" s="7"/>
      <c r="M1032" s="7"/>
    </row>
    <row r="1033" customFormat="false" ht="35.05" hidden="false" customHeight="false" outlineLevel="0" collapsed="false">
      <c r="A1033" s="6" t="s">
        <v>1830</v>
      </c>
      <c r="B1033" s="6" t="s">
        <v>145</v>
      </c>
      <c r="C1033" s="6" t="s">
        <v>79</v>
      </c>
      <c r="D1033" s="6" t="s">
        <v>1330</v>
      </c>
      <c r="E1033" s="6"/>
      <c r="F1033" s="6" t="s">
        <v>1335</v>
      </c>
      <c r="G1033" s="6" t="s">
        <v>4412</v>
      </c>
      <c r="H1033" s="6" t="s">
        <v>4413</v>
      </c>
      <c r="I1033" s="6" t="n">
        <v>28</v>
      </c>
      <c r="J1033" s="6"/>
      <c r="K1033" s="6" t="s">
        <v>4414</v>
      </c>
      <c r="L1033" s="7"/>
      <c r="M1033" s="7"/>
    </row>
    <row r="1034" customFormat="false" ht="35.05" hidden="false" customHeight="false" outlineLevel="0" collapsed="false">
      <c r="A1034" s="6" t="s">
        <v>1830</v>
      </c>
      <c r="B1034" s="6" t="s">
        <v>145</v>
      </c>
      <c r="C1034" s="6" t="s">
        <v>79</v>
      </c>
      <c r="D1034" s="6" t="s">
        <v>1330</v>
      </c>
      <c r="E1034" s="6"/>
      <c r="F1034" s="6" t="s">
        <v>1335</v>
      </c>
      <c r="G1034" s="6" t="s">
        <v>4415</v>
      </c>
      <c r="H1034" s="6" t="s">
        <v>4416</v>
      </c>
      <c r="I1034" s="6" t="n">
        <v>18</v>
      </c>
      <c r="J1034" s="6"/>
      <c r="K1034" s="6" t="s">
        <v>4417</v>
      </c>
      <c r="L1034" s="7"/>
      <c r="M1034" s="7"/>
    </row>
    <row r="1035" customFormat="false" ht="35.05" hidden="false" customHeight="false" outlineLevel="0" collapsed="false">
      <c r="A1035" s="6" t="s">
        <v>1838</v>
      </c>
      <c r="B1035" s="6" t="s">
        <v>145</v>
      </c>
      <c r="C1035" s="6" t="s">
        <v>98</v>
      </c>
      <c r="D1035" s="6" t="s">
        <v>1330</v>
      </c>
      <c r="E1035" s="6"/>
      <c r="F1035" s="6" t="s">
        <v>1341</v>
      </c>
      <c r="G1035" s="6" t="s">
        <v>4406</v>
      </c>
      <c r="H1035" s="6" t="s">
        <v>4418</v>
      </c>
      <c r="I1035" s="6" t="n">
        <v>96</v>
      </c>
      <c r="J1035" s="6" t="s">
        <v>83</v>
      </c>
      <c r="K1035" s="6" t="s">
        <v>4530</v>
      </c>
      <c r="L1035" s="7"/>
      <c r="M1035" s="7"/>
    </row>
    <row r="1036" customFormat="false" ht="35.05" hidden="false" customHeight="false" outlineLevel="0" collapsed="false">
      <c r="A1036" s="6" t="s">
        <v>1838</v>
      </c>
      <c r="B1036" s="6" t="s">
        <v>145</v>
      </c>
      <c r="C1036" s="6" t="s">
        <v>98</v>
      </c>
      <c r="D1036" s="6" t="s">
        <v>1330</v>
      </c>
      <c r="E1036" s="6"/>
      <c r="F1036" s="6" t="s">
        <v>1341</v>
      </c>
      <c r="G1036" s="6" t="s">
        <v>4409</v>
      </c>
      <c r="H1036" s="6" t="s">
        <v>4420</v>
      </c>
      <c r="I1036" s="6" t="n">
        <v>58</v>
      </c>
      <c r="J1036" s="6"/>
      <c r="K1036" s="6" t="s">
        <v>4411</v>
      </c>
      <c r="L1036" s="7"/>
      <c r="M1036" s="7"/>
    </row>
    <row r="1037" customFormat="false" ht="35.05" hidden="false" customHeight="false" outlineLevel="0" collapsed="false">
      <c r="A1037" s="6" t="s">
        <v>1838</v>
      </c>
      <c r="B1037" s="6" t="s">
        <v>145</v>
      </c>
      <c r="C1037" s="6" t="s">
        <v>98</v>
      </c>
      <c r="D1037" s="6" t="s">
        <v>1330</v>
      </c>
      <c r="E1037" s="6"/>
      <c r="F1037" s="6" t="s">
        <v>1341</v>
      </c>
      <c r="G1037" s="6" t="s">
        <v>4412</v>
      </c>
      <c r="H1037" s="6" t="s">
        <v>4421</v>
      </c>
      <c r="I1037" s="6" t="n">
        <v>28</v>
      </c>
      <c r="J1037" s="6"/>
      <c r="K1037" s="6" t="s">
        <v>4414</v>
      </c>
      <c r="L1037" s="7"/>
      <c r="M1037" s="7"/>
    </row>
    <row r="1038" customFormat="false" ht="35.05" hidden="false" customHeight="false" outlineLevel="0" collapsed="false">
      <c r="A1038" s="6" t="s">
        <v>1838</v>
      </c>
      <c r="B1038" s="6" t="s">
        <v>145</v>
      </c>
      <c r="C1038" s="6" t="s">
        <v>98</v>
      </c>
      <c r="D1038" s="6" t="s">
        <v>1330</v>
      </c>
      <c r="E1038" s="6"/>
      <c r="F1038" s="6" t="s">
        <v>1341</v>
      </c>
      <c r="G1038" s="6" t="s">
        <v>4415</v>
      </c>
      <c r="H1038" s="6" t="s">
        <v>4422</v>
      </c>
      <c r="I1038" s="6" t="n">
        <v>18</v>
      </c>
      <c r="J1038" s="6"/>
      <c r="K1038" s="6" t="s">
        <v>4417</v>
      </c>
      <c r="L1038" s="7"/>
      <c r="M1038" s="7"/>
    </row>
    <row r="1039" customFormat="false" ht="35.05" hidden="false" customHeight="false" outlineLevel="0" collapsed="false">
      <c r="A1039" s="6" t="s">
        <v>1841</v>
      </c>
      <c r="B1039" s="6" t="s">
        <v>145</v>
      </c>
      <c r="C1039" s="6" t="s">
        <v>98</v>
      </c>
      <c r="D1039" s="6" t="s">
        <v>1330</v>
      </c>
      <c r="E1039" s="6"/>
      <c r="F1039" s="6" t="s">
        <v>1347</v>
      </c>
      <c r="G1039" s="6" t="s">
        <v>4406</v>
      </c>
      <c r="H1039" s="6" t="s">
        <v>4423</v>
      </c>
      <c r="I1039" s="6" t="n">
        <v>96</v>
      </c>
      <c r="J1039" s="6" t="s">
        <v>83</v>
      </c>
      <c r="K1039" s="6" t="s">
        <v>4530</v>
      </c>
      <c r="L1039" s="7"/>
      <c r="M1039" s="7"/>
    </row>
    <row r="1040" customFormat="false" ht="35.05" hidden="false" customHeight="false" outlineLevel="0" collapsed="false">
      <c r="A1040" s="6" t="s">
        <v>1841</v>
      </c>
      <c r="B1040" s="6" t="s">
        <v>145</v>
      </c>
      <c r="C1040" s="6" t="s">
        <v>98</v>
      </c>
      <c r="D1040" s="6" t="s">
        <v>1330</v>
      </c>
      <c r="E1040" s="6"/>
      <c r="F1040" s="6" t="s">
        <v>1347</v>
      </c>
      <c r="G1040" s="6" t="s">
        <v>4409</v>
      </c>
      <c r="H1040" s="6" t="s">
        <v>4424</v>
      </c>
      <c r="I1040" s="6" t="n">
        <v>58</v>
      </c>
      <c r="J1040" s="6"/>
      <c r="K1040" s="6" t="s">
        <v>4411</v>
      </c>
      <c r="L1040" s="7"/>
      <c r="M1040" s="7"/>
    </row>
    <row r="1041" customFormat="false" ht="35.05" hidden="false" customHeight="false" outlineLevel="0" collapsed="false">
      <c r="A1041" s="6" t="s">
        <v>1841</v>
      </c>
      <c r="B1041" s="6" t="s">
        <v>145</v>
      </c>
      <c r="C1041" s="6" t="s">
        <v>98</v>
      </c>
      <c r="D1041" s="6" t="s">
        <v>1330</v>
      </c>
      <c r="E1041" s="6"/>
      <c r="F1041" s="6" t="s">
        <v>1347</v>
      </c>
      <c r="G1041" s="6" t="s">
        <v>4412</v>
      </c>
      <c r="H1041" s="6" t="s">
        <v>4425</v>
      </c>
      <c r="I1041" s="6" t="n">
        <v>28</v>
      </c>
      <c r="J1041" s="6"/>
      <c r="K1041" s="6" t="s">
        <v>4414</v>
      </c>
      <c r="L1041" s="7"/>
      <c r="M1041" s="7"/>
    </row>
    <row r="1042" customFormat="false" ht="35.05" hidden="false" customHeight="false" outlineLevel="0" collapsed="false">
      <c r="A1042" s="6" t="s">
        <v>1841</v>
      </c>
      <c r="B1042" s="6" t="s">
        <v>145</v>
      </c>
      <c r="C1042" s="6" t="s">
        <v>98</v>
      </c>
      <c r="D1042" s="6" t="s">
        <v>1330</v>
      </c>
      <c r="E1042" s="6"/>
      <c r="F1042" s="6" t="s">
        <v>1347</v>
      </c>
      <c r="G1042" s="6" t="s">
        <v>4415</v>
      </c>
      <c r="H1042" s="6" t="s">
        <v>4426</v>
      </c>
      <c r="I1042" s="6" t="n">
        <v>18</v>
      </c>
      <c r="J1042" s="6"/>
      <c r="K1042" s="6" t="s">
        <v>4417</v>
      </c>
      <c r="L1042" s="7"/>
      <c r="M1042" s="7"/>
    </row>
    <row r="1043" customFormat="false" ht="35.05" hidden="false" customHeight="false" outlineLevel="0" collapsed="false">
      <c r="A1043" s="6" t="s">
        <v>1843</v>
      </c>
      <c r="B1043" s="6" t="s">
        <v>145</v>
      </c>
      <c r="C1043" s="6" t="s">
        <v>165</v>
      </c>
      <c r="D1043" s="6" t="s">
        <v>1330</v>
      </c>
      <c r="E1043" s="6"/>
      <c r="F1043" s="6" t="s">
        <v>1352</v>
      </c>
      <c r="G1043" s="6" t="s">
        <v>4406</v>
      </c>
      <c r="H1043" s="6" t="s">
        <v>4427</v>
      </c>
      <c r="I1043" s="6" t="n">
        <v>96</v>
      </c>
      <c r="J1043" s="6" t="s">
        <v>83</v>
      </c>
      <c r="K1043" s="6" t="s">
        <v>4531</v>
      </c>
      <c r="L1043" s="7"/>
      <c r="M1043" s="7"/>
    </row>
    <row r="1044" customFormat="false" ht="35.05" hidden="false" customHeight="false" outlineLevel="0" collapsed="false">
      <c r="A1044" s="6" t="s">
        <v>1843</v>
      </c>
      <c r="B1044" s="6" t="s">
        <v>145</v>
      </c>
      <c r="C1044" s="6" t="s">
        <v>165</v>
      </c>
      <c r="D1044" s="6" t="s">
        <v>1330</v>
      </c>
      <c r="E1044" s="6"/>
      <c r="F1044" s="6" t="s">
        <v>1352</v>
      </c>
      <c r="G1044" s="6" t="s">
        <v>4409</v>
      </c>
      <c r="H1044" s="6" t="s">
        <v>4429</v>
      </c>
      <c r="I1044" s="6" t="n">
        <v>62</v>
      </c>
      <c r="J1044" s="6"/>
      <c r="K1044" s="6" t="s">
        <v>4411</v>
      </c>
      <c r="L1044" s="7"/>
      <c r="M1044" s="7"/>
    </row>
    <row r="1045" customFormat="false" ht="35.05" hidden="false" customHeight="false" outlineLevel="0" collapsed="false">
      <c r="A1045" s="6" t="s">
        <v>1843</v>
      </c>
      <c r="B1045" s="6" t="s">
        <v>145</v>
      </c>
      <c r="C1045" s="6" t="s">
        <v>165</v>
      </c>
      <c r="D1045" s="6" t="s">
        <v>1330</v>
      </c>
      <c r="E1045" s="6"/>
      <c r="F1045" s="6" t="s">
        <v>1352</v>
      </c>
      <c r="G1045" s="6" t="s">
        <v>4412</v>
      </c>
      <c r="H1045" s="6" t="s">
        <v>4430</v>
      </c>
      <c r="I1045" s="6" t="n">
        <v>28</v>
      </c>
      <c r="J1045" s="6"/>
      <c r="K1045" s="6" t="s">
        <v>4414</v>
      </c>
      <c r="L1045" s="7"/>
      <c r="M1045" s="7"/>
    </row>
    <row r="1046" customFormat="false" ht="35.05" hidden="false" customHeight="false" outlineLevel="0" collapsed="false">
      <c r="A1046" s="6" t="s">
        <v>1843</v>
      </c>
      <c r="B1046" s="6" t="s">
        <v>145</v>
      </c>
      <c r="C1046" s="6" t="s">
        <v>165</v>
      </c>
      <c r="D1046" s="6" t="s">
        <v>1330</v>
      </c>
      <c r="E1046" s="6"/>
      <c r="F1046" s="6" t="s">
        <v>1352</v>
      </c>
      <c r="G1046" s="6" t="s">
        <v>4415</v>
      </c>
      <c r="H1046" s="6" t="s">
        <v>4431</v>
      </c>
      <c r="I1046" s="6" t="n">
        <v>18</v>
      </c>
      <c r="J1046" s="6"/>
      <c r="K1046" s="6" t="s">
        <v>4417</v>
      </c>
      <c r="L1046" s="7"/>
      <c r="M1046" s="7"/>
    </row>
    <row r="1047" customFormat="false" ht="35.05" hidden="false" customHeight="false" outlineLevel="0" collapsed="false">
      <c r="A1047" s="6" t="s">
        <v>1846</v>
      </c>
      <c r="B1047" s="6" t="s">
        <v>145</v>
      </c>
      <c r="C1047" s="6" t="s">
        <v>165</v>
      </c>
      <c r="D1047" s="6" t="s">
        <v>1330</v>
      </c>
      <c r="E1047" s="6"/>
      <c r="F1047" s="6" t="s">
        <v>1358</v>
      </c>
      <c r="G1047" s="6" t="s">
        <v>4406</v>
      </c>
      <c r="H1047" s="6" t="s">
        <v>4432</v>
      </c>
      <c r="I1047" s="6" t="n">
        <v>96</v>
      </c>
      <c r="J1047" s="6" t="s">
        <v>83</v>
      </c>
      <c r="K1047" s="6" t="s">
        <v>4531</v>
      </c>
      <c r="L1047" s="7"/>
      <c r="M1047" s="7"/>
    </row>
    <row r="1048" customFormat="false" ht="35.05" hidden="false" customHeight="false" outlineLevel="0" collapsed="false">
      <c r="A1048" s="6" t="s">
        <v>1846</v>
      </c>
      <c r="B1048" s="6" t="s">
        <v>145</v>
      </c>
      <c r="C1048" s="6" t="s">
        <v>165</v>
      </c>
      <c r="D1048" s="6" t="s">
        <v>1330</v>
      </c>
      <c r="E1048" s="6"/>
      <c r="F1048" s="6" t="s">
        <v>1358</v>
      </c>
      <c r="G1048" s="6" t="s">
        <v>4409</v>
      </c>
      <c r="H1048" s="6" t="s">
        <v>4433</v>
      </c>
      <c r="I1048" s="6" t="n">
        <v>62</v>
      </c>
      <c r="J1048" s="6"/>
      <c r="K1048" s="6" t="s">
        <v>4411</v>
      </c>
      <c r="L1048" s="7"/>
      <c r="M1048" s="7"/>
    </row>
    <row r="1049" customFormat="false" ht="35.05" hidden="false" customHeight="false" outlineLevel="0" collapsed="false">
      <c r="A1049" s="6" t="s">
        <v>1846</v>
      </c>
      <c r="B1049" s="6" t="s">
        <v>145</v>
      </c>
      <c r="C1049" s="6" t="s">
        <v>165</v>
      </c>
      <c r="D1049" s="6" t="s">
        <v>1330</v>
      </c>
      <c r="E1049" s="6"/>
      <c r="F1049" s="6" t="s">
        <v>1358</v>
      </c>
      <c r="G1049" s="6" t="s">
        <v>4412</v>
      </c>
      <c r="H1049" s="6" t="s">
        <v>4434</v>
      </c>
      <c r="I1049" s="6" t="n">
        <v>28</v>
      </c>
      <c r="J1049" s="6"/>
      <c r="K1049" s="6" t="s">
        <v>4414</v>
      </c>
      <c r="L1049" s="7"/>
      <c r="M1049" s="7"/>
    </row>
    <row r="1050" customFormat="false" ht="35.05" hidden="false" customHeight="false" outlineLevel="0" collapsed="false">
      <c r="A1050" s="6" t="s">
        <v>1846</v>
      </c>
      <c r="B1050" s="6" t="s">
        <v>145</v>
      </c>
      <c r="C1050" s="6" t="s">
        <v>165</v>
      </c>
      <c r="D1050" s="6" t="s">
        <v>1330</v>
      </c>
      <c r="E1050" s="6"/>
      <c r="F1050" s="6" t="s">
        <v>1358</v>
      </c>
      <c r="G1050" s="6" t="s">
        <v>4415</v>
      </c>
      <c r="H1050" s="6" t="s">
        <v>4435</v>
      </c>
      <c r="I1050" s="6" t="n">
        <v>18</v>
      </c>
      <c r="J1050" s="6"/>
      <c r="K1050" s="6" t="s">
        <v>4417</v>
      </c>
      <c r="L1050" s="7"/>
      <c r="M1050" s="7"/>
    </row>
    <row r="1051" customFormat="false" ht="35.05" hidden="false" customHeight="false" outlineLevel="0" collapsed="false">
      <c r="A1051" s="6" t="s">
        <v>1848</v>
      </c>
      <c r="B1051" s="6" t="s">
        <v>145</v>
      </c>
      <c r="C1051" s="6" t="s">
        <v>1362</v>
      </c>
      <c r="D1051" s="6" t="s">
        <v>1330</v>
      </c>
      <c r="E1051" s="6"/>
      <c r="F1051" s="6" t="s">
        <v>1364</v>
      </c>
      <c r="G1051" s="6" t="s">
        <v>4406</v>
      </c>
      <c r="H1051" s="6" t="s">
        <v>4436</v>
      </c>
      <c r="I1051" s="6" t="n">
        <v>96</v>
      </c>
      <c r="J1051" s="6" t="s">
        <v>83</v>
      </c>
      <c r="K1051" s="6" t="s">
        <v>4532</v>
      </c>
      <c r="L1051" s="7"/>
      <c r="M1051" s="7"/>
    </row>
    <row r="1052" customFormat="false" ht="35.05" hidden="false" customHeight="false" outlineLevel="0" collapsed="false">
      <c r="A1052" s="6" t="s">
        <v>1848</v>
      </c>
      <c r="B1052" s="6" t="s">
        <v>145</v>
      </c>
      <c r="C1052" s="6" t="s">
        <v>1362</v>
      </c>
      <c r="D1052" s="6" t="s">
        <v>1330</v>
      </c>
      <c r="E1052" s="6"/>
      <c r="F1052" s="6" t="s">
        <v>1364</v>
      </c>
      <c r="G1052" s="6" t="s">
        <v>4409</v>
      </c>
      <c r="H1052" s="6" t="s">
        <v>4438</v>
      </c>
      <c r="I1052" s="6" t="n">
        <v>62</v>
      </c>
      <c r="J1052" s="6"/>
      <c r="K1052" s="6" t="s">
        <v>4411</v>
      </c>
      <c r="L1052" s="7"/>
      <c r="M1052" s="7"/>
    </row>
    <row r="1053" customFormat="false" ht="35.05" hidden="false" customHeight="false" outlineLevel="0" collapsed="false">
      <c r="A1053" s="6" t="s">
        <v>1848</v>
      </c>
      <c r="B1053" s="6" t="s">
        <v>145</v>
      </c>
      <c r="C1053" s="6" t="s">
        <v>1362</v>
      </c>
      <c r="D1053" s="6" t="s">
        <v>1330</v>
      </c>
      <c r="E1053" s="6"/>
      <c r="F1053" s="6" t="s">
        <v>1364</v>
      </c>
      <c r="G1053" s="6" t="s">
        <v>4412</v>
      </c>
      <c r="H1053" s="6" t="s">
        <v>4439</v>
      </c>
      <c r="I1053" s="6" t="n">
        <v>28</v>
      </c>
      <c r="J1053" s="6"/>
      <c r="K1053" s="6" t="s">
        <v>4414</v>
      </c>
      <c r="L1053" s="7"/>
      <c r="M1053" s="7"/>
    </row>
    <row r="1054" customFormat="false" ht="35.05" hidden="false" customHeight="false" outlineLevel="0" collapsed="false">
      <c r="A1054" s="6" t="s">
        <v>1848</v>
      </c>
      <c r="B1054" s="6" t="s">
        <v>145</v>
      </c>
      <c r="C1054" s="6" t="s">
        <v>1362</v>
      </c>
      <c r="D1054" s="6" t="s">
        <v>1330</v>
      </c>
      <c r="E1054" s="6"/>
      <c r="F1054" s="6" t="s">
        <v>1364</v>
      </c>
      <c r="G1054" s="6" t="s">
        <v>4415</v>
      </c>
      <c r="H1054" s="6" t="s">
        <v>4440</v>
      </c>
      <c r="I1054" s="6" t="n">
        <v>18</v>
      </c>
      <c r="J1054" s="6"/>
      <c r="K1054" s="6" t="s">
        <v>4417</v>
      </c>
      <c r="L1054" s="7"/>
      <c r="M1054" s="7"/>
    </row>
    <row r="1055" customFormat="false" ht="35.05" hidden="false" customHeight="false" outlineLevel="0" collapsed="false">
      <c r="A1055" s="6" t="s">
        <v>1851</v>
      </c>
      <c r="B1055" s="6" t="s">
        <v>145</v>
      </c>
      <c r="C1055" s="6" t="s">
        <v>1362</v>
      </c>
      <c r="D1055" s="6" t="s">
        <v>1330</v>
      </c>
      <c r="E1055" s="6"/>
      <c r="F1055" s="6" t="s">
        <v>1370</v>
      </c>
      <c r="G1055" s="6" t="s">
        <v>4406</v>
      </c>
      <c r="H1055" s="6" t="s">
        <v>4441</v>
      </c>
      <c r="I1055" s="6" t="n">
        <v>96</v>
      </c>
      <c r="J1055" s="6" t="s">
        <v>83</v>
      </c>
      <c r="K1055" s="6" t="s">
        <v>4532</v>
      </c>
      <c r="L1055" s="7"/>
      <c r="M1055" s="7"/>
    </row>
    <row r="1056" customFormat="false" ht="35.05" hidden="false" customHeight="false" outlineLevel="0" collapsed="false">
      <c r="A1056" s="6" t="s">
        <v>1851</v>
      </c>
      <c r="B1056" s="6" t="s">
        <v>145</v>
      </c>
      <c r="C1056" s="6" t="s">
        <v>1362</v>
      </c>
      <c r="D1056" s="6" t="s">
        <v>1330</v>
      </c>
      <c r="E1056" s="6"/>
      <c r="F1056" s="6" t="s">
        <v>1370</v>
      </c>
      <c r="G1056" s="6" t="s">
        <v>4409</v>
      </c>
      <c r="H1056" s="6" t="s">
        <v>4442</v>
      </c>
      <c r="I1056" s="6" t="n">
        <v>62</v>
      </c>
      <c r="J1056" s="6"/>
      <c r="K1056" s="6" t="s">
        <v>4411</v>
      </c>
      <c r="L1056" s="7"/>
      <c r="M1056" s="7"/>
    </row>
    <row r="1057" customFormat="false" ht="35.05" hidden="false" customHeight="false" outlineLevel="0" collapsed="false">
      <c r="A1057" s="6" t="s">
        <v>1851</v>
      </c>
      <c r="B1057" s="6" t="s">
        <v>145</v>
      </c>
      <c r="C1057" s="6" t="s">
        <v>1362</v>
      </c>
      <c r="D1057" s="6" t="s">
        <v>1330</v>
      </c>
      <c r="E1057" s="6"/>
      <c r="F1057" s="6" t="s">
        <v>1370</v>
      </c>
      <c r="G1057" s="6" t="s">
        <v>4412</v>
      </c>
      <c r="H1057" s="6" t="s">
        <v>4443</v>
      </c>
      <c r="I1057" s="6" t="n">
        <v>28</v>
      </c>
      <c r="J1057" s="6"/>
      <c r="K1057" s="6" t="s">
        <v>4414</v>
      </c>
      <c r="L1057" s="7"/>
      <c r="M1057" s="7"/>
    </row>
    <row r="1058" customFormat="false" ht="35.05" hidden="false" customHeight="false" outlineLevel="0" collapsed="false">
      <c r="A1058" s="6" t="s">
        <v>1851</v>
      </c>
      <c r="B1058" s="6" t="s">
        <v>145</v>
      </c>
      <c r="C1058" s="6" t="s">
        <v>1362</v>
      </c>
      <c r="D1058" s="6" t="s">
        <v>1330</v>
      </c>
      <c r="E1058" s="6"/>
      <c r="F1058" s="6" t="s">
        <v>1370</v>
      </c>
      <c r="G1058" s="6" t="s">
        <v>4415</v>
      </c>
      <c r="H1058" s="6" t="s">
        <v>4444</v>
      </c>
      <c r="I1058" s="6" t="n">
        <v>18</v>
      </c>
      <c r="J1058" s="6"/>
      <c r="K1058" s="6" t="s">
        <v>4417</v>
      </c>
      <c r="L1058" s="7"/>
      <c r="M1058" s="7"/>
    </row>
    <row r="1059" customFormat="false" ht="23.85" hidden="false" customHeight="false" outlineLevel="0" collapsed="false">
      <c r="A1059" s="6" t="s">
        <v>1853</v>
      </c>
      <c r="B1059" s="6" t="s">
        <v>145</v>
      </c>
      <c r="C1059" s="6" t="s">
        <v>79</v>
      </c>
      <c r="D1059" s="6" t="s">
        <v>1330</v>
      </c>
      <c r="E1059" s="6"/>
      <c r="F1059" s="6" t="s">
        <v>1335</v>
      </c>
      <c r="G1059" s="6" t="s">
        <v>4406</v>
      </c>
      <c r="H1059" s="6" t="s">
        <v>4407</v>
      </c>
      <c r="I1059" s="6" t="n">
        <v>96</v>
      </c>
      <c r="J1059" s="6" t="s">
        <v>83</v>
      </c>
      <c r="K1059" s="6" t="s">
        <v>4533</v>
      </c>
      <c r="L1059" s="7"/>
      <c r="M1059" s="7"/>
    </row>
    <row r="1060" customFormat="false" ht="23.85" hidden="false" customHeight="false" outlineLevel="0" collapsed="false">
      <c r="A1060" s="6" t="s">
        <v>1853</v>
      </c>
      <c r="B1060" s="6" t="s">
        <v>145</v>
      </c>
      <c r="C1060" s="6" t="s">
        <v>79</v>
      </c>
      <c r="D1060" s="6" t="s">
        <v>1330</v>
      </c>
      <c r="E1060" s="6"/>
      <c r="F1060" s="6" t="s">
        <v>1335</v>
      </c>
      <c r="G1060" s="6" t="s">
        <v>4409</v>
      </c>
      <c r="H1060" s="6" t="s">
        <v>4410</v>
      </c>
      <c r="I1060" s="6" t="n">
        <v>60</v>
      </c>
      <c r="J1060" s="6"/>
      <c r="K1060" s="6" t="s">
        <v>4411</v>
      </c>
      <c r="L1060" s="7"/>
      <c r="M1060" s="7"/>
    </row>
    <row r="1061" customFormat="false" ht="23.85" hidden="false" customHeight="false" outlineLevel="0" collapsed="false">
      <c r="A1061" s="6" t="s">
        <v>1853</v>
      </c>
      <c r="B1061" s="6" t="s">
        <v>145</v>
      </c>
      <c r="C1061" s="6" t="s">
        <v>79</v>
      </c>
      <c r="D1061" s="6" t="s">
        <v>1330</v>
      </c>
      <c r="E1061" s="6"/>
      <c r="F1061" s="6" t="s">
        <v>1335</v>
      </c>
      <c r="G1061" s="6" t="s">
        <v>4412</v>
      </c>
      <c r="H1061" s="6" t="s">
        <v>4413</v>
      </c>
      <c r="I1061" s="6" t="n">
        <v>28</v>
      </c>
      <c r="J1061" s="6"/>
      <c r="K1061" s="6" t="s">
        <v>4414</v>
      </c>
      <c r="L1061" s="7"/>
      <c r="M1061" s="7"/>
    </row>
    <row r="1062" customFormat="false" ht="23.85" hidden="false" customHeight="false" outlineLevel="0" collapsed="false">
      <c r="A1062" s="6" t="s">
        <v>1853</v>
      </c>
      <c r="B1062" s="6" t="s">
        <v>145</v>
      </c>
      <c r="C1062" s="6" t="s">
        <v>79</v>
      </c>
      <c r="D1062" s="6" t="s">
        <v>1330</v>
      </c>
      <c r="E1062" s="6"/>
      <c r="F1062" s="6" t="s">
        <v>1335</v>
      </c>
      <c r="G1062" s="6" t="s">
        <v>4415</v>
      </c>
      <c r="H1062" s="6" t="s">
        <v>4416</v>
      </c>
      <c r="I1062" s="6" t="n">
        <v>18</v>
      </c>
      <c r="J1062" s="6"/>
      <c r="K1062" s="6" t="s">
        <v>4417</v>
      </c>
      <c r="L1062" s="7"/>
      <c r="M1062" s="7"/>
    </row>
    <row r="1063" customFormat="false" ht="23.85" hidden="false" customHeight="false" outlineLevel="0" collapsed="false">
      <c r="A1063" s="6" t="s">
        <v>1859</v>
      </c>
      <c r="B1063" s="6" t="s">
        <v>145</v>
      </c>
      <c r="C1063" s="6" t="s">
        <v>98</v>
      </c>
      <c r="D1063" s="6" t="s">
        <v>1330</v>
      </c>
      <c r="E1063" s="6"/>
      <c r="F1063" s="6" t="s">
        <v>1341</v>
      </c>
      <c r="G1063" s="6" t="s">
        <v>4406</v>
      </c>
      <c r="H1063" s="6" t="s">
        <v>4418</v>
      </c>
      <c r="I1063" s="6" t="n">
        <v>96</v>
      </c>
      <c r="J1063" s="6" t="s">
        <v>83</v>
      </c>
      <c r="K1063" s="6" t="s">
        <v>4534</v>
      </c>
      <c r="L1063" s="7"/>
      <c r="M1063" s="7"/>
    </row>
    <row r="1064" customFormat="false" ht="23.85" hidden="false" customHeight="false" outlineLevel="0" collapsed="false">
      <c r="A1064" s="6" t="s">
        <v>1859</v>
      </c>
      <c r="B1064" s="6" t="s">
        <v>145</v>
      </c>
      <c r="C1064" s="6" t="s">
        <v>98</v>
      </c>
      <c r="D1064" s="6" t="s">
        <v>1330</v>
      </c>
      <c r="E1064" s="6"/>
      <c r="F1064" s="6" t="s">
        <v>1341</v>
      </c>
      <c r="G1064" s="6" t="s">
        <v>4409</v>
      </c>
      <c r="H1064" s="6" t="s">
        <v>4420</v>
      </c>
      <c r="I1064" s="6" t="n">
        <v>58</v>
      </c>
      <c r="J1064" s="6"/>
      <c r="K1064" s="6" t="s">
        <v>4411</v>
      </c>
      <c r="L1064" s="7"/>
      <c r="M1064" s="7"/>
    </row>
    <row r="1065" customFormat="false" ht="23.85" hidden="false" customHeight="false" outlineLevel="0" collapsed="false">
      <c r="A1065" s="6" t="s">
        <v>1859</v>
      </c>
      <c r="B1065" s="6" t="s">
        <v>145</v>
      </c>
      <c r="C1065" s="6" t="s">
        <v>98</v>
      </c>
      <c r="D1065" s="6" t="s">
        <v>1330</v>
      </c>
      <c r="E1065" s="6"/>
      <c r="F1065" s="6" t="s">
        <v>1341</v>
      </c>
      <c r="G1065" s="6" t="s">
        <v>4412</v>
      </c>
      <c r="H1065" s="6" t="s">
        <v>4421</v>
      </c>
      <c r="I1065" s="6" t="n">
        <v>28</v>
      </c>
      <c r="J1065" s="6"/>
      <c r="K1065" s="6" t="s">
        <v>4414</v>
      </c>
      <c r="L1065" s="7"/>
      <c r="M1065" s="7"/>
    </row>
    <row r="1066" customFormat="false" ht="23.85" hidden="false" customHeight="false" outlineLevel="0" collapsed="false">
      <c r="A1066" s="6" t="s">
        <v>1859</v>
      </c>
      <c r="B1066" s="6" t="s">
        <v>145</v>
      </c>
      <c r="C1066" s="6" t="s">
        <v>98</v>
      </c>
      <c r="D1066" s="6" t="s">
        <v>1330</v>
      </c>
      <c r="E1066" s="6"/>
      <c r="F1066" s="6" t="s">
        <v>1341</v>
      </c>
      <c r="G1066" s="6" t="s">
        <v>4415</v>
      </c>
      <c r="H1066" s="6" t="s">
        <v>4422</v>
      </c>
      <c r="I1066" s="6" t="n">
        <v>18</v>
      </c>
      <c r="J1066" s="6"/>
      <c r="K1066" s="6" t="s">
        <v>4417</v>
      </c>
      <c r="L1066" s="7"/>
      <c r="M1066" s="7"/>
    </row>
    <row r="1067" customFormat="false" ht="23.85" hidden="false" customHeight="false" outlineLevel="0" collapsed="false">
      <c r="A1067" s="6" t="s">
        <v>1862</v>
      </c>
      <c r="B1067" s="6" t="s">
        <v>145</v>
      </c>
      <c r="C1067" s="6" t="s">
        <v>98</v>
      </c>
      <c r="D1067" s="6" t="s">
        <v>1330</v>
      </c>
      <c r="E1067" s="6"/>
      <c r="F1067" s="6" t="s">
        <v>1347</v>
      </c>
      <c r="G1067" s="6" t="s">
        <v>4406</v>
      </c>
      <c r="H1067" s="6" t="s">
        <v>4423</v>
      </c>
      <c r="I1067" s="6" t="n">
        <v>96</v>
      </c>
      <c r="J1067" s="6" t="s">
        <v>83</v>
      </c>
      <c r="K1067" s="6" t="s">
        <v>4534</v>
      </c>
      <c r="L1067" s="7"/>
      <c r="M1067" s="7"/>
    </row>
    <row r="1068" customFormat="false" ht="23.85" hidden="false" customHeight="false" outlineLevel="0" collapsed="false">
      <c r="A1068" s="6" t="s">
        <v>1862</v>
      </c>
      <c r="B1068" s="6" t="s">
        <v>145</v>
      </c>
      <c r="C1068" s="6" t="s">
        <v>98</v>
      </c>
      <c r="D1068" s="6" t="s">
        <v>1330</v>
      </c>
      <c r="E1068" s="6"/>
      <c r="F1068" s="6" t="s">
        <v>1347</v>
      </c>
      <c r="G1068" s="6" t="s">
        <v>4409</v>
      </c>
      <c r="H1068" s="6" t="s">
        <v>4424</v>
      </c>
      <c r="I1068" s="6" t="n">
        <v>58</v>
      </c>
      <c r="J1068" s="6"/>
      <c r="K1068" s="6" t="s">
        <v>4411</v>
      </c>
      <c r="L1068" s="7"/>
      <c r="M1068" s="7"/>
    </row>
    <row r="1069" customFormat="false" ht="23.85" hidden="false" customHeight="false" outlineLevel="0" collapsed="false">
      <c r="A1069" s="6" t="s">
        <v>1862</v>
      </c>
      <c r="B1069" s="6" t="s">
        <v>145</v>
      </c>
      <c r="C1069" s="6" t="s">
        <v>98</v>
      </c>
      <c r="D1069" s="6" t="s">
        <v>1330</v>
      </c>
      <c r="E1069" s="6"/>
      <c r="F1069" s="6" t="s">
        <v>1347</v>
      </c>
      <c r="G1069" s="6" t="s">
        <v>4412</v>
      </c>
      <c r="H1069" s="6" t="s">
        <v>4425</v>
      </c>
      <c r="I1069" s="6" t="n">
        <v>28</v>
      </c>
      <c r="J1069" s="6"/>
      <c r="K1069" s="6" t="s">
        <v>4414</v>
      </c>
      <c r="L1069" s="7"/>
      <c r="M1069" s="7"/>
    </row>
    <row r="1070" customFormat="false" ht="23.85" hidden="false" customHeight="false" outlineLevel="0" collapsed="false">
      <c r="A1070" s="6" t="s">
        <v>1862</v>
      </c>
      <c r="B1070" s="6" t="s">
        <v>145</v>
      </c>
      <c r="C1070" s="6" t="s">
        <v>98</v>
      </c>
      <c r="D1070" s="6" t="s">
        <v>1330</v>
      </c>
      <c r="E1070" s="6"/>
      <c r="F1070" s="6" t="s">
        <v>1347</v>
      </c>
      <c r="G1070" s="6" t="s">
        <v>4415</v>
      </c>
      <c r="H1070" s="6" t="s">
        <v>4426</v>
      </c>
      <c r="I1070" s="6" t="n">
        <v>18</v>
      </c>
      <c r="J1070" s="6"/>
      <c r="K1070" s="6" t="s">
        <v>4417</v>
      </c>
      <c r="L1070" s="7"/>
      <c r="M1070" s="7"/>
    </row>
    <row r="1071" customFormat="false" ht="35.05" hidden="false" customHeight="false" outlineLevel="0" collapsed="false">
      <c r="A1071" s="6" t="s">
        <v>1864</v>
      </c>
      <c r="B1071" s="6" t="s">
        <v>145</v>
      </c>
      <c r="C1071" s="6" t="s">
        <v>165</v>
      </c>
      <c r="D1071" s="6" t="s">
        <v>1330</v>
      </c>
      <c r="E1071" s="6"/>
      <c r="F1071" s="6" t="s">
        <v>1352</v>
      </c>
      <c r="G1071" s="6" t="s">
        <v>4406</v>
      </c>
      <c r="H1071" s="6" t="s">
        <v>4427</v>
      </c>
      <c r="I1071" s="6" t="n">
        <v>96</v>
      </c>
      <c r="J1071" s="6" t="s">
        <v>83</v>
      </c>
      <c r="K1071" s="6" t="s">
        <v>4535</v>
      </c>
      <c r="L1071" s="7"/>
      <c r="M1071" s="7"/>
    </row>
    <row r="1072" customFormat="false" ht="23.85" hidden="false" customHeight="false" outlineLevel="0" collapsed="false">
      <c r="A1072" s="6" t="s">
        <v>1864</v>
      </c>
      <c r="B1072" s="6" t="s">
        <v>145</v>
      </c>
      <c r="C1072" s="6" t="s">
        <v>165</v>
      </c>
      <c r="D1072" s="6" t="s">
        <v>1330</v>
      </c>
      <c r="E1072" s="6"/>
      <c r="F1072" s="6" t="s">
        <v>1352</v>
      </c>
      <c r="G1072" s="6" t="s">
        <v>4409</v>
      </c>
      <c r="H1072" s="6" t="s">
        <v>4429</v>
      </c>
      <c r="I1072" s="6" t="n">
        <v>62</v>
      </c>
      <c r="J1072" s="6"/>
      <c r="K1072" s="6" t="s">
        <v>4411</v>
      </c>
      <c r="L1072" s="7"/>
      <c r="M1072" s="7"/>
    </row>
    <row r="1073" customFormat="false" ht="23.85" hidden="false" customHeight="false" outlineLevel="0" collapsed="false">
      <c r="A1073" s="6" t="s">
        <v>1864</v>
      </c>
      <c r="B1073" s="6" t="s">
        <v>145</v>
      </c>
      <c r="C1073" s="6" t="s">
        <v>165</v>
      </c>
      <c r="D1073" s="6" t="s">
        <v>1330</v>
      </c>
      <c r="E1073" s="6"/>
      <c r="F1073" s="6" t="s">
        <v>1352</v>
      </c>
      <c r="G1073" s="6" t="s">
        <v>4412</v>
      </c>
      <c r="H1073" s="6" t="s">
        <v>4430</v>
      </c>
      <c r="I1073" s="6" t="n">
        <v>28</v>
      </c>
      <c r="J1073" s="6"/>
      <c r="K1073" s="6" t="s">
        <v>4414</v>
      </c>
      <c r="L1073" s="7"/>
      <c r="M1073" s="7"/>
    </row>
    <row r="1074" customFormat="false" ht="23.85" hidden="false" customHeight="false" outlineLevel="0" collapsed="false">
      <c r="A1074" s="6" t="s">
        <v>1864</v>
      </c>
      <c r="B1074" s="6" t="s">
        <v>145</v>
      </c>
      <c r="C1074" s="6" t="s">
        <v>165</v>
      </c>
      <c r="D1074" s="6" t="s">
        <v>1330</v>
      </c>
      <c r="E1074" s="6"/>
      <c r="F1074" s="6" t="s">
        <v>1352</v>
      </c>
      <c r="G1074" s="6" t="s">
        <v>4415</v>
      </c>
      <c r="H1074" s="6" t="s">
        <v>4431</v>
      </c>
      <c r="I1074" s="6" t="n">
        <v>18</v>
      </c>
      <c r="J1074" s="6"/>
      <c r="K1074" s="6" t="s">
        <v>4417</v>
      </c>
      <c r="L1074" s="7"/>
      <c r="M1074" s="7"/>
    </row>
    <row r="1075" customFormat="false" ht="35.05" hidden="false" customHeight="false" outlineLevel="0" collapsed="false">
      <c r="A1075" s="6" t="s">
        <v>1867</v>
      </c>
      <c r="B1075" s="6" t="s">
        <v>145</v>
      </c>
      <c r="C1075" s="6" t="s">
        <v>165</v>
      </c>
      <c r="D1075" s="6" t="s">
        <v>1330</v>
      </c>
      <c r="E1075" s="6"/>
      <c r="F1075" s="6" t="s">
        <v>1358</v>
      </c>
      <c r="G1075" s="6" t="s">
        <v>4406</v>
      </c>
      <c r="H1075" s="6" t="s">
        <v>4432</v>
      </c>
      <c r="I1075" s="6" t="n">
        <v>96</v>
      </c>
      <c r="J1075" s="6" t="s">
        <v>83</v>
      </c>
      <c r="K1075" s="6" t="s">
        <v>4535</v>
      </c>
      <c r="L1075" s="7"/>
      <c r="M1075" s="7"/>
    </row>
    <row r="1076" customFormat="false" ht="23.85" hidden="false" customHeight="false" outlineLevel="0" collapsed="false">
      <c r="A1076" s="6" t="s">
        <v>1867</v>
      </c>
      <c r="B1076" s="6" t="s">
        <v>145</v>
      </c>
      <c r="C1076" s="6" t="s">
        <v>165</v>
      </c>
      <c r="D1076" s="6" t="s">
        <v>1330</v>
      </c>
      <c r="E1076" s="6"/>
      <c r="F1076" s="6" t="s">
        <v>1358</v>
      </c>
      <c r="G1076" s="6" t="s">
        <v>4409</v>
      </c>
      <c r="H1076" s="6" t="s">
        <v>4433</v>
      </c>
      <c r="I1076" s="6" t="n">
        <v>62</v>
      </c>
      <c r="J1076" s="6"/>
      <c r="K1076" s="6" t="s">
        <v>4411</v>
      </c>
      <c r="L1076" s="7"/>
      <c r="M1076" s="7"/>
    </row>
    <row r="1077" customFormat="false" ht="23.85" hidden="false" customHeight="false" outlineLevel="0" collapsed="false">
      <c r="A1077" s="6" t="s">
        <v>1867</v>
      </c>
      <c r="B1077" s="6" t="s">
        <v>145</v>
      </c>
      <c r="C1077" s="6" t="s">
        <v>165</v>
      </c>
      <c r="D1077" s="6" t="s">
        <v>1330</v>
      </c>
      <c r="E1077" s="6"/>
      <c r="F1077" s="6" t="s">
        <v>1358</v>
      </c>
      <c r="G1077" s="6" t="s">
        <v>4412</v>
      </c>
      <c r="H1077" s="6" t="s">
        <v>4434</v>
      </c>
      <c r="I1077" s="6" t="n">
        <v>28</v>
      </c>
      <c r="J1077" s="6"/>
      <c r="K1077" s="6" t="s">
        <v>4414</v>
      </c>
      <c r="L1077" s="7"/>
      <c r="M1077" s="7"/>
    </row>
    <row r="1078" customFormat="false" ht="23.85" hidden="false" customHeight="false" outlineLevel="0" collapsed="false">
      <c r="A1078" s="6" t="s">
        <v>1867</v>
      </c>
      <c r="B1078" s="6" t="s">
        <v>145</v>
      </c>
      <c r="C1078" s="6" t="s">
        <v>165</v>
      </c>
      <c r="D1078" s="6" t="s">
        <v>1330</v>
      </c>
      <c r="E1078" s="6"/>
      <c r="F1078" s="6" t="s">
        <v>1358</v>
      </c>
      <c r="G1078" s="6" t="s">
        <v>4415</v>
      </c>
      <c r="H1078" s="6" t="s">
        <v>4435</v>
      </c>
      <c r="I1078" s="6" t="n">
        <v>18</v>
      </c>
      <c r="J1078" s="6"/>
      <c r="K1078" s="6" t="s">
        <v>4417</v>
      </c>
      <c r="L1078" s="7"/>
      <c r="M1078" s="7"/>
    </row>
    <row r="1079" customFormat="false" ht="35.05" hidden="false" customHeight="false" outlineLevel="0" collapsed="false">
      <c r="A1079" s="6" t="s">
        <v>1869</v>
      </c>
      <c r="B1079" s="6" t="s">
        <v>145</v>
      </c>
      <c r="C1079" s="6" t="s">
        <v>1362</v>
      </c>
      <c r="D1079" s="6" t="s">
        <v>1330</v>
      </c>
      <c r="E1079" s="6"/>
      <c r="F1079" s="6" t="s">
        <v>1364</v>
      </c>
      <c r="G1079" s="6" t="s">
        <v>4406</v>
      </c>
      <c r="H1079" s="6" t="s">
        <v>4436</v>
      </c>
      <c r="I1079" s="6" t="n">
        <v>96</v>
      </c>
      <c r="J1079" s="6" t="s">
        <v>83</v>
      </c>
      <c r="K1079" s="6" t="s">
        <v>4536</v>
      </c>
      <c r="L1079" s="7"/>
      <c r="M1079" s="7"/>
    </row>
    <row r="1080" customFormat="false" ht="35.05" hidden="false" customHeight="false" outlineLevel="0" collapsed="false">
      <c r="A1080" s="6" t="s">
        <v>1869</v>
      </c>
      <c r="B1080" s="6" t="s">
        <v>145</v>
      </c>
      <c r="C1080" s="6" t="s">
        <v>1362</v>
      </c>
      <c r="D1080" s="6" t="s">
        <v>1330</v>
      </c>
      <c r="E1080" s="6"/>
      <c r="F1080" s="6" t="s">
        <v>1364</v>
      </c>
      <c r="G1080" s="6" t="s">
        <v>4409</v>
      </c>
      <c r="H1080" s="6" t="s">
        <v>4438</v>
      </c>
      <c r="I1080" s="6" t="n">
        <v>62</v>
      </c>
      <c r="J1080" s="6"/>
      <c r="K1080" s="6" t="s">
        <v>4411</v>
      </c>
      <c r="L1080" s="7"/>
      <c r="M1080" s="7"/>
    </row>
    <row r="1081" customFormat="false" ht="35.05" hidden="false" customHeight="false" outlineLevel="0" collapsed="false">
      <c r="A1081" s="6" t="s">
        <v>1869</v>
      </c>
      <c r="B1081" s="6" t="s">
        <v>145</v>
      </c>
      <c r="C1081" s="6" t="s">
        <v>1362</v>
      </c>
      <c r="D1081" s="6" t="s">
        <v>1330</v>
      </c>
      <c r="E1081" s="6"/>
      <c r="F1081" s="6" t="s">
        <v>1364</v>
      </c>
      <c r="G1081" s="6" t="s">
        <v>4412</v>
      </c>
      <c r="H1081" s="6" t="s">
        <v>4439</v>
      </c>
      <c r="I1081" s="6" t="n">
        <v>28</v>
      </c>
      <c r="J1081" s="6"/>
      <c r="K1081" s="6" t="s">
        <v>4414</v>
      </c>
      <c r="L1081" s="7"/>
      <c r="M1081" s="7"/>
    </row>
    <row r="1082" customFormat="false" ht="35.05" hidden="false" customHeight="false" outlineLevel="0" collapsed="false">
      <c r="A1082" s="6" t="s">
        <v>1869</v>
      </c>
      <c r="B1082" s="6" t="s">
        <v>145</v>
      </c>
      <c r="C1082" s="6" t="s">
        <v>1362</v>
      </c>
      <c r="D1082" s="6" t="s">
        <v>1330</v>
      </c>
      <c r="E1082" s="6"/>
      <c r="F1082" s="6" t="s">
        <v>1364</v>
      </c>
      <c r="G1082" s="6" t="s">
        <v>4415</v>
      </c>
      <c r="H1082" s="6" t="s">
        <v>4440</v>
      </c>
      <c r="I1082" s="6" t="n">
        <v>18</v>
      </c>
      <c r="J1082" s="6"/>
      <c r="K1082" s="6" t="s">
        <v>4417</v>
      </c>
      <c r="L1082" s="7"/>
      <c r="M1082" s="7"/>
    </row>
    <row r="1083" customFormat="false" ht="35.05" hidden="false" customHeight="false" outlineLevel="0" collapsed="false">
      <c r="A1083" s="6" t="s">
        <v>1872</v>
      </c>
      <c r="B1083" s="6" t="s">
        <v>145</v>
      </c>
      <c r="C1083" s="6" t="s">
        <v>1362</v>
      </c>
      <c r="D1083" s="6" t="s">
        <v>1330</v>
      </c>
      <c r="E1083" s="6"/>
      <c r="F1083" s="6" t="s">
        <v>1370</v>
      </c>
      <c r="G1083" s="6" t="s">
        <v>4406</v>
      </c>
      <c r="H1083" s="6" t="s">
        <v>4441</v>
      </c>
      <c r="I1083" s="6" t="n">
        <v>96</v>
      </c>
      <c r="J1083" s="6" t="s">
        <v>83</v>
      </c>
      <c r="K1083" s="6" t="s">
        <v>4536</v>
      </c>
      <c r="L1083" s="7"/>
      <c r="M1083" s="7"/>
    </row>
    <row r="1084" customFormat="false" ht="23.85" hidden="false" customHeight="false" outlineLevel="0" collapsed="false">
      <c r="A1084" s="6" t="s">
        <v>1872</v>
      </c>
      <c r="B1084" s="6" t="s">
        <v>145</v>
      </c>
      <c r="C1084" s="6" t="s">
        <v>1362</v>
      </c>
      <c r="D1084" s="6" t="s">
        <v>1330</v>
      </c>
      <c r="E1084" s="6"/>
      <c r="F1084" s="6" t="s">
        <v>1370</v>
      </c>
      <c r="G1084" s="6" t="s">
        <v>4409</v>
      </c>
      <c r="H1084" s="6" t="s">
        <v>4442</v>
      </c>
      <c r="I1084" s="6" t="n">
        <v>62</v>
      </c>
      <c r="J1084" s="6"/>
      <c r="K1084" s="6" t="s">
        <v>4411</v>
      </c>
      <c r="L1084" s="7"/>
      <c r="M1084" s="7"/>
    </row>
    <row r="1085" customFormat="false" ht="23.85" hidden="false" customHeight="false" outlineLevel="0" collapsed="false">
      <c r="A1085" s="6" t="s">
        <v>1872</v>
      </c>
      <c r="B1085" s="6" t="s">
        <v>145</v>
      </c>
      <c r="C1085" s="6" t="s">
        <v>1362</v>
      </c>
      <c r="D1085" s="6" t="s">
        <v>1330</v>
      </c>
      <c r="E1085" s="6"/>
      <c r="F1085" s="6" t="s">
        <v>1370</v>
      </c>
      <c r="G1085" s="6" t="s">
        <v>4412</v>
      </c>
      <c r="H1085" s="6" t="s">
        <v>4443</v>
      </c>
      <c r="I1085" s="6" t="n">
        <v>28</v>
      </c>
      <c r="J1085" s="6"/>
      <c r="K1085" s="6" t="s">
        <v>4414</v>
      </c>
      <c r="L1085" s="7"/>
      <c r="M1085" s="7"/>
    </row>
    <row r="1086" customFormat="false" ht="23.85" hidden="false" customHeight="false" outlineLevel="0" collapsed="false">
      <c r="A1086" s="6" t="s">
        <v>1872</v>
      </c>
      <c r="B1086" s="6" t="s">
        <v>145</v>
      </c>
      <c r="C1086" s="6" t="s">
        <v>1362</v>
      </c>
      <c r="D1086" s="6" t="s">
        <v>1330</v>
      </c>
      <c r="E1086" s="6"/>
      <c r="F1086" s="6" t="s">
        <v>1370</v>
      </c>
      <c r="G1086" s="6" t="s">
        <v>4415</v>
      </c>
      <c r="H1086" s="6" t="s">
        <v>4444</v>
      </c>
      <c r="I1086" s="6" t="n">
        <v>18</v>
      </c>
      <c r="J1086" s="6"/>
      <c r="K1086" s="6" t="s">
        <v>4417</v>
      </c>
      <c r="L1086" s="7"/>
      <c r="M1086" s="7"/>
    </row>
    <row r="1087" customFormat="false" ht="23.85" hidden="false" customHeight="false" outlineLevel="0" collapsed="false">
      <c r="A1087" s="6" t="s">
        <v>1874</v>
      </c>
      <c r="B1087" s="6" t="s">
        <v>123</v>
      </c>
      <c r="C1087" s="6" t="s">
        <v>1362</v>
      </c>
      <c r="D1087" s="6" t="s">
        <v>1330</v>
      </c>
      <c r="E1087" s="6"/>
      <c r="F1087" s="6" t="s">
        <v>1879</v>
      </c>
      <c r="G1087" s="6" t="s">
        <v>4537</v>
      </c>
      <c r="H1087" s="6" t="s">
        <v>4538</v>
      </c>
      <c r="I1087" s="6" t="n">
        <v>98</v>
      </c>
      <c r="J1087" s="6" t="s">
        <v>83</v>
      </c>
      <c r="K1087" s="6" t="s">
        <v>4539</v>
      </c>
      <c r="L1087" s="7"/>
      <c r="M1087" s="7"/>
    </row>
    <row r="1088" customFormat="false" ht="23.85" hidden="false" customHeight="false" outlineLevel="0" collapsed="false">
      <c r="A1088" s="6" t="s">
        <v>1874</v>
      </c>
      <c r="B1088" s="6" t="s">
        <v>123</v>
      </c>
      <c r="C1088" s="6" t="s">
        <v>1362</v>
      </c>
      <c r="D1088" s="6" t="s">
        <v>1330</v>
      </c>
      <c r="E1088" s="6"/>
      <c r="F1088" s="6" t="s">
        <v>1879</v>
      </c>
      <c r="G1088" s="6" t="s">
        <v>4540</v>
      </c>
      <c r="H1088" s="6" t="s">
        <v>4541</v>
      </c>
      <c r="I1088" s="6" t="n">
        <v>38</v>
      </c>
      <c r="J1088" s="6"/>
      <c r="K1088" s="6" t="s">
        <v>4542</v>
      </c>
      <c r="L1088" s="7"/>
      <c r="M1088" s="7"/>
    </row>
    <row r="1089" customFormat="false" ht="23.85" hidden="false" customHeight="false" outlineLevel="0" collapsed="false">
      <c r="A1089" s="6" t="s">
        <v>1874</v>
      </c>
      <c r="B1089" s="6" t="s">
        <v>123</v>
      </c>
      <c r="C1089" s="6" t="s">
        <v>1362</v>
      </c>
      <c r="D1089" s="6" t="s">
        <v>1330</v>
      </c>
      <c r="E1089" s="6"/>
      <c r="F1089" s="6" t="s">
        <v>1879</v>
      </c>
      <c r="G1089" s="6" t="s">
        <v>4543</v>
      </c>
      <c r="H1089" s="6" t="s">
        <v>4544</v>
      </c>
      <c r="I1089" s="6" t="n">
        <v>28</v>
      </c>
      <c r="J1089" s="6"/>
      <c r="K1089" s="6" t="s">
        <v>4545</v>
      </c>
      <c r="L1089" s="7"/>
      <c r="M1089" s="7"/>
    </row>
    <row r="1090" customFormat="false" ht="35.05" hidden="false" customHeight="false" outlineLevel="0" collapsed="false">
      <c r="A1090" s="6" t="s">
        <v>1874</v>
      </c>
      <c r="B1090" s="6" t="s">
        <v>123</v>
      </c>
      <c r="C1090" s="6" t="s">
        <v>1362</v>
      </c>
      <c r="D1090" s="6" t="s">
        <v>1330</v>
      </c>
      <c r="E1090" s="6"/>
      <c r="F1090" s="6" t="s">
        <v>1879</v>
      </c>
      <c r="G1090" s="6" t="s">
        <v>4546</v>
      </c>
      <c r="H1090" s="6" t="s">
        <v>4547</v>
      </c>
      <c r="I1090" s="6" t="n">
        <v>46</v>
      </c>
      <c r="J1090" s="6"/>
      <c r="K1090" s="6" t="s">
        <v>4548</v>
      </c>
      <c r="L1090" s="7"/>
      <c r="M1090" s="7"/>
    </row>
    <row r="1091" customFormat="false" ht="23.85" hidden="false" customHeight="false" outlineLevel="0" collapsed="false">
      <c r="A1091" s="6" t="s">
        <v>1883</v>
      </c>
      <c r="B1091" s="6" t="s">
        <v>123</v>
      </c>
      <c r="C1091" s="6" t="s">
        <v>1362</v>
      </c>
      <c r="D1091" s="6" t="s">
        <v>1330</v>
      </c>
      <c r="E1091" s="6"/>
      <c r="F1091" s="6" t="s">
        <v>1885</v>
      </c>
      <c r="G1091" s="6" t="s">
        <v>4537</v>
      </c>
      <c r="H1091" s="6" t="s">
        <v>4538</v>
      </c>
      <c r="I1091" s="6" t="n">
        <v>98</v>
      </c>
      <c r="J1091" s="6" t="s">
        <v>83</v>
      </c>
      <c r="K1091" s="6" t="s">
        <v>4539</v>
      </c>
      <c r="L1091" s="7"/>
      <c r="M1091" s="7"/>
    </row>
    <row r="1092" customFormat="false" ht="23.85" hidden="false" customHeight="false" outlineLevel="0" collapsed="false">
      <c r="A1092" s="6" t="s">
        <v>1883</v>
      </c>
      <c r="B1092" s="6" t="s">
        <v>123</v>
      </c>
      <c r="C1092" s="6" t="s">
        <v>1362</v>
      </c>
      <c r="D1092" s="6" t="s">
        <v>1330</v>
      </c>
      <c r="E1092" s="6"/>
      <c r="F1092" s="6" t="s">
        <v>1885</v>
      </c>
      <c r="G1092" s="6" t="s">
        <v>4540</v>
      </c>
      <c r="H1092" s="6" t="s">
        <v>4541</v>
      </c>
      <c r="I1092" s="6" t="n">
        <v>38</v>
      </c>
      <c r="J1092" s="6"/>
      <c r="K1092" s="6" t="s">
        <v>4542</v>
      </c>
      <c r="L1092" s="7"/>
      <c r="M1092" s="7"/>
    </row>
    <row r="1093" customFormat="false" ht="23.85" hidden="false" customHeight="false" outlineLevel="0" collapsed="false">
      <c r="A1093" s="6" t="s">
        <v>1883</v>
      </c>
      <c r="B1093" s="6" t="s">
        <v>123</v>
      </c>
      <c r="C1093" s="6" t="s">
        <v>1362</v>
      </c>
      <c r="D1093" s="6" t="s">
        <v>1330</v>
      </c>
      <c r="E1093" s="6"/>
      <c r="F1093" s="6" t="s">
        <v>1885</v>
      </c>
      <c r="G1093" s="6" t="s">
        <v>4543</v>
      </c>
      <c r="H1093" s="6" t="s">
        <v>4544</v>
      </c>
      <c r="I1093" s="6" t="n">
        <v>28</v>
      </c>
      <c r="J1093" s="6"/>
      <c r="K1093" s="6" t="s">
        <v>4545</v>
      </c>
      <c r="L1093" s="7"/>
      <c r="M1093" s="7"/>
    </row>
    <row r="1094" customFormat="false" ht="35.05" hidden="false" customHeight="false" outlineLevel="0" collapsed="false">
      <c r="A1094" s="6" t="s">
        <v>1883</v>
      </c>
      <c r="B1094" s="6" t="s">
        <v>123</v>
      </c>
      <c r="C1094" s="6" t="s">
        <v>1362</v>
      </c>
      <c r="D1094" s="6" t="s">
        <v>1330</v>
      </c>
      <c r="E1094" s="6"/>
      <c r="F1094" s="6" t="s">
        <v>1885</v>
      </c>
      <c r="G1094" s="6" t="s">
        <v>4546</v>
      </c>
      <c r="H1094" s="6" t="s">
        <v>4547</v>
      </c>
      <c r="I1094" s="6" t="n">
        <v>46</v>
      </c>
      <c r="J1094" s="6"/>
      <c r="K1094" s="6" t="s">
        <v>4548</v>
      </c>
      <c r="L1094" s="7"/>
      <c r="M1094" s="7"/>
    </row>
    <row r="1095" customFormat="false" ht="23.85" hidden="false" customHeight="false" outlineLevel="0" collapsed="false">
      <c r="A1095" s="6" t="s">
        <v>1886</v>
      </c>
      <c r="B1095" s="6" t="s">
        <v>123</v>
      </c>
      <c r="C1095" s="6" t="s">
        <v>1362</v>
      </c>
      <c r="D1095" s="6" t="s">
        <v>1330</v>
      </c>
      <c r="E1095" s="6"/>
      <c r="F1095" s="6" t="s">
        <v>1888</v>
      </c>
      <c r="G1095" s="6" t="s">
        <v>4537</v>
      </c>
      <c r="H1095" s="6" t="s">
        <v>4538</v>
      </c>
      <c r="I1095" s="6" t="n">
        <v>98</v>
      </c>
      <c r="J1095" s="6" t="s">
        <v>83</v>
      </c>
      <c r="K1095" s="6" t="s">
        <v>4539</v>
      </c>
      <c r="L1095" s="7"/>
      <c r="M1095" s="7"/>
    </row>
    <row r="1096" customFormat="false" ht="23.85" hidden="false" customHeight="false" outlineLevel="0" collapsed="false">
      <c r="A1096" s="6" t="s">
        <v>1886</v>
      </c>
      <c r="B1096" s="6" t="s">
        <v>123</v>
      </c>
      <c r="C1096" s="6" t="s">
        <v>1362</v>
      </c>
      <c r="D1096" s="6" t="s">
        <v>1330</v>
      </c>
      <c r="E1096" s="6"/>
      <c r="F1096" s="6" t="s">
        <v>1888</v>
      </c>
      <c r="G1096" s="6" t="s">
        <v>4540</v>
      </c>
      <c r="H1096" s="6" t="s">
        <v>4541</v>
      </c>
      <c r="I1096" s="6" t="n">
        <v>38</v>
      </c>
      <c r="J1096" s="6"/>
      <c r="K1096" s="6" t="s">
        <v>4542</v>
      </c>
      <c r="L1096" s="7"/>
      <c r="M1096" s="7"/>
    </row>
    <row r="1097" customFormat="false" ht="23.85" hidden="false" customHeight="false" outlineLevel="0" collapsed="false">
      <c r="A1097" s="6" t="s">
        <v>1886</v>
      </c>
      <c r="B1097" s="6" t="s">
        <v>123</v>
      </c>
      <c r="C1097" s="6" t="s">
        <v>1362</v>
      </c>
      <c r="D1097" s="6" t="s">
        <v>1330</v>
      </c>
      <c r="E1097" s="6"/>
      <c r="F1097" s="6" t="s">
        <v>1888</v>
      </c>
      <c r="G1097" s="6" t="s">
        <v>4543</v>
      </c>
      <c r="H1097" s="6" t="s">
        <v>4544</v>
      </c>
      <c r="I1097" s="6" t="n">
        <v>28</v>
      </c>
      <c r="J1097" s="6"/>
      <c r="K1097" s="6" t="s">
        <v>4545</v>
      </c>
      <c r="L1097" s="7"/>
      <c r="M1097" s="7"/>
    </row>
    <row r="1098" customFormat="false" ht="35.05" hidden="false" customHeight="false" outlineLevel="0" collapsed="false">
      <c r="A1098" s="6" t="s">
        <v>1886</v>
      </c>
      <c r="B1098" s="6" t="s">
        <v>123</v>
      </c>
      <c r="C1098" s="6" t="s">
        <v>1362</v>
      </c>
      <c r="D1098" s="6" t="s">
        <v>1330</v>
      </c>
      <c r="E1098" s="6"/>
      <c r="F1098" s="6" t="s">
        <v>1888</v>
      </c>
      <c r="G1098" s="6" t="s">
        <v>4546</v>
      </c>
      <c r="H1098" s="6" t="s">
        <v>4547</v>
      </c>
      <c r="I1098" s="6" t="n">
        <v>46</v>
      </c>
      <c r="J1098" s="6"/>
      <c r="K1098" s="6" t="s">
        <v>4548</v>
      </c>
      <c r="L1098" s="7"/>
      <c r="M1098" s="7"/>
    </row>
    <row r="1099" customFormat="false" ht="23.85" hidden="false" customHeight="false" outlineLevel="0" collapsed="false">
      <c r="A1099" s="6" t="s">
        <v>1889</v>
      </c>
      <c r="B1099" s="6" t="s">
        <v>123</v>
      </c>
      <c r="C1099" s="6" t="s">
        <v>1362</v>
      </c>
      <c r="D1099" s="6" t="s">
        <v>1330</v>
      </c>
      <c r="E1099" s="6"/>
      <c r="F1099" s="6" t="s">
        <v>1891</v>
      </c>
      <c r="G1099" s="6" t="s">
        <v>4537</v>
      </c>
      <c r="H1099" s="6" t="s">
        <v>4538</v>
      </c>
      <c r="I1099" s="6" t="n">
        <v>98</v>
      </c>
      <c r="J1099" s="6" t="s">
        <v>83</v>
      </c>
      <c r="K1099" s="6" t="s">
        <v>4539</v>
      </c>
      <c r="L1099" s="7"/>
      <c r="M1099" s="7"/>
    </row>
    <row r="1100" customFormat="false" ht="23.85" hidden="false" customHeight="false" outlineLevel="0" collapsed="false">
      <c r="A1100" s="6" t="s">
        <v>1889</v>
      </c>
      <c r="B1100" s="6" t="s">
        <v>123</v>
      </c>
      <c r="C1100" s="6" t="s">
        <v>1362</v>
      </c>
      <c r="D1100" s="6" t="s">
        <v>1330</v>
      </c>
      <c r="E1100" s="6"/>
      <c r="F1100" s="6" t="s">
        <v>1891</v>
      </c>
      <c r="G1100" s="6" t="s">
        <v>4540</v>
      </c>
      <c r="H1100" s="6" t="s">
        <v>4541</v>
      </c>
      <c r="I1100" s="6" t="n">
        <v>38</v>
      </c>
      <c r="J1100" s="6"/>
      <c r="K1100" s="6" t="s">
        <v>4542</v>
      </c>
      <c r="L1100" s="7"/>
      <c r="M1100" s="7"/>
    </row>
    <row r="1101" customFormat="false" ht="23.85" hidden="false" customHeight="false" outlineLevel="0" collapsed="false">
      <c r="A1101" s="6" t="s">
        <v>1889</v>
      </c>
      <c r="B1101" s="6" t="s">
        <v>123</v>
      </c>
      <c r="C1101" s="6" t="s">
        <v>1362</v>
      </c>
      <c r="D1101" s="6" t="s">
        <v>1330</v>
      </c>
      <c r="E1101" s="6"/>
      <c r="F1101" s="6" t="s">
        <v>1891</v>
      </c>
      <c r="G1101" s="6" t="s">
        <v>4543</v>
      </c>
      <c r="H1101" s="6" t="s">
        <v>4544</v>
      </c>
      <c r="I1101" s="6" t="n">
        <v>28</v>
      </c>
      <c r="J1101" s="6"/>
      <c r="K1101" s="6" t="s">
        <v>4545</v>
      </c>
      <c r="L1101" s="7"/>
      <c r="M1101" s="7"/>
    </row>
    <row r="1102" customFormat="false" ht="35.05" hidden="false" customHeight="false" outlineLevel="0" collapsed="false">
      <c r="A1102" s="6" t="s">
        <v>1889</v>
      </c>
      <c r="B1102" s="6" t="s">
        <v>123</v>
      </c>
      <c r="C1102" s="6" t="s">
        <v>1362</v>
      </c>
      <c r="D1102" s="6" t="s">
        <v>1330</v>
      </c>
      <c r="E1102" s="6"/>
      <c r="F1102" s="6" t="s">
        <v>1891</v>
      </c>
      <c r="G1102" s="6" t="s">
        <v>4546</v>
      </c>
      <c r="H1102" s="6" t="s">
        <v>4547</v>
      </c>
      <c r="I1102" s="6" t="n">
        <v>46</v>
      </c>
      <c r="J1102" s="6"/>
      <c r="K1102" s="6" t="s">
        <v>4548</v>
      </c>
      <c r="L1102" s="7"/>
      <c r="M1102" s="7"/>
    </row>
    <row r="1103" customFormat="false" ht="23.85" hidden="false" customHeight="false" outlineLevel="0" collapsed="false">
      <c r="A1103" s="6" t="s">
        <v>1892</v>
      </c>
      <c r="B1103" s="6" t="s">
        <v>123</v>
      </c>
      <c r="C1103" s="6" t="s">
        <v>1362</v>
      </c>
      <c r="D1103" s="6" t="s">
        <v>1330</v>
      </c>
      <c r="E1103" s="6"/>
      <c r="F1103" s="6" t="s">
        <v>1894</v>
      </c>
      <c r="G1103" s="6" t="s">
        <v>4537</v>
      </c>
      <c r="H1103" s="6" t="s">
        <v>4538</v>
      </c>
      <c r="I1103" s="6" t="n">
        <v>98</v>
      </c>
      <c r="J1103" s="6" t="s">
        <v>83</v>
      </c>
      <c r="K1103" s="6" t="s">
        <v>4539</v>
      </c>
      <c r="L1103" s="7"/>
      <c r="M1103" s="7"/>
    </row>
    <row r="1104" customFormat="false" ht="23.85" hidden="false" customHeight="false" outlineLevel="0" collapsed="false">
      <c r="A1104" s="6" t="s">
        <v>1892</v>
      </c>
      <c r="B1104" s="6" t="s">
        <v>123</v>
      </c>
      <c r="C1104" s="6" t="s">
        <v>1362</v>
      </c>
      <c r="D1104" s="6" t="s">
        <v>1330</v>
      </c>
      <c r="E1104" s="6"/>
      <c r="F1104" s="6" t="s">
        <v>1894</v>
      </c>
      <c r="G1104" s="6" t="s">
        <v>4540</v>
      </c>
      <c r="H1104" s="6" t="s">
        <v>4541</v>
      </c>
      <c r="I1104" s="6" t="n">
        <v>38</v>
      </c>
      <c r="J1104" s="6"/>
      <c r="K1104" s="6" t="s">
        <v>4542</v>
      </c>
      <c r="L1104" s="7"/>
      <c r="M1104" s="7"/>
    </row>
    <row r="1105" customFormat="false" ht="23.85" hidden="false" customHeight="false" outlineLevel="0" collapsed="false">
      <c r="A1105" s="6" t="s">
        <v>1892</v>
      </c>
      <c r="B1105" s="6" t="s">
        <v>123</v>
      </c>
      <c r="C1105" s="6" t="s">
        <v>1362</v>
      </c>
      <c r="D1105" s="6" t="s">
        <v>1330</v>
      </c>
      <c r="E1105" s="6"/>
      <c r="F1105" s="6" t="s">
        <v>1894</v>
      </c>
      <c r="G1105" s="6" t="s">
        <v>4543</v>
      </c>
      <c r="H1105" s="6" t="s">
        <v>4544</v>
      </c>
      <c r="I1105" s="6" t="n">
        <v>28</v>
      </c>
      <c r="J1105" s="6"/>
      <c r="K1105" s="6" t="s">
        <v>4545</v>
      </c>
      <c r="L1105" s="7"/>
      <c r="M1105" s="7"/>
    </row>
    <row r="1106" customFormat="false" ht="35.05" hidden="false" customHeight="false" outlineLevel="0" collapsed="false">
      <c r="A1106" s="6" t="s">
        <v>1892</v>
      </c>
      <c r="B1106" s="6" t="s">
        <v>123</v>
      </c>
      <c r="C1106" s="6" t="s">
        <v>1362</v>
      </c>
      <c r="D1106" s="6" t="s">
        <v>1330</v>
      </c>
      <c r="E1106" s="6"/>
      <c r="F1106" s="6" t="s">
        <v>1894</v>
      </c>
      <c r="G1106" s="6" t="s">
        <v>4546</v>
      </c>
      <c r="H1106" s="6" t="s">
        <v>4547</v>
      </c>
      <c r="I1106" s="6" t="n">
        <v>46</v>
      </c>
      <c r="J1106" s="6"/>
      <c r="K1106" s="6" t="s">
        <v>4548</v>
      </c>
      <c r="L1106" s="7"/>
      <c r="M1106" s="7"/>
    </row>
    <row r="1107" customFormat="false" ht="23.85" hidden="false" customHeight="false" outlineLevel="0" collapsed="false">
      <c r="A1107" s="6" t="s">
        <v>1895</v>
      </c>
      <c r="B1107" s="6" t="s">
        <v>123</v>
      </c>
      <c r="C1107" s="6" t="s">
        <v>1362</v>
      </c>
      <c r="D1107" s="6" t="s">
        <v>1330</v>
      </c>
      <c r="E1107" s="6"/>
      <c r="F1107" s="6" t="s">
        <v>1897</v>
      </c>
      <c r="G1107" s="6" t="s">
        <v>4537</v>
      </c>
      <c r="H1107" s="6" t="s">
        <v>4538</v>
      </c>
      <c r="I1107" s="6" t="n">
        <v>98</v>
      </c>
      <c r="J1107" s="6" t="s">
        <v>83</v>
      </c>
      <c r="K1107" s="6" t="s">
        <v>4539</v>
      </c>
      <c r="L1107" s="7"/>
      <c r="M1107" s="7"/>
    </row>
    <row r="1108" customFormat="false" ht="23.85" hidden="false" customHeight="false" outlineLevel="0" collapsed="false">
      <c r="A1108" s="6" t="s">
        <v>1895</v>
      </c>
      <c r="B1108" s="6" t="s">
        <v>123</v>
      </c>
      <c r="C1108" s="6" t="s">
        <v>1362</v>
      </c>
      <c r="D1108" s="6" t="s">
        <v>1330</v>
      </c>
      <c r="E1108" s="6"/>
      <c r="F1108" s="6" t="s">
        <v>1897</v>
      </c>
      <c r="G1108" s="6" t="s">
        <v>4540</v>
      </c>
      <c r="H1108" s="6" t="s">
        <v>4541</v>
      </c>
      <c r="I1108" s="6" t="n">
        <v>38</v>
      </c>
      <c r="J1108" s="6"/>
      <c r="K1108" s="6" t="s">
        <v>4542</v>
      </c>
      <c r="L1108" s="7"/>
      <c r="M1108" s="7"/>
    </row>
    <row r="1109" customFormat="false" ht="23.85" hidden="false" customHeight="false" outlineLevel="0" collapsed="false">
      <c r="A1109" s="6" t="s">
        <v>1895</v>
      </c>
      <c r="B1109" s="6" t="s">
        <v>123</v>
      </c>
      <c r="C1109" s="6" t="s">
        <v>1362</v>
      </c>
      <c r="D1109" s="6" t="s">
        <v>1330</v>
      </c>
      <c r="E1109" s="6"/>
      <c r="F1109" s="6" t="s">
        <v>1897</v>
      </c>
      <c r="G1109" s="6" t="s">
        <v>4543</v>
      </c>
      <c r="H1109" s="6" t="s">
        <v>4544</v>
      </c>
      <c r="I1109" s="6" t="n">
        <v>28</v>
      </c>
      <c r="J1109" s="6"/>
      <c r="K1109" s="6" t="s">
        <v>4545</v>
      </c>
      <c r="L1109" s="7"/>
      <c r="M1109" s="7"/>
    </row>
    <row r="1110" customFormat="false" ht="35.05" hidden="false" customHeight="false" outlineLevel="0" collapsed="false">
      <c r="A1110" s="6" t="s">
        <v>1895</v>
      </c>
      <c r="B1110" s="6" t="s">
        <v>123</v>
      </c>
      <c r="C1110" s="6" t="s">
        <v>1362</v>
      </c>
      <c r="D1110" s="6" t="s">
        <v>1330</v>
      </c>
      <c r="E1110" s="6"/>
      <c r="F1110" s="6" t="s">
        <v>1897</v>
      </c>
      <c r="G1110" s="6" t="s">
        <v>4546</v>
      </c>
      <c r="H1110" s="6" t="s">
        <v>4547</v>
      </c>
      <c r="I1110" s="6" t="n">
        <v>46</v>
      </c>
      <c r="J1110" s="6"/>
      <c r="K1110" s="6" t="s">
        <v>4548</v>
      </c>
      <c r="L1110" s="7"/>
      <c r="M1110" s="7"/>
    </row>
    <row r="1111" customFormat="false" ht="23.85" hidden="false" customHeight="false" outlineLevel="0" collapsed="false">
      <c r="A1111" s="6" t="s">
        <v>1898</v>
      </c>
      <c r="B1111" s="6" t="s">
        <v>123</v>
      </c>
      <c r="C1111" s="6" t="s">
        <v>1362</v>
      </c>
      <c r="D1111" s="6" t="s">
        <v>1330</v>
      </c>
      <c r="E1111" s="6"/>
      <c r="F1111" s="6" t="s">
        <v>1900</v>
      </c>
      <c r="G1111" s="6" t="s">
        <v>4537</v>
      </c>
      <c r="H1111" s="6" t="s">
        <v>4538</v>
      </c>
      <c r="I1111" s="6" t="n">
        <v>98</v>
      </c>
      <c r="J1111" s="6" t="s">
        <v>83</v>
      </c>
      <c r="K1111" s="6" t="s">
        <v>4539</v>
      </c>
      <c r="L1111" s="7"/>
      <c r="M1111" s="7"/>
    </row>
    <row r="1112" customFormat="false" ht="23.85" hidden="false" customHeight="false" outlineLevel="0" collapsed="false">
      <c r="A1112" s="6" t="s">
        <v>1898</v>
      </c>
      <c r="B1112" s="6" t="s">
        <v>123</v>
      </c>
      <c r="C1112" s="6" t="s">
        <v>1362</v>
      </c>
      <c r="D1112" s="6" t="s">
        <v>1330</v>
      </c>
      <c r="E1112" s="6"/>
      <c r="F1112" s="6" t="s">
        <v>1900</v>
      </c>
      <c r="G1112" s="6" t="s">
        <v>4540</v>
      </c>
      <c r="H1112" s="6" t="s">
        <v>4541</v>
      </c>
      <c r="I1112" s="6" t="n">
        <v>38</v>
      </c>
      <c r="J1112" s="6"/>
      <c r="K1112" s="6" t="s">
        <v>4542</v>
      </c>
      <c r="L1112" s="7"/>
      <c r="M1112" s="7"/>
    </row>
    <row r="1113" customFormat="false" ht="23.85" hidden="false" customHeight="false" outlineLevel="0" collapsed="false">
      <c r="A1113" s="6" t="s">
        <v>1898</v>
      </c>
      <c r="B1113" s="6" t="s">
        <v>123</v>
      </c>
      <c r="C1113" s="6" t="s">
        <v>1362</v>
      </c>
      <c r="D1113" s="6" t="s">
        <v>1330</v>
      </c>
      <c r="E1113" s="6"/>
      <c r="F1113" s="6" t="s">
        <v>1900</v>
      </c>
      <c r="G1113" s="6" t="s">
        <v>4543</v>
      </c>
      <c r="H1113" s="6" t="s">
        <v>4544</v>
      </c>
      <c r="I1113" s="6" t="n">
        <v>28</v>
      </c>
      <c r="J1113" s="6"/>
      <c r="K1113" s="6" t="s">
        <v>4545</v>
      </c>
      <c r="L1113" s="7"/>
      <c r="M1113" s="7"/>
    </row>
    <row r="1114" customFormat="false" ht="35.05" hidden="false" customHeight="false" outlineLevel="0" collapsed="false">
      <c r="A1114" s="6" t="s">
        <v>1898</v>
      </c>
      <c r="B1114" s="6" t="s">
        <v>123</v>
      </c>
      <c r="C1114" s="6" t="s">
        <v>1362</v>
      </c>
      <c r="D1114" s="6" t="s">
        <v>1330</v>
      </c>
      <c r="E1114" s="6"/>
      <c r="F1114" s="6" t="s">
        <v>1900</v>
      </c>
      <c r="G1114" s="6" t="s">
        <v>4546</v>
      </c>
      <c r="H1114" s="6" t="s">
        <v>4547</v>
      </c>
      <c r="I1114" s="6" t="n">
        <v>46</v>
      </c>
      <c r="J1114" s="6"/>
      <c r="K1114" s="6" t="s">
        <v>4548</v>
      </c>
      <c r="L1114" s="7"/>
      <c r="M1114" s="7"/>
    </row>
    <row r="1115" customFormat="false" ht="23.85" hidden="false" customHeight="false" outlineLevel="0" collapsed="false">
      <c r="A1115" s="6" t="s">
        <v>1901</v>
      </c>
      <c r="B1115" s="6" t="s">
        <v>123</v>
      </c>
      <c r="C1115" s="6" t="s">
        <v>1362</v>
      </c>
      <c r="D1115" s="6" t="s">
        <v>1330</v>
      </c>
      <c r="E1115" s="6"/>
      <c r="F1115" s="6" t="s">
        <v>1903</v>
      </c>
      <c r="G1115" s="6" t="s">
        <v>4537</v>
      </c>
      <c r="H1115" s="6" t="s">
        <v>4538</v>
      </c>
      <c r="I1115" s="6" t="n">
        <v>98</v>
      </c>
      <c r="J1115" s="6" t="s">
        <v>83</v>
      </c>
      <c r="K1115" s="6" t="s">
        <v>4539</v>
      </c>
      <c r="L1115" s="7"/>
      <c r="M1115" s="7"/>
    </row>
    <row r="1116" customFormat="false" ht="23.85" hidden="false" customHeight="false" outlineLevel="0" collapsed="false">
      <c r="A1116" s="6" t="s">
        <v>1901</v>
      </c>
      <c r="B1116" s="6" t="s">
        <v>123</v>
      </c>
      <c r="C1116" s="6" t="s">
        <v>1362</v>
      </c>
      <c r="D1116" s="6" t="s">
        <v>1330</v>
      </c>
      <c r="E1116" s="6"/>
      <c r="F1116" s="6" t="s">
        <v>1903</v>
      </c>
      <c r="G1116" s="6" t="s">
        <v>4540</v>
      </c>
      <c r="H1116" s="6" t="s">
        <v>4541</v>
      </c>
      <c r="I1116" s="6" t="n">
        <v>38</v>
      </c>
      <c r="J1116" s="6"/>
      <c r="K1116" s="6" t="s">
        <v>4542</v>
      </c>
      <c r="L1116" s="7"/>
      <c r="M1116" s="7"/>
    </row>
    <row r="1117" customFormat="false" ht="23.85" hidden="false" customHeight="false" outlineLevel="0" collapsed="false">
      <c r="A1117" s="6" t="s">
        <v>1901</v>
      </c>
      <c r="B1117" s="6" t="s">
        <v>123</v>
      </c>
      <c r="C1117" s="6" t="s">
        <v>1362</v>
      </c>
      <c r="D1117" s="6" t="s">
        <v>1330</v>
      </c>
      <c r="E1117" s="6"/>
      <c r="F1117" s="6" t="s">
        <v>1903</v>
      </c>
      <c r="G1117" s="6" t="s">
        <v>4543</v>
      </c>
      <c r="H1117" s="6" t="s">
        <v>4544</v>
      </c>
      <c r="I1117" s="6" t="n">
        <v>28</v>
      </c>
      <c r="J1117" s="6"/>
      <c r="K1117" s="6" t="s">
        <v>4545</v>
      </c>
      <c r="L1117" s="7"/>
      <c r="M1117" s="7"/>
    </row>
    <row r="1118" customFormat="false" ht="35.05" hidden="false" customHeight="false" outlineLevel="0" collapsed="false">
      <c r="A1118" s="6" t="s">
        <v>1901</v>
      </c>
      <c r="B1118" s="6" t="s">
        <v>123</v>
      </c>
      <c r="C1118" s="6" t="s">
        <v>1362</v>
      </c>
      <c r="D1118" s="6" t="s">
        <v>1330</v>
      </c>
      <c r="E1118" s="6"/>
      <c r="F1118" s="6" t="s">
        <v>1903</v>
      </c>
      <c r="G1118" s="6" t="s">
        <v>4546</v>
      </c>
      <c r="H1118" s="6" t="s">
        <v>4547</v>
      </c>
      <c r="I1118" s="6" t="n">
        <v>46</v>
      </c>
      <c r="J1118" s="6"/>
      <c r="K1118" s="6" t="s">
        <v>4548</v>
      </c>
      <c r="L1118" s="7"/>
      <c r="M1118" s="7"/>
    </row>
    <row r="1119" customFormat="false" ht="23.85" hidden="false" customHeight="false" outlineLevel="0" collapsed="false">
      <c r="A1119" s="6" t="s">
        <v>1904</v>
      </c>
      <c r="B1119" s="6" t="s">
        <v>123</v>
      </c>
      <c r="C1119" s="6" t="s">
        <v>1362</v>
      </c>
      <c r="D1119" s="6" t="s">
        <v>1330</v>
      </c>
      <c r="E1119" s="6"/>
      <c r="F1119" s="6" t="s">
        <v>1906</v>
      </c>
      <c r="G1119" s="6" t="s">
        <v>4537</v>
      </c>
      <c r="H1119" s="6" t="s">
        <v>4538</v>
      </c>
      <c r="I1119" s="6" t="n">
        <v>98</v>
      </c>
      <c r="J1119" s="6" t="s">
        <v>83</v>
      </c>
      <c r="K1119" s="6" t="s">
        <v>4539</v>
      </c>
      <c r="L1119" s="7"/>
      <c r="M1119" s="7"/>
    </row>
    <row r="1120" customFormat="false" ht="23.85" hidden="false" customHeight="false" outlineLevel="0" collapsed="false">
      <c r="A1120" s="6" t="s">
        <v>1904</v>
      </c>
      <c r="B1120" s="6" t="s">
        <v>123</v>
      </c>
      <c r="C1120" s="6" t="s">
        <v>1362</v>
      </c>
      <c r="D1120" s="6" t="s">
        <v>1330</v>
      </c>
      <c r="E1120" s="6"/>
      <c r="F1120" s="6" t="s">
        <v>1906</v>
      </c>
      <c r="G1120" s="6" t="s">
        <v>4540</v>
      </c>
      <c r="H1120" s="6" t="s">
        <v>4541</v>
      </c>
      <c r="I1120" s="6" t="n">
        <v>38</v>
      </c>
      <c r="J1120" s="6"/>
      <c r="K1120" s="6" t="s">
        <v>4542</v>
      </c>
      <c r="L1120" s="7"/>
      <c r="M1120" s="7"/>
    </row>
    <row r="1121" customFormat="false" ht="23.85" hidden="false" customHeight="false" outlineLevel="0" collapsed="false">
      <c r="A1121" s="6" t="s">
        <v>1904</v>
      </c>
      <c r="B1121" s="6" t="s">
        <v>123</v>
      </c>
      <c r="C1121" s="6" t="s">
        <v>1362</v>
      </c>
      <c r="D1121" s="6" t="s">
        <v>1330</v>
      </c>
      <c r="E1121" s="6"/>
      <c r="F1121" s="6" t="s">
        <v>1906</v>
      </c>
      <c r="G1121" s="6" t="s">
        <v>4543</v>
      </c>
      <c r="H1121" s="6" t="s">
        <v>4544</v>
      </c>
      <c r="I1121" s="6" t="n">
        <v>28</v>
      </c>
      <c r="J1121" s="6"/>
      <c r="K1121" s="6" t="s">
        <v>4545</v>
      </c>
      <c r="L1121" s="7"/>
      <c r="M1121" s="7"/>
    </row>
    <row r="1122" customFormat="false" ht="35.05" hidden="false" customHeight="false" outlineLevel="0" collapsed="false">
      <c r="A1122" s="6" t="s">
        <v>1904</v>
      </c>
      <c r="B1122" s="6" t="s">
        <v>123</v>
      </c>
      <c r="C1122" s="6" t="s">
        <v>1362</v>
      </c>
      <c r="D1122" s="6" t="s">
        <v>1330</v>
      </c>
      <c r="E1122" s="6"/>
      <c r="F1122" s="6" t="s">
        <v>1906</v>
      </c>
      <c r="G1122" s="6" t="s">
        <v>4546</v>
      </c>
      <c r="H1122" s="6" t="s">
        <v>4547</v>
      </c>
      <c r="I1122" s="6" t="n">
        <v>46</v>
      </c>
      <c r="J1122" s="6"/>
      <c r="K1122" s="6" t="s">
        <v>4548</v>
      </c>
      <c r="L1122" s="7"/>
      <c r="M1122" s="7"/>
    </row>
    <row r="1123" customFormat="false" ht="23.85" hidden="false" customHeight="false" outlineLevel="0" collapsed="false">
      <c r="A1123" s="6" t="s">
        <v>1907</v>
      </c>
      <c r="B1123" s="6" t="s">
        <v>123</v>
      </c>
      <c r="C1123" s="6" t="s">
        <v>1362</v>
      </c>
      <c r="D1123" s="6" t="s">
        <v>1330</v>
      </c>
      <c r="E1123" s="6"/>
      <c r="F1123" s="6" t="s">
        <v>1909</v>
      </c>
      <c r="G1123" s="6" t="s">
        <v>4537</v>
      </c>
      <c r="H1123" s="6" t="s">
        <v>4538</v>
      </c>
      <c r="I1123" s="6" t="n">
        <v>98</v>
      </c>
      <c r="J1123" s="6" t="s">
        <v>83</v>
      </c>
      <c r="K1123" s="6" t="s">
        <v>4539</v>
      </c>
      <c r="L1123" s="7"/>
      <c r="M1123" s="7"/>
    </row>
    <row r="1124" customFormat="false" ht="23.85" hidden="false" customHeight="false" outlineLevel="0" collapsed="false">
      <c r="A1124" s="6" t="s">
        <v>1907</v>
      </c>
      <c r="B1124" s="6" t="s">
        <v>123</v>
      </c>
      <c r="C1124" s="6" t="s">
        <v>1362</v>
      </c>
      <c r="D1124" s="6" t="s">
        <v>1330</v>
      </c>
      <c r="E1124" s="6"/>
      <c r="F1124" s="6" t="s">
        <v>1909</v>
      </c>
      <c r="G1124" s="6" t="s">
        <v>4540</v>
      </c>
      <c r="H1124" s="6" t="s">
        <v>4541</v>
      </c>
      <c r="I1124" s="6" t="n">
        <v>38</v>
      </c>
      <c r="J1124" s="6"/>
      <c r="K1124" s="6" t="s">
        <v>4542</v>
      </c>
      <c r="L1124" s="7"/>
      <c r="M1124" s="7"/>
    </row>
    <row r="1125" customFormat="false" ht="23.85" hidden="false" customHeight="false" outlineLevel="0" collapsed="false">
      <c r="A1125" s="6" t="s">
        <v>1907</v>
      </c>
      <c r="B1125" s="6" t="s">
        <v>123</v>
      </c>
      <c r="C1125" s="6" t="s">
        <v>1362</v>
      </c>
      <c r="D1125" s="6" t="s">
        <v>1330</v>
      </c>
      <c r="E1125" s="6"/>
      <c r="F1125" s="6" t="s">
        <v>1909</v>
      </c>
      <c r="G1125" s="6" t="s">
        <v>4543</v>
      </c>
      <c r="H1125" s="6" t="s">
        <v>4544</v>
      </c>
      <c r="I1125" s="6" t="n">
        <v>28</v>
      </c>
      <c r="J1125" s="6"/>
      <c r="K1125" s="6" t="s">
        <v>4545</v>
      </c>
      <c r="L1125" s="7"/>
      <c r="M1125" s="7"/>
    </row>
    <row r="1126" customFormat="false" ht="35.05" hidden="false" customHeight="false" outlineLevel="0" collapsed="false">
      <c r="A1126" s="6" t="s">
        <v>1907</v>
      </c>
      <c r="B1126" s="6" t="s">
        <v>123</v>
      </c>
      <c r="C1126" s="6" t="s">
        <v>1362</v>
      </c>
      <c r="D1126" s="6" t="s">
        <v>1330</v>
      </c>
      <c r="E1126" s="6"/>
      <c r="F1126" s="6" t="s">
        <v>1909</v>
      </c>
      <c r="G1126" s="6" t="s">
        <v>4546</v>
      </c>
      <c r="H1126" s="6" t="s">
        <v>4547</v>
      </c>
      <c r="I1126" s="6" t="n">
        <v>46</v>
      </c>
      <c r="J1126" s="6"/>
      <c r="K1126" s="6" t="s">
        <v>4548</v>
      </c>
      <c r="L1126" s="7"/>
      <c r="M1126" s="7"/>
    </row>
    <row r="1127" customFormat="false" ht="35.05" hidden="false" customHeight="false" outlineLevel="0" collapsed="false">
      <c r="A1127" s="6" t="s">
        <v>1910</v>
      </c>
      <c r="B1127" s="6" t="s">
        <v>123</v>
      </c>
      <c r="C1127" s="6" t="s">
        <v>1362</v>
      </c>
      <c r="D1127" s="6" t="s">
        <v>1330</v>
      </c>
      <c r="E1127" s="6"/>
      <c r="F1127" s="6" t="s">
        <v>1879</v>
      </c>
      <c r="G1127" s="6" t="s">
        <v>4537</v>
      </c>
      <c r="H1127" s="6" t="s">
        <v>4549</v>
      </c>
      <c r="I1127" s="6" t="n">
        <v>98</v>
      </c>
      <c r="J1127" s="6" t="s">
        <v>83</v>
      </c>
      <c r="K1127" s="6" t="s">
        <v>4550</v>
      </c>
      <c r="L1127" s="7"/>
      <c r="M1127" s="7"/>
    </row>
    <row r="1128" customFormat="false" ht="23.85" hidden="false" customHeight="false" outlineLevel="0" collapsed="false">
      <c r="A1128" s="6" t="s">
        <v>1910</v>
      </c>
      <c r="B1128" s="6" t="s">
        <v>123</v>
      </c>
      <c r="C1128" s="6" t="s">
        <v>1362</v>
      </c>
      <c r="D1128" s="6" t="s">
        <v>1330</v>
      </c>
      <c r="E1128" s="6"/>
      <c r="F1128" s="6" t="s">
        <v>1879</v>
      </c>
      <c r="G1128" s="6" t="s">
        <v>4540</v>
      </c>
      <c r="H1128" s="6" t="s">
        <v>4541</v>
      </c>
      <c r="I1128" s="6" t="n">
        <v>38</v>
      </c>
      <c r="J1128" s="6"/>
      <c r="K1128" s="6" t="s">
        <v>4542</v>
      </c>
      <c r="L1128" s="7"/>
      <c r="M1128" s="7"/>
    </row>
    <row r="1129" customFormat="false" ht="23.85" hidden="false" customHeight="false" outlineLevel="0" collapsed="false">
      <c r="A1129" s="6" t="s">
        <v>1910</v>
      </c>
      <c r="B1129" s="6" t="s">
        <v>123</v>
      </c>
      <c r="C1129" s="6" t="s">
        <v>1362</v>
      </c>
      <c r="D1129" s="6" t="s">
        <v>1330</v>
      </c>
      <c r="E1129" s="6"/>
      <c r="F1129" s="6" t="s">
        <v>1879</v>
      </c>
      <c r="G1129" s="6" t="s">
        <v>4543</v>
      </c>
      <c r="H1129" s="6" t="s">
        <v>4544</v>
      </c>
      <c r="I1129" s="6" t="n">
        <v>28</v>
      </c>
      <c r="J1129" s="6"/>
      <c r="K1129" s="6" t="s">
        <v>4545</v>
      </c>
      <c r="L1129" s="7"/>
      <c r="M1129" s="7"/>
    </row>
    <row r="1130" customFormat="false" ht="35.05" hidden="false" customHeight="false" outlineLevel="0" collapsed="false">
      <c r="A1130" s="6" t="s">
        <v>1910</v>
      </c>
      <c r="B1130" s="6" t="s">
        <v>123</v>
      </c>
      <c r="C1130" s="6" t="s">
        <v>1362</v>
      </c>
      <c r="D1130" s="6" t="s">
        <v>1330</v>
      </c>
      <c r="E1130" s="6"/>
      <c r="F1130" s="6" t="s">
        <v>1879</v>
      </c>
      <c r="G1130" s="6" t="s">
        <v>4546</v>
      </c>
      <c r="H1130" s="6" t="s">
        <v>4547</v>
      </c>
      <c r="I1130" s="6" t="n">
        <v>46</v>
      </c>
      <c r="J1130" s="6"/>
      <c r="K1130" s="6" t="s">
        <v>4548</v>
      </c>
      <c r="L1130" s="7"/>
      <c r="M1130" s="7"/>
    </row>
    <row r="1131" customFormat="false" ht="35.05" hidden="false" customHeight="false" outlineLevel="0" collapsed="false">
      <c r="A1131" s="6" t="s">
        <v>1916</v>
      </c>
      <c r="B1131" s="6" t="s">
        <v>123</v>
      </c>
      <c r="C1131" s="6" t="s">
        <v>1362</v>
      </c>
      <c r="D1131" s="6" t="s">
        <v>1330</v>
      </c>
      <c r="E1131" s="6"/>
      <c r="F1131" s="6" t="s">
        <v>1885</v>
      </c>
      <c r="G1131" s="6" t="s">
        <v>4537</v>
      </c>
      <c r="H1131" s="6" t="s">
        <v>4549</v>
      </c>
      <c r="I1131" s="6" t="n">
        <v>98</v>
      </c>
      <c r="J1131" s="6" t="s">
        <v>83</v>
      </c>
      <c r="K1131" s="6" t="s">
        <v>4550</v>
      </c>
      <c r="L1131" s="7"/>
      <c r="M1131" s="7"/>
    </row>
    <row r="1132" customFormat="false" ht="23.85" hidden="false" customHeight="false" outlineLevel="0" collapsed="false">
      <c r="A1132" s="6" t="s">
        <v>1916</v>
      </c>
      <c r="B1132" s="6" t="s">
        <v>123</v>
      </c>
      <c r="C1132" s="6" t="s">
        <v>1362</v>
      </c>
      <c r="D1132" s="6" t="s">
        <v>1330</v>
      </c>
      <c r="E1132" s="6"/>
      <c r="F1132" s="6" t="s">
        <v>1885</v>
      </c>
      <c r="G1132" s="6" t="s">
        <v>4540</v>
      </c>
      <c r="H1132" s="6" t="s">
        <v>4541</v>
      </c>
      <c r="I1132" s="6" t="n">
        <v>38</v>
      </c>
      <c r="J1132" s="6"/>
      <c r="K1132" s="6" t="s">
        <v>4542</v>
      </c>
      <c r="L1132" s="7"/>
      <c r="M1132" s="7"/>
    </row>
    <row r="1133" customFormat="false" ht="23.85" hidden="false" customHeight="false" outlineLevel="0" collapsed="false">
      <c r="A1133" s="6" t="s">
        <v>1916</v>
      </c>
      <c r="B1133" s="6" t="s">
        <v>123</v>
      </c>
      <c r="C1133" s="6" t="s">
        <v>1362</v>
      </c>
      <c r="D1133" s="6" t="s">
        <v>1330</v>
      </c>
      <c r="E1133" s="6"/>
      <c r="F1133" s="6" t="s">
        <v>1885</v>
      </c>
      <c r="G1133" s="6" t="s">
        <v>4543</v>
      </c>
      <c r="H1133" s="6" t="s">
        <v>4544</v>
      </c>
      <c r="I1133" s="6" t="n">
        <v>28</v>
      </c>
      <c r="J1133" s="6"/>
      <c r="K1133" s="6" t="s">
        <v>4545</v>
      </c>
      <c r="L1133" s="7"/>
      <c r="M1133" s="7"/>
    </row>
    <row r="1134" customFormat="false" ht="35.05" hidden="false" customHeight="false" outlineLevel="0" collapsed="false">
      <c r="A1134" s="6" t="s">
        <v>1916</v>
      </c>
      <c r="B1134" s="6" t="s">
        <v>123</v>
      </c>
      <c r="C1134" s="6" t="s">
        <v>1362</v>
      </c>
      <c r="D1134" s="6" t="s">
        <v>1330</v>
      </c>
      <c r="E1134" s="6"/>
      <c r="F1134" s="6" t="s">
        <v>1885</v>
      </c>
      <c r="G1134" s="6" t="s">
        <v>4546</v>
      </c>
      <c r="H1134" s="6" t="s">
        <v>4547</v>
      </c>
      <c r="I1134" s="6" t="n">
        <v>46</v>
      </c>
      <c r="J1134" s="6"/>
      <c r="K1134" s="6" t="s">
        <v>4548</v>
      </c>
      <c r="L1134" s="7"/>
      <c r="M1134" s="7"/>
    </row>
    <row r="1135" customFormat="false" ht="35.05" hidden="false" customHeight="false" outlineLevel="0" collapsed="false">
      <c r="A1135" s="6" t="s">
        <v>1918</v>
      </c>
      <c r="B1135" s="6" t="s">
        <v>123</v>
      </c>
      <c r="C1135" s="6" t="s">
        <v>1362</v>
      </c>
      <c r="D1135" s="6" t="s">
        <v>1330</v>
      </c>
      <c r="E1135" s="6"/>
      <c r="F1135" s="6" t="s">
        <v>1888</v>
      </c>
      <c r="G1135" s="6" t="s">
        <v>4537</v>
      </c>
      <c r="H1135" s="6" t="s">
        <v>4549</v>
      </c>
      <c r="I1135" s="6" t="n">
        <v>98</v>
      </c>
      <c r="J1135" s="6" t="s">
        <v>83</v>
      </c>
      <c r="K1135" s="6" t="s">
        <v>4550</v>
      </c>
      <c r="L1135" s="7"/>
      <c r="M1135" s="7"/>
    </row>
    <row r="1136" customFormat="false" ht="23.85" hidden="false" customHeight="false" outlineLevel="0" collapsed="false">
      <c r="A1136" s="6" t="s">
        <v>1918</v>
      </c>
      <c r="B1136" s="6" t="s">
        <v>123</v>
      </c>
      <c r="C1136" s="6" t="s">
        <v>1362</v>
      </c>
      <c r="D1136" s="6" t="s">
        <v>1330</v>
      </c>
      <c r="E1136" s="6"/>
      <c r="F1136" s="6" t="s">
        <v>1888</v>
      </c>
      <c r="G1136" s="6" t="s">
        <v>4540</v>
      </c>
      <c r="H1136" s="6" t="s">
        <v>4541</v>
      </c>
      <c r="I1136" s="6" t="n">
        <v>38</v>
      </c>
      <c r="J1136" s="6"/>
      <c r="K1136" s="6" t="s">
        <v>4542</v>
      </c>
      <c r="L1136" s="7"/>
      <c r="M1136" s="7"/>
    </row>
    <row r="1137" customFormat="false" ht="23.85" hidden="false" customHeight="false" outlineLevel="0" collapsed="false">
      <c r="A1137" s="6" t="s">
        <v>1918</v>
      </c>
      <c r="B1137" s="6" t="s">
        <v>123</v>
      </c>
      <c r="C1137" s="6" t="s">
        <v>1362</v>
      </c>
      <c r="D1137" s="6" t="s">
        <v>1330</v>
      </c>
      <c r="E1137" s="6"/>
      <c r="F1137" s="6" t="s">
        <v>1888</v>
      </c>
      <c r="G1137" s="6" t="s">
        <v>4543</v>
      </c>
      <c r="H1137" s="6" t="s">
        <v>4544</v>
      </c>
      <c r="I1137" s="6" t="n">
        <v>28</v>
      </c>
      <c r="J1137" s="6"/>
      <c r="K1137" s="6" t="s">
        <v>4545</v>
      </c>
      <c r="L1137" s="7"/>
      <c r="M1137" s="7"/>
    </row>
    <row r="1138" customFormat="false" ht="35.05" hidden="false" customHeight="false" outlineLevel="0" collapsed="false">
      <c r="A1138" s="6" t="s">
        <v>1918</v>
      </c>
      <c r="B1138" s="6" t="s">
        <v>123</v>
      </c>
      <c r="C1138" s="6" t="s">
        <v>1362</v>
      </c>
      <c r="D1138" s="6" t="s">
        <v>1330</v>
      </c>
      <c r="E1138" s="6"/>
      <c r="F1138" s="6" t="s">
        <v>1888</v>
      </c>
      <c r="G1138" s="6" t="s">
        <v>4546</v>
      </c>
      <c r="H1138" s="6" t="s">
        <v>4547</v>
      </c>
      <c r="I1138" s="6" t="n">
        <v>46</v>
      </c>
      <c r="J1138" s="6"/>
      <c r="K1138" s="6" t="s">
        <v>4548</v>
      </c>
      <c r="L1138" s="7"/>
      <c r="M1138" s="7"/>
    </row>
    <row r="1139" customFormat="false" ht="35.05" hidden="false" customHeight="false" outlineLevel="0" collapsed="false">
      <c r="A1139" s="6" t="s">
        <v>1920</v>
      </c>
      <c r="B1139" s="6" t="s">
        <v>123</v>
      </c>
      <c r="C1139" s="6" t="s">
        <v>1362</v>
      </c>
      <c r="D1139" s="6" t="s">
        <v>1330</v>
      </c>
      <c r="E1139" s="6"/>
      <c r="F1139" s="6" t="s">
        <v>1891</v>
      </c>
      <c r="G1139" s="6" t="s">
        <v>4537</v>
      </c>
      <c r="H1139" s="6" t="s">
        <v>4549</v>
      </c>
      <c r="I1139" s="6" t="n">
        <v>98</v>
      </c>
      <c r="J1139" s="6" t="s">
        <v>83</v>
      </c>
      <c r="K1139" s="6" t="s">
        <v>4550</v>
      </c>
      <c r="L1139" s="7"/>
      <c r="M1139" s="7"/>
    </row>
    <row r="1140" customFormat="false" ht="23.85" hidden="false" customHeight="false" outlineLevel="0" collapsed="false">
      <c r="A1140" s="6" t="s">
        <v>1920</v>
      </c>
      <c r="B1140" s="6" t="s">
        <v>123</v>
      </c>
      <c r="C1140" s="6" t="s">
        <v>1362</v>
      </c>
      <c r="D1140" s="6" t="s">
        <v>1330</v>
      </c>
      <c r="E1140" s="6"/>
      <c r="F1140" s="6" t="s">
        <v>1891</v>
      </c>
      <c r="G1140" s="6" t="s">
        <v>4540</v>
      </c>
      <c r="H1140" s="6" t="s">
        <v>4541</v>
      </c>
      <c r="I1140" s="6" t="n">
        <v>38</v>
      </c>
      <c r="J1140" s="6"/>
      <c r="K1140" s="6" t="s">
        <v>4542</v>
      </c>
      <c r="L1140" s="7"/>
      <c r="M1140" s="7"/>
    </row>
    <row r="1141" customFormat="false" ht="23.85" hidden="false" customHeight="false" outlineLevel="0" collapsed="false">
      <c r="A1141" s="6" t="s">
        <v>1920</v>
      </c>
      <c r="B1141" s="6" t="s">
        <v>123</v>
      </c>
      <c r="C1141" s="6" t="s">
        <v>1362</v>
      </c>
      <c r="D1141" s="6" t="s">
        <v>1330</v>
      </c>
      <c r="E1141" s="6"/>
      <c r="F1141" s="6" t="s">
        <v>1891</v>
      </c>
      <c r="G1141" s="6" t="s">
        <v>4543</v>
      </c>
      <c r="H1141" s="6" t="s">
        <v>4544</v>
      </c>
      <c r="I1141" s="6" t="n">
        <v>28</v>
      </c>
      <c r="J1141" s="6"/>
      <c r="K1141" s="6" t="s">
        <v>4545</v>
      </c>
      <c r="L1141" s="7"/>
      <c r="M1141" s="7"/>
    </row>
    <row r="1142" customFormat="false" ht="35.05" hidden="false" customHeight="false" outlineLevel="0" collapsed="false">
      <c r="A1142" s="6" t="s">
        <v>1920</v>
      </c>
      <c r="B1142" s="6" t="s">
        <v>123</v>
      </c>
      <c r="C1142" s="6" t="s">
        <v>1362</v>
      </c>
      <c r="D1142" s="6" t="s">
        <v>1330</v>
      </c>
      <c r="E1142" s="6"/>
      <c r="F1142" s="6" t="s">
        <v>1891</v>
      </c>
      <c r="G1142" s="6" t="s">
        <v>4546</v>
      </c>
      <c r="H1142" s="6" t="s">
        <v>4547</v>
      </c>
      <c r="I1142" s="6" t="n">
        <v>46</v>
      </c>
      <c r="J1142" s="6"/>
      <c r="K1142" s="6" t="s">
        <v>4548</v>
      </c>
      <c r="L1142" s="7"/>
      <c r="M1142" s="7"/>
    </row>
    <row r="1143" customFormat="false" ht="35.05" hidden="false" customHeight="false" outlineLevel="0" collapsed="false">
      <c r="A1143" s="6" t="s">
        <v>1922</v>
      </c>
      <c r="B1143" s="6" t="s">
        <v>123</v>
      </c>
      <c r="C1143" s="6" t="s">
        <v>1362</v>
      </c>
      <c r="D1143" s="6" t="s">
        <v>1330</v>
      </c>
      <c r="E1143" s="6"/>
      <c r="F1143" s="6" t="s">
        <v>1894</v>
      </c>
      <c r="G1143" s="6" t="s">
        <v>4537</v>
      </c>
      <c r="H1143" s="6" t="s">
        <v>4549</v>
      </c>
      <c r="I1143" s="6" t="n">
        <v>98</v>
      </c>
      <c r="J1143" s="6" t="s">
        <v>83</v>
      </c>
      <c r="K1143" s="6" t="s">
        <v>4550</v>
      </c>
      <c r="L1143" s="7"/>
      <c r="M1143" s="7"/>
    </row>
    <row r="1144" customFormat="false" ht="23.85" hidden="false" customHeight="false" outlineLevel="0" collapsed="false">
      <c r="A1144" s="6" t="s">
        <v>1922</v>
      </c>
      <c r="B1144" s="6" t="s">
        <v>123</v>
      </c>
      <c r="C1144" s="6" t="s">
        <v>1362</v>
      </c>
      <c r="D1144" s="6" t="s">
        <v>1330</v>
      </c>
      <c r="E1144" s="6"/>
      <c r="F1144" s="6" t="s">
        <v>1894</v>
      </c>
      <c r="G1144" s="6" t="s">
        <v>4540</v>
      </c>
      <c r="H1144" s="6" t="s">
        <v>4541</v>
      </c>
      <c r="I1144" s="6" t="n">
        <v>38</v>
      </c>
      <c r="J1144" s="6"/>
      <c r="K1144" s="6" t="s">
        <v>4542</v>
      </c>
      <c r="L1144" s="7"/>
      <c r="M1144" s="7"/>
    </row>
    <row r="1145" customFormat="false" ht="23.85" hidden="false" customHeight="false" outlineLevel="0" collapsed="false">
      <c r="A1145" s="6" t="s">
        <v>1922</v>
      </c>
      <c r="B1145" s="6" t="s">
        <v>123</v>
      </c>
      <c r="C1145" s="6" t="s">
        <v>1362</v>
      </c>
      <c r="D1145" s="6" t="s">
        <v>1330</v>
      </c>
      <c r="E1145" s="6"/>
      <c r="F1145" s="6" t="s">
        <v>1894</v>
      </c>
      <c r="G1145" s="6" t="s">
        <v>4543</v>
      </c>
      <c r="H1145" s="6" t="s">
        <v>4544</v>
      </c>
      <c r="I1145" s="6" t="n">
        <v>28</v>
      </c>
      <c r="J1145" s="6"/>
      <c r="K1145" s="6" t="s">
        <v>4545</v>
      </c>
      <c r="L1145" s="7"/>
      <c r="M1145" s="7"/>
    </row>
    <row r="1146" customFormat="false" ht="35.05" hidden="false" customHeight="false" outlineLevel="0" collapsed="false">
      <c r="A1146" s="6" t="s">
        <v>1922</v>
      </c>
      <c r="B1146" s="6" t="s">
        <v>123</v>
      </c>
      <c r="C1146" s="6" t="s">
        <v>1362</v>
      </c>
      <c r="D1146" s="6" t="s">
        <v>1330</v>
      </c>
      <c r="E1146" s="6"/>
      <c r="F1146" s="6" t="s">
        <v>1894</v>
      </c>
      <c r="G1146" s="6" t="s">
        <v>4546</v>
      </c>
      <c r="H1146" s="6" t="s">
        <v>4547</v>
      </c>
      <c r="I1146" s="6" t="n">
        <v>46</v>
      </c>
      <c r="J1146" s="6"/>
      <c r="K1146" s="6" t="s">
        <v>4548</v>
      </c>
      <c r="L1146" s="7"/>
      <c r="M1146" s="7"/>
    </row>
    <row r="1147" customFormat="false" ht="35.05" hidden="false" customHeight="false" outlineLevel="0" collapsed="false">
      <c r="A1147" s="6" t="s">
        <v>1924</v>
      </c>
      <c r="B1147" s="6" t="s">
        <v>123</v>
      </c>
      <c r="C1147" s="6" t="s">
        <v>1362</v>
      </c>
      <c r="D1147" s="6" t="s">
        <v>1330</v>
      </c>
      <c r="E1147" s="6"/>
      <c r="F1147" s="6" t="s">
        <v>1897</v>
      </c>
      <c r="G1147" s="6" t="s">
        <v>4537</v>
      </c>
      <c r="H1147" s="6" t="s">
        <v>4549</v>
      </c>
      <c r="I1147" s="6" t="n">
        <v>98</v>
      </c>
      <c r="J1147" s="6" t="s">
        <v>83</v>
      </c>
      <c r="K1147" s="6" t="s">
        <v>4550</v>
      </c>
      <c r="L1147" s="7"/>
      <c r="M1147" s="7"/>
    </row>
    <row r="1148" customFormat="false" ht="23.85" hidden="false" customHeight="false" outlineLevel="0" collapsed="false">
      <c r="A1148" s="6" t="s">
        <v>1924</v>
      </c>
      <c r="B1148" s="6" t="s">
        <v>123</v>
      </c>
      <c r="C1148" s="6" t="s">
        <v>1362</v>
      </c>
      <c r="D1148" s="6" t="s">
        <v>1330</v>
      </c>
      <c r="E1148" s="6"/>
      <c r="F1148" s="6" t="s">
        <v>1897</v>
      </c>
      <c r="G1148" s="6" t="s">
        <v>4540</v>
      </c>
      <c r="H1148" s="6" t="s">
        <v>4541</v>
      </c>
      <c r="I1148" s="6" t="n">
        <v>38</v>
      </c>
      <c r="J1148" s="6"/>
      <c r="K1148" s="6" t="s">
        <v>4542</v>
      </c>
      <c r="L1148" s="7"/>
      <c r="M1148" s="7"/>
    </row>
    <row r="1149" customFormat="false" ht="23.85" hidden="false" customHeight="false" outlineLevel="0" collapsed="false">
      <c r="A1149" s="6" t="s">
        <v>1924</v>
      </c>
      <c r="B1149" s="6" t="s">
        <v>123</v>
      </c>
      <c r="C1149" s="6" t="s">
        <v>1362</v>
      </c>
      <c r="D1149" s="6" t="s">
        <v>1330</v>
      </c>
      <c r="E1149" s="6"/>
      <c r="F1149" s="6" t="s">
        <v>1897</v>
      </c>
      <c r="G1149" s="6" t="s">
        <v>4543</v>
      </c>
      <c r="H1149" s="6" t="s">
        <v>4544</v>
      </c>
      <c r="I1149" s="6" t="n">
        <v>28</v>
      </c>
      <c r="J1149" s="6"/>
      <c r="K1149" s="6" t="s">
        <v>4545</v>
      </c>
      <c r="L1149" s="7"/>
      <c r="M1149" s="7"/>
    </row>
    <row r="1150" customFormat="false" ht="35.05" hidden="false" customHeight="false" outlineLevel="0" collapsed="false">
      <c r="A1150" s="6" t="s">
        <v>1924</v>
      </c>
      <c r="B1150" s="6" t="s">
        <v>123</v>
      </c>
      <c r="C1150" s="6" t="s">
        <v>1362</v>
      </c>
      <c r="D1150" s="6" t="s">
        <v>1330</v>
      </c>
      <c r="E1150" s="6"/>
      <c r="F1150" s="6" t="s">
        <v>1897</v>
      </c>
      <c r="G1150" s="6" t="s">
        <v>4546</v>
      </c>
      <c r="H1150" s="6" t="s">
        <v>4547</v>
      </c>
      <c r="I1150" s="6" t="n">
        <v>46</v>
      </c>
      <c r="J1150" s="6"/>
      <c r="K1150" s="6" t="s">
        <v>4548</v>
      </c>
      <c r="L1150" s="7"/>
      <c r="M1150" s="7"/>
    </row>
    <row r="1151" customFormat="false" ht="35.05" hidden="false" customHeight="false" outlineLevel="0" collapsed="false">
      <c r="A1151" s="6" t="s">
        <v>1926</v>
      </c>
      <c r="B1151" s="6" t="s">
        <v>123</v>
      </c>
      <c r="C1151" s="6" t="s">
        <v>1362</v>
      </c>
      <c r="D1151" s="6" t="s">
        <v>1330</v>
      </c>
      <c r="E1151" s="6"/>
      <c r="F1151" s="6" t="s">
        <v>1900</v>
      </c>
      <c r="G1151" s="6" t="s">
        <v>4537</v>
      </c>
      <c r="H1151" s="6" t="s">
        <v>4549</v>
      </c>
      <c r="I1151" s="6" t="n">
        <v>98</v>
      </c>
      <c r="J1151" s="6" t="s">
        <v>83</v>
      </c>
      <c r="K1151" s="6" t="s">
        <v>4550</v>
      </c>
      <c r="L1151" s="7"/>
      <c r="M1151" s="7"/>
    </row>
    <row r="1152" customFormat="false" ht="23.85" hidden="false" customHeight="false" outlineLevel="0" collapsed="false">
      <c r="A1152" s="6" t="s">
        <v>1926</v>
      </c>
      <c r="B1152" s="6" t="s">
        <v>123</v>
      </c>
      <c r="C1152" s="6" t="s">
        <v>1362</v>
      </c>
      <c r="D1152" s="6" t="s">
        <v>1330</v>
      </c>
      <c r="E1152" s="6"/>
      <c r="F1152" s="6" t="s">
        <v>1900</v>
      </c>
      <c r="G1152" s="6" t="s">
        <v>4540</v>
      </c>
      <c r="H1152" s="6" t="s">
        <v>4541</v>
      </c>
      <c r="I1152" s="6" t="n">
        <v>38</v>
      </c>
      <c r="J1152" s="6"/>
      <c r="K1152" s="6" t="s">
        <v>4542</v>
      </c>
      <c r="L1152" s="7"/>
      <c r="M1152" s="7"/>
    </row>
    <row r="1153" customFormat="false" ht="23.85" hidden="false" customHeight="false" outlineLevel="0" collapsed="false">
      <c r="A1153" s="6" t="s">
        <v>1926</v>
      </c>
      <c r="B1153" s="6" t="s">
        <v>123</v>
      </c>
      <c r="C1153" s="6" t="s">
        <v>1362</v>
      </c>
      <c r="D1153" s="6" t="s">
        <v>1330</v>
      </c>
      <c r="E1153" s="6"/>
      <c r="F1153" s="6" t="s">
        <v>1900</v>
      </c>
      <c r="G1153" s="6" t="s">
        <v>4543</v>
      </c>
      <c r="H1153" s="6" t="s">
        <v>4544</v>
      </c>
      <c r="I1153" s="6" t="n">
        <v>28</v>
      </c>
      <c r="J1153" s="6"/>
      <c r="K1153" s="6" t="s">
        <v>4545</v>
      </c>
      <c r="L1153" s="7"/>
      <c r="M1153" s="7"/>
    </row>
    <row r="1154" customFormat="false" ht="35.05" hidden="false" customHeight="false" outlineLevel="0" collapsed="false">
      <c r="A1154" s="6" t="s">
        <v>1926</v>
      </c>
      <c r="B1154" s="6" t="s">
        <v>123</v>
      </c>
      <c r="C1154" s="6" t="s">
        <v>1362</v>
      </c>
      <c r="D1154" s="6" t="s">
        <v>1330</v>
      </c>
      <c r="E1154" s="6"/>
      <c r="F1154" s="6" t="s">
        <v>1900</v>
      </c>
      <c r="G1154" s="6" t="s">
        <v>4546</v>
      </c>
      <c r="H1154" s="6" t="s">
        <v>4547</v>
      </c>
      <c r="I1154" s="6" t="n">
        <v>46</v>
      </c>
      <c r="J1154" s="6"/>
      <c r="K1154" s="6" t="s">
        <v>4548</v>
      </c>
      <c r="L1154" s="7"/>
      <c r="M1154" s="7"/>
    </row>
    <row r="1155" customFormat="false" ht="35.05" hidden="false" customHeight="false" outlineLevel="0" collapsed="false">
      <c r="A1155" s="6" t="s">
        <v>1928</v>
      </c>
      <c r="B1155" s="6" t="s">
        <v>123</v>
      </c>
      <c r="C1155" s="6" t="s">
        <v>1362</v>
      </c>
      <c r="D1155" s="6" t="s">
        <v>1330</v>
      </c>
      <c r="E1155" s="6"/>
      <c r="F1155" s="6" t="s">
        <v>1903</v>
      </c>
      <c r="G1155" s="6" t="s">
        <v>4537</v>
      </c>
      <c r="H1155" s="6" t="s">
        <v>4549</v>
      </c>
      <c r="I1155" s="6" t="n">
        <v>98</v>
      </c>
      <c r="J1155" s="6" t="s">
        <v>83</v>
      </c>
      <c r="K1155" s="6" t="s">
        <v>4550</v>
      </c>
      <c r="L1155" s="7"/>
      <c r="M1155" s="7"/>
    </row>
    <row r="1156" customFormat="false" ht="23.85" hidden="false" customHeight="false" outlineLevel="0" collapsed="false">
      <c r="A1156" s="6" t="s">
        <v>1928</v>
      </c>
      <c r="B1156" s="6" t="s">
        <v>123</v>
      </c>
      <c r="C1156" s="6" t="s">
        <v>1362</v>
      </c>
      <c r="D1156" s="6" t="s">
        <v>1330</v>
      </c>
      <c r="E1156" s="6"/>
      <c r="F1156" s="6" t="s">
        <v>1903</v>
      </c>
      <c r="G1156" s="6" t="s">
        <v>4540</v>
      </c>
      <c r="H1156" s="6" t="s">
        <v>4541</v>
      </c>
      <c r="I1156" s="6" t="n">
        <v>38</v>
      </c>
      <c r="J1156" s="6"/>
      <c r="K1156" s="6" t="s">
        <v>4542</v>
      </c>
      <c r="L1156" s="7"/>
      <c r="M1156" s="7"/>
    </row>
    <row r="1157" customFormat="false" ht="23.85" hidden="false" customHeight="false" outlineLevel="0" collapsed="false">
      <c r="A1157" s="6" t="s">
        <v>1928</v>
      </c>
      <c r="B1157" s="6" t="s">
        <v>123</v>
      </c>
      <c r="C1157" s="6" t="s">
        <v>1362</v>
      </c>
      <c r="D1157" s="6" t="s">
        <v>1330</v>
      </c>
      <c r="E1157" s="6"/>
      <c r="F1157" s="6" t="s">
        <v>1903</v>
      </c>
      <c r="G1157" s="6" t="s">
        <v>4543</v>
      </c>
      <c r="H1157" s="6" t="s">
        <v>4544</v>
      </c>
      <c r="I1157" s="6" t="n">
        <v>28</v>
      </c>
      <c r="J1157" s="6"/>
      <c r="K1157" s="6" t="s">
        <v>4545</v>
      </c>
      <c r="L1157" s="7"/>
      <c r="M1157" s="7"/>
    </row>
    <row r="1158" customFormat="false" ht="35.05" hidden="false" customHeight="false" outlineLevel="0" collapsed="false">
      <c r="A1158" s="6" t="s">
        <v>1928</v>
      </c>
      <c r="B1158" s="6" t="s">
        <v>123</v>
      </c>
      <c r="C1158" s="6" t="s">
        <v>1362</v>
      </c>
      <c r="D1158" s="6" t="s">
        <v>1330</v>
      </c>
      <c r="E1158" s="6"/>
      <c r="F1158" s="6" t="s">
        <v>1903</v>
      </c>
      <c r="G1158" s="6" t="s">
        <v>4546</v>
      </c>
      <c r="H1158" s="6" t="s">
        <v>4547</v>
      </c>
      <c r="I1158" s="6" t="n">
        <v>46</v>
      </c>
      <c r="J1158" s="6"/>
      <c r="K1158" s="6" t="s">
        <v>4548</v>
      </c>
      <c r="L1158" s="7"/>
      <c r="M1158" s="7"/>
    </row>
    <row r="1159" customFormat="false" ht="35.05" hidden="false" customHeight="false" outlineLevel="0" collapsed="false">
      <c r="A1159" s="6" t="s">
        <v>1930</v>
      </c>
      <c r="B1159" s="6" t="s">
        <v>123</v>
      </c>
      <c r="C1159" s="6" t="s">
        <v>1362</v>
      </c>
      <c r="D1159" s="6" t="s">
        <v>1330</v>
      </c>
      <c r="E1159" s="6"/>
      <c r="F1159" s="6" t="s">
        <v>1906</v>
      </c>
      <c r="G1159" s="6" t="s">
        <v>4537</v>
      </c>
      <c r="H1159" s="6" t="s">
        <v>4549</v>
      </c>
      <c r="I1159" s="6" t="n">
        <v>98</v>
      </c>
      <c r="J1159" s="6" t="s">
        <v>83</v>
      </c>
      <c r="K1159" s="6" t="s">
        <v>4550</v>
      </c>
      <c r="L1159" s="7"/>
      <c r="M1159" s="7"/>
    </row>
    <row r="1160" customFormat="false" ht="23.85" hidden="false" customHeight="false" outlineLevel="0" collapsed="false">
      <c r="A1160" s="6" t="s">
        <v>1930</v>
      </c>
      <c r="B1160" s="6" t="s">
        <v>123</v>
      </c>
      <c r="C1160" s="6" t="s">
        <v>1362</v>
      </c>
      <c r="D1160" s="6" t="s">
        <v>1330</v>
      </c>
      <c r="E1160" s="6"/>
      <c r="F1160" s="6" t="s">
        <v>1906</v>
      </c>
      <c r="G1160" s="6" t="s">
        <v>4540</v>
      </c>
      <c r="H1160" s="6" t="s">
        <v>4541</v>
      </c>
      <c r="I1160" s="6" t="n">
        <v>38</v>
      </c>
      <c r="J1160" s="6"/>
      <c r="K1160" s="6" t="s">
        <v>4542</v>
      </c>
      <c r="L1160" s="7"/>
      <c r="M1160" s="7"/>
    </row>
    <row r="1161" customFormat="false" ht="23.85" hidden="false" customHeight="false" outlineLevel="0" collapsed="false">
      <c r="A1161" s="6" t="s">
        <v>1930</v>
      </c>
      <c r="B1161" s="6" t="s">
        <v>123</v>
      </c>
      <c r="C1161" s="6" t="s">
        <v>1362</v>
      </c>
      <c r="D1161" s="6" t="s">
        <v>1330</v>
      </c>
      <c r="E1161" s="6"/>
      <c r="F1161" s="6" t="s">
        <v>1906</v>
      </c>
      <c r="G1161" s="6" t="s">
        <v>4543</v>
      </c>
      <c r="H1161" s="6" t="s">
        <v>4544</v>
      </c>
      <c r="I1161" s="6" t="n">
        <v>28</v>
      </c>
      <c r="J1161" s="6"/>
      <c r="K1161" s="6" t="s">
        <v>4545</v>
      </c>
      <c r="L1161" s="7"/>
      <c r="M1161" s="7"/>
    </row>
    <row r="1162" customFormat="false" ht="35.05" hidden="false" customHeight="false" outlineLevel="0" collapsed="false">
      <c r="A1162" s="6" t="s">
        <v>1930</v>
      </c>
      <c r="B1162" s="6" t="s">
        <v>123</v>
      </c>
      <c r="C1162" s="6" t="s">
        <v>1362</v>
      </c>
      <c r="D1162" s="6" t="s">
        <v>1330</v>
      </c>
      <c r="E1162" s="6"/>
      <c r="F1162" s="6" t="s">
        <v>1906</v>
      </c>
      <c r="G1162" s="6" t="s">
        <v>4546</v>
      </c>
      <c r="H1162" s="6" t="s">
        <v>4547</v>
      </c>
      <c r="I1162" s="6" t="n">
        <v>46</v>
      </c>
      <c r="J1162" s="6"/>
      <c r="K1162" s="6" t="s">
        <v>4548</v>
      </c>
      <c r="L1162" s="7"/>
      <c r="M1162" s="7"/>
    </row>
    <row r="1163" customFormat="false" ht="35.05" hidden="false" customHeight="false" outlineLevel="0" collapsed="false">
      <c r="A1163" s="6" t="s">
        <v>1932</v>
      </c>
      <c r="B1163" s="6" t="s">
        <v>123</v>
      </c>
      <c r="C1163" s="6" t="s">
        <v>1362</v>
      </c>
      <c r="D1163" s="6" t="s">
        <v>1330</v>
      </c>
      <c r="E1163" s="6"/>
      <c r="F1163" s="6" t="s">
        <v>1909</v>
      </c>
      <c r="G1163" s="6" t="s">
        <v>4537</v>
      </c>
      <c r="H1163" s="6" t="s">
        <v>4549</v>
      </c>
      <c r="I1163" s="6" t="n">
        <v>98</v>
      </c>
      <c r="J1163" s="6" t="s">
        <v>83</v>
      </c>
      <c r="K1163" s="6" t="s">
        <v>4550</v>
      </c>
      <c r="L1163" s="7"/>
      <c r="M1163" s="7"/>
    </row>
    <row r="1164" customFormat="false" ht="23.85" hidden="false" customHeight="false" outlineLevel="0" collapsed="false">
      <c r="A1164" s="6" t="s">
        <v>1932</v>
      </c>
      <c r="B1164" s="6" t="s">
        <v>123</v>
      </c>
      <c r="C1164" s="6" t="s">
        <v>1362</v>
      </c>
      <c r="D1164" s="6" t="s">
        <v>1330</v>
      </c>
      <c r="E1164" s="6"/>
      <c r="F1164" s="6" t="s">
        <v>1909</v>
      </c>
      <c r="G1164" s="6" t="s">
        <v>4540</v>
      </c>
      <c r="H1164" s="6" t="s">
        <v>4541</v>
      </c>
      <c r="I1164" s="6" t="n">
        <v>38</v>
      </c>
      <c r="J1164" s="6"/>
      <c r="K1164" s="6" t="s">
        <v>4542</v>
      </c>
      <c r="L1164" s="7"/>
      <c r="M1164" s="7"/>
    </row>
    <row r="1165" customFormat="false" ht="23.85" hidden="false" customHeight="false" outlineLevel="0" collapsed="false">
      <c r="A1165" s="6" t="s">
        <v>1932</v>
      </c>
      <c r="B1165" s="6" t="s">
        <v>123</v>
      </c>
      <c r="C1165" s="6" t="s">
        <v>1362</v>
      </c>
      <c r="D1165" s="6" t="s">
        <v>1330</v>
      </c>
      <c r="E1165" s="6"/>
      <c r="F1165" s="6" t="s">
        <v>1909</v>
      </c>
      <c r="G1165" s="6" t="s">
        <v>4543</v>
      </c>
      <c r="H1165" s="6" t="s">
        <v>4544</v>
      </c>
      <c r="I1165" s="6" t="n">
        <v>28</v>
      </c>
      <c r="J1165" s="6"/>
      <c r="K1165" s="6" t="s">
        <v>4545</v>
      </c>
      <c r="L1165" s="7"/>
      <c r="M1165" s="7"/>
    </row>
    <row r="1166" customFormat="false" ht="35.05" hidden="false" customHeight="false" outlineLevel="0" collapsed="false">
      <c r="A1166" s="6" t="s">
        <v>1932</v>
      </c>
      <c r="B1166" s="6" t="s">
        <v>123</v>
      </c>
      <c r="C1166" s="6" t="s">
        <v>1362</v>
      </c>
      <c r="D1166" s="6" t="s">
        <v>1330</v>
      </c>
      <c r="E1166" s="6"/>
      <c r="F1166" s="6" t="s">
        <v>1909</v>
      </c>
      <c r="G1166" s="6" t="s">
        <v>4546</v>
      </c>
      <c r="H1166" s="6" t="s">
        <v>4547</v>
      </c>
      <c r="I1166" s="6" t="n">
        <v>46</v>
      </c>
      <c r="J1166" s="6"/>
      <c r="K1166" s="6" t="s">
        <v>4548</v>
      </c>
      <c r="L1166" s="7"/>
      <c r="M1166" s="7"/>
    </row>
    <row r="1167" customFormat="false" ht="23.85" hidden="false" customHeight="false" outlineLevel="0" collapsed="false">
      <c r="A1167" s="6" t="s">
        <v>1934</v>
      </c>
      <c r="B1167" s="6" t="s">
        <v>123</v>
      </c>
      <c r="C1167" s="6" t="s">
        <v>1362</v>
      </c>
      <c r="D1167" s="6" t="s">
        <v>1330</v>
      </c>
      <c r="E1167" s="6"/>
      <c r="F1167" s="6" t="s">
        <v>1879</v>
      </c>
      <c r="G1167" s="6" t="s">
        <v>4537</v>
      </c>
      <c r="H1167" s="6" t="s">
        <v>4551</v>
      </c>
      <c r="I1167" s="6" t="n">
        <v>98</v>
      </c>
      <c r="J1167" s="6" t="s">
        <v>83</v>
      </c>
      <c r="K1167" s="6" t="s">
        <v>4552</v>
      </c>
      <c r="L1167" s="7"/>
      <c r="M1167" s="7"/>
    </row>
    <row r="1168" customFormat="false" ht="23.85" hidden="false" customHeight="false" outlineLevel="0" collapsed="false">
      <c r="A1168" s="6" t="s">
        <v>1934</v>
      </c>
      <c r="B1168" s="6" t="s">
        <v>123</v>
      </c>
      <c r="C1168" s="6" t="s">
        <v>1362</v>
      </c>
      <c r="D1168" s="6" t="s">
        <v>1330</v>
      </c>
      <c r="E1168" s="6"/>
      <c r="F1168" s="6" t="s">
        <v>1879</v>
      </c>
      <c r="G1168" s="6" t="s">
        <v>4540</v>
      </c>
      <c r="H1168" s="6" t="s">
        <v>4541</v>
      </c>
      <c r="I1168" s="6" t="n">
        <v>38</v>
      </c>
      <c r="J1168" s="6"/>
      <c r="K1168" s="6" t="s">
        <v>4542</v>
      </c>
      <c r="L1168" s="7"/>
      <c r="M1168" s="7"/>
    </row>
    <row r="1169" customFormat="false" ht="23.85" hidden="false" customHeight="false" outlineLevel="0" collapsed="false">
      <c r="A1169" s="6" t="s">
        <v>1934</v>
      </c>
      <c r="B1169" s="6" t="s">
        <v>123</v>
      </c>
      <c r="C1169" s="6" t="s">
        <v>1362</v>
      </c>
      <c r="D1169" s="6" t="s">
        <v>1330</v>
      </c>
      <c r="E1169" s="6"/>
      <c r="F1169" s="6" t="s">
        <v>1879</v>
      </c>
      <c r="G1169" s="6" t="s">
        <v>4543</v>
      </c>
      <c r="H1169" s="6" t="s">
        <v>4544</v>
      </c>
      <c r="I1169" s="6" t="n">
        <v>28</v>
      </c>
      <c r="J1169" s="6"/>
      <c r="K1169" s="6" t="s">
        <v>4545</v>
      </c>
      <c r="L1169" s="7"/>
      <c r="M1169" s="7"/>
    </row>
    <row r="1170" customFormat="false" ht="35.05" hidden="false" customHeight="false" outlineLevel="0" collapsed="false">
      <c r="A1170" s="6" t="s">
        <v>1934</v>
      </c>
      <c r="B1170" s="6" t="s">
        <v>123</v>
      </c>
      <c r="C1170" s="6" t="s">
        <v>1362</v>
      </c>
      <c r="D1170" s="6" t="s">
        <v>1330</v>
      </c>
      <c r="E1170" s="6"/>
      <c r="F1170" s="6" t="s">
        <v>1879</v>
      </c>
      <c r="G1170" s="6" t="s">
        <v>4546</v>
      </c>
      <c r="H1170" s="6" t="s">
        <v>4547</v>
      </c>
      <c r="I1170" s="6" t="n">
        <v>46</v>
      </c>
      <c r="J1170" s="6"/>
      <c r="K1170" s="6" t="s">
        <v>4548</v>
      </c>
      <c r="L1170" s="7"/>
      <c r="M1170" s="7"/>
    </row>
    <row r="1171" customFormat="false" ht="23.85" hidden="false" customHeight="false" outlineLevel="0" collapsed="false">
      <c r="A1171" s="6" t="s">
        <v>1940</v>
      </c>
      <c r="B1171" s="6" t="s">
        <v>123</v>
      </c>
      <c r="C1171" s="6" t="s">
        <v>1362</v>
      </c>
      <c r="D1171" s="6" t="s">
        <v>1330</v>
      </c>
      <c r="E1171" s="6"/>
      <c r="F1171" s="6" t="s">
        <v>1885</v>
      </c>
      <c r="G1171" s="6" t="s">
        <v>4537</v>
      </c>
      <c r="H1171" s="6" t="s">
        <v>4551</v>
      </c>
      <c r="I1171" s="6" t="n">
        <v>98</v>
      </c>
      <c r="J1171" s="6" t="s">
        <v>83</v>
      </c>
      <c r="K1171" s="6" t="s">
        <v>4552</v>
      </c>
      <c r="L1171" s="7"/>
      <c r="M1171" s="7"/>
    </row>
    <row r="1172" customFormat="false" ht="23.85" hidden="false" customHeight="false" outlineLevel="0" collapsed="false">
      <c r="A1172" s="6" t="s">
        <v>1940</v>
      </c>
      <c r="B1172" s="6" t="s">
        <v>123</v>
      </c>
      <c r="C1172" s="6" t="s">
        <v>1362</v>
      </c>
      <c r="D1172" s="6" t="s">
        <v>1330</v>
      </c>
      <c r="E1172" s="6"/>
      <c r="F1172" s="6" t="s">
        <v>1885</v>
      </c>
      <c r="G1172" s="6" t="s">
        <v>4540</v>
      </c>
      <c r="H1172" s="6" t="s">
        <v>4541</v>
      </c>
      <c r="I1172" s="6" t="n">
        <v>38</v>
      </c>
      <c r="J1172" s="6"/>
      <c r="K1172" s="6" t="s">
        <v>4542</v>
      </c>
      <c r="L1172" s="7"/>
      <c r="M1172" s="7"/>
    </row>
    <row r="1173" customFormat="false" ht="23.85" hidden="false" customHeight="false" outlineLevel="0" collapsed="false">
      <c r="A1173" s="6" t="s">
        <v>1940</v>
      </c>
      <c r="B1173" s="6" t="s">
        <v>123</v>
      </c>
      <c r="C1173" s="6" t="s">
        <v>1362</v>
      </c>
      <c r="D1173" s="6" t="s">
        <v>1330</v>
      </c>
      <c r="E1173" s="6"/>
      <c r="F1173" s="6" t="s">
        <v>1885</v>
      </c>
      <c r="G1173" s="6" t="s">
        <v>4543</v>
      </c>
      <c r="H1173" s="6" t="s">
        <v>4544</v>
      </c>
      <c r="I1173" s="6" t="n">
        <v>28</v>
      </c>
      <c r="J1173" s="6"/>
      <c r="K1173" s="6" t="s">
        <v>4545</v>
      </c>
      <c r="L1173" s="7"/>
      <c r="M1173" s="7"/>
    </row>
    <row r="1174" customFormat="false" ht="35.05" hidden="false" customHeight="false" outlineLevel="0" collapsed="false">
      <c r="A1174" s="6" t="s">
        <v>1940</v>
      </c>
      <c r="B1174" s="6" t="s">
        <v>123</v>
      </c>
      <c r="C1174" s="6" t="s">
        <v>1362</v>
      </c>
      <c r="D1174" s="6" t="s">
        <v>1330</v>
      </c>
      <c r="E1174" s="6"/>
      <c r="F1174" s="6" t="s">
        <v>1885</v>
      </c>
      <c r="G1174" s="6" t="s">
        <v>4546</v>
      </c>
      <c r="H1174" s="6" t="s">
        <v>4547</v>
      </c>
      <c r="I1174" s="6" t="n">
        <v>46</v>
      </c>
      <c r="J1174" s="6"/>
      <c r="K1174" s="6" t="s">
        <v>4548</v>
      </c>
      <c r="L1174" s="7"/>
      <c r="M1174" s="7"/>
    </row>
    <row r="1175" customFormat="false" ht="23.85" hidden="false" customHeight="false" outlineLevel="0" collapsed="false">
      <c r="A1175" s="6" t="s">
        <v>1942</v>
      </c>
      <c r="B1175" s="6" t="s">
        <v>123</v>
      </c>
      <c r="C1175" s="6" t="s">
        <v>1362</v>
      </c>
      <c r="D1175" s="6" t="s">
        <v>1330</v>
      </c>
      <c r="E1175" s="6"/>
      <c r="F1175" s="6" t="s">
        <v>1888</v>
      </c>
      <c r="G1175" s="6" t="s">
        <v>4537</v>
      </c>
      <c r="H1175" s="6" t="s">
        <v>4551</v>
      </c>
      <c r="I1175" s="6" t="n">
        <v>98</v>
      </c>
      <c r="J1175" s="6" t="s">
        <v>83</v>
      </c>
      <c r="K1175" s="6" t="s">
        <v>4552</v>
      </c>
      <c r="L1175" s="7"/>
      <c r="M1175" s="7"/>
    </row>
    <row r="1176" customFormat="false" ht="23.85" hidden="false" customHeight="false" outlineLevel="0" collapsed="false">
      <c r="A1176" s="6" t="s">
        <v>1942</v>
      </c>
      <c r="B1176" s="6" t="s">
        <v>123</v>
      </c>
      <c r="C1176" s="6" t="s">
        <v>1362</v>
      </c>
      <c r="D1176" s="6" t="s">
        <v>1330</v>
      </c>
      <c r="E1176" s="6"/>
      <c r="F1176" s="6" t="s">
        <v>1888</v>
      </c>
      <c r="G1176" s="6" t="s">
        <v>4540</v>
      </c>
      <c r="H1176" s="6" t="s">
        <v>4541</v>
      </c>
      <c r="I1176" s="6" t="n">
        <v>38</v>
      </c>
      <c r="J1176" s="6"/>
      <c r="K1176" s="6" t="s">
        <v>4542</v>
      </c>
      <c r="L1176" s="7"/>
      <c r="M1176" s="7"/>
    </row>
    <row r="1177" customFormat="false" ht="23.85" hidden="false" customHeight="false" outlineLevel="0" collapsed="false">
      <c r="A1177" s="6" t="s">
        <v>1942</v>
      </c>
      <c r="B1177" s="6" t="s">
        <v>123</v>
      </c>
      <c r="C1177" s="6" t="s">
        <v>1362</v>
      </c>
      <c r="D1177" s="6" t="s">
        <v>1330</v>
      </c>
      <c r="E1177" s="6"/>
      <c r="F1177" s="6" t="s">
        <v>1888</v>
      </c>
      <c r="G1177" s="6" t="s">
        <v>4543</v>
      </c>
      <c r="H1177" s="6" t="s">
        <v>4544</v>
      </c>
      <c r="I1177" s="6" t="n">
        <v>28</v>
      </c>
      <c r="J1177" s="6"/>
      <c r="K1177" s="6" t="s">
        <v>4545</v>
      </c>
      <c r="L1177" s="7"/>
      <c r="M1177" s="7"/>
    </row>
    <row r="1178" customFormat="false" ht="35.05" hidden="false" customHeight="false" outlineLevel="0" collapsed="false">
      <c r="A1178" s="6" t="s">
        <v>1942</v>
      </c>
      <c r="B1178" s="6" t="s">
        <v>123</v>
      </c>
      <c r="C1178" s="6" t="s">
        <v>1362</v>
      </c>
      <c r="D1178" s="6" t="s">
        <v>1330</v>
      </c>
      <c r="E1178" s="6"/>
      <c r="F1178" s="6" t="s">
        <v>1888</v>
      </c>
      <c r="G1178" s="6" t="s">
        <v>4546</v>
      </c>
      <c r="H1178" s="6" t="s">
        <v>4547</v>
      </c>
      <c r="I1178" s="6" t="n">
        <v>46</v>
      </c>
      <c r="J1178" s="6"/>
      <c r="K1178" s="6" t="s">
        <v>4548</v>
      </c>
      <c r="L1178" s="7"/>
      <c r="M1178" s="7"/>
    </row>
    <row r="1179" customFormat="false" ht="23.85" hidden="false" customHeight="false" outlineLevel="0" collapsed="false">
      <c r="A1179" s="6" t="s">
        <v>1944</v>
      </c>
      <c r="B1179" s="6" t="s">
        <v>123</v>
      </c>
      <c r="C1179" s="6" t="s">
        <v>1362</v>
      </c>
      <c r="D1179" s="6" t="s">
        <v>1330</v>
      </c>
      <c r="E1179" s="6"/>
      <c r="F1179" s="6" t="s">
        <v>1891</v>
      </c>
      <c r="G1179" s="6" t="s">
        <v>4537</v>
      </c>
      <c r="H1179" s="6" t="s">
        <v>4551</v>
      </c>
      <c r="I1179" s="6" t="n">
        <v>98</v>
      </c>
      <c r="J1179" s="6" t="s">
        <v>83</v>
      </c>
      <c r="K1179" s="6" t="s">
        <v>4552</v>
      </c>
      <c r="L1179" s="7"/>
      <c r="M1179" s="7"/>
    </row>
    <row r="1180" customFormat="false" ht="23.85" hidden="false" customHeight="false" outlineLevel="0" collapsed="false">
      <c r="A1180" s="6" t="s">
        <v>1944</v>
      </c>
      <c r="B1180" s="6" t="s">
        <v>123</v>
      </c>
      <c r="C1180" s="6" t="s">
        <v>1362</v>
      </c>
      <c r="D1180" s="6" t="s">
        <v>1330</v>
      </c>
      <c r="E1180" s="6"/>
      <c r="F1180" s="6" t="s">
        <v>1891</v>
      </c>
      <c r="G1180" s="6" t="s">
        <v>4540</v>
      </c>
      <c r="H1180" s="6" t="s">
        <v>4541</v>
      </c>
      <c r="I1180" s="6" t="n">
        <v>38</v>
      </c>
      <c r="J1180" s="6"/>
      <c r="K1180" s="6" t="s">
        <v>4542</v>
      </c>
      <c r="L1180" s="7"/>
      <c r="M1180" s="7"/>
    </row>
    <row r="1181" customFormat="false" ht="23.85" hidden="false" customHeight="false" outlineLevel="0" collapsed="false">
      <c r="A1181" s="6" t="s">
        <v>1944</v>
      </c>
      <c r="B1181" s="6" t="s">
        <v>123</v>
      </c>
      <c r="C1181" s="6" t="s">
        <v>1362</v>
      </c>
      <c r="D1181" s="6" t="s">
        <v>1330</v>
      </c>
      <c r="E1181" s="6"/>
      <c r="F1181" s="6" t="s">
        <v>1891</v>
      </c>
      <c r="G1181" s="6" t="s">
        <v>4543</v>
      </c>
      <c r="H1181" s="6" t="s">
        <v>4544</v>
      </c>
      <c r="I1181" s="6" t="n">
        <v>28</v>
      </c>
      <c r="J1181" s="6"/>
      <c r="K1181" s="6" t="s">
        <v>4545</v>
      </c>
      <c r="L1181" s="7"/>
      <c r="M1181" s="7"/>
    </row>
    <row r="1182" customFormat="false" ht="35.05" hidden="false" customHeight="false" outlineLevel="0" collapsed="false">
      <c r="A1182" s="6" t="s">
        <v>1944</v>
      </c>
      <c r="B1182" s="6" t="s">
        <v>123</v>
      </c>
      <c r="C1182" s="6" t="s">
        <v>1362</v>
      </c>
      <c r="D1182" s="6" t="s">
        <v>1330</v>
      </c>
      <c r="E1182" s="6"/>
      <c r="F1182" s="6" t="s">
        <v>1891</v>
      </c>
      <c r="G1182" s="6" t="s">
        <v>4546</v>
      </c>
      <c r="H1182" s="6" t="s">
        <v>4547</v>
      </c>
      <c r="I1182" s="6" t="n">
        <v>46</v>
      </c>
      <c r="J1182" s="6"/>
      <c r="K1182" s="6" t="s">
        <v>4548</v>
      </c>
      <c r="L1182" s="7"/>
      <c r="M1182" s="7"/>
    </row>
    <row r="1183" customFormat="false" ht="23.85" hidden="false" customHeight="false" outlineLevel="0" collapsed="false">
      <c r="A1183" s="6" t="s">
        <v>1946</v>
      </c>
      <c r="B1183" s="6" t="s">
        <v>123</v>
      </c>
      <c r="C1183" s="6" t="s">
        <v>1362</v>
      </c>
      <c r="D1183" s="6" t="s">
        <v>1330</v>
      </c>
      <c r="E1183" s="6"/>
      <c r="F1183" s="6" t="s">
        <v>1894</v>
      </c>
      <c r="G1183" s="6" t="s">
        <v>4537</v>
      </c>
      <c r="H1183" s="6" t="s">
        <v>4551</v>
      </c>
      <c r="I1183" s="6" t="n">
        <v>98</v>
      </c>
      <c r="J1183" s="6" t="s">
        <v>83</v>
      </c>
      <c r="K1183" s="6" t="s">
        <v>4552</v>
      </c>
      <c r="L1183" s="7"/>
      <c r="M1183" s="7"/>
    </row>
    <row r="1184" customFormat="false" ht="23.85" hidden="false" customHeight="false" outlineLevel="0" collapsed="false">
      <c r="A1184" s="6" t="s">
        <v>1946</v>
      </c>
      <c r="B1184" s="6" t="s">
        <v>123</v>
      </c>
      <c r="C1184" s="6" t="s">
        <v>1362</v>
      </c>
      <c r="D1184" s="6" t="s">
        <v>1330</v>
      </c>
      <c r="E1184" s="6"/>
      <c r="F1184" s="6" t="s">
        <v>1894</v>
      </c>
      <c r="G1184" s="6" t="s">
        <v>4540</v>
      </c>
      <c r="H1184" s="6" t="s">
        <v>4541</v>
      </c>
      <c r="I1184" s="6" t="n">
        <v>38</v>
      </c>
      <c r="J1184" s="6"/>
      <c r="K1184" s="6" t="s">
        <v>4542</v>
      </c>
      <c r="L1184" s="7"/>
      <c r="M1184" s="7"/>
    </row>
    <row r="1185" customFormat="false" ht="23.85" hidden="false" customHeight="false" outlineLevel="0" collapsed="false">
      <c r="A1185" s="6" t="s">
        <v>1946</v>
      </c>
      <c r="B1185" s="6" t="s">
        <v>123</v>
      </c>
      <c r="C1185" s="6" t="s">
        <v>1362</v>
      </c>
      <c r="D1185" s="6" t="s">
        <v>1330</v>
      </c>
      <c r="E1185" s="6"/>
      <c r="F1185" s="6" t="s">
        <v>1894</v>
      </c>
      <c r="G1185" s="6" t="s">
        <v>4543</v>
      </c>
      <c r="H1185" s="6" t="s">
        <v>4544</v>
      </c>
      <c r="I1185" s="6" t="n">
        <v>28</v>
      </c>
      <c r="J1185" s="6"/>
      <c r="K1185" s="6" t="s">
        <v>4545</v>
      </c>
      <c r="L1185" s="7"/>
      <c r="M1185" s="7"/>
    </row>
    <row r="1186" customFormat="false" ht="35.05" hidden="false" customHeight="false" outlineLevel="0" collapsed="false">
      <c r="A1186" s="6" t="s">
        <v>1946</v>
      </c>
      <c r="B1186" s="6" t="s">
        <v>123</v>
      </c>
      <c r="C1186" s="6" t="s">
        <v>1362</v>
      </c>
      <c r="D1186" s="6" t="s">
        <v>1330</v>
      </c>
      <c r="E1186" s="6"/>
      <c r="F1186" s="6" t="s">
        <v>1894</v>
      </c>
      <c r="G1186" s="6" t="s">
        <v>4546</v>
      </c>
      <c r="H1186" s="6" t="s">
        <v>4547</v>
      </c>
      <c r="I1186" s="6" t="n">
        <v>46</v>
      </c>
      <c r="J1186" s="6"/>
      <c r="K1186" s="6" t="s">
        <v>4548</v>
      </c>
      <c r="L1186" s="7"/>
      <c r="M1186" s="7"/>
    </row>
    <row r="1187" customFormat="false" ht="23.85" hidden="false" customHeight="false" outlineLevel="0" collapsed="false">
      <c r="A1187" s="6" t="s">
        <v>1948</v>
      </c>
      <c r="B1187" s="6" t="s">
        <v>123</v>
      </c>
      <c r="C1187" s="6" t="s">
        <v>1362</v>
      </c>
      <c r="D1187" s="6" t="s">
        <v>1330</v>
      </c>
      <c r="E1187" s="6"/>
      <c r="F1187" s="6" t="s">
        <v>1897</v>
      </c>
      <c r="G1187" s="6" t="s">
        <v>4537</v>
      </c>
      <c r="H1187" s="6" t="s">
        <v>4551</v>
      </c>
      <c r="I1187" s="6" t="n">
        <v>98</v>
      </c>
      <c r="J1187" s="6" t="s">
        <v>83</v>
      </c>
      <c r="K1187" s="6" t="s">
        <v>4552</v>
      </c>
      <c r="L1187" s="7"/>
      <c r="M1187" s="7"/>
    </row>
    <row r="1188" customFormat="false" ht="23.85" hidden="false" customHeight="false" outlineLevel="0" collapsed="false">
      <c r="A1188" s="6" t="s">
        <v>1948</v>
      </c>
      <c r="B1188" s="6" t="s">
        <v>123</v>
      </c>
      <c r="C1188" s="6" t="s">
        <v>1362</v>
      </c>
      <c r="D1188" s="6" t="s">
        <v>1330</v>
      </c>
      <c r="E1188" s="6"/>
      <c r="F1188" s="6" t="s">
        <v>1897</v>
      </c>
      <c r="G1188" s="6" t="s">
        <v>4540</v>
      </c>
      <c r="H1188" s="6" t="s">
        <v>4541</v>
      </c>
      <c r="I1188" s="6" t="n">
        <v>38</v>
      </c>
      <c r="J1188" s="6"/>
      <c r="K1188" s="6" t="s">
        <v>4542</v>
      </c>
      <c r="L1188" s="7"/>
      <c r="M1188" s="7"/>
    </row>
    <row r="1189" customFormat="false" ht="23.85" hidden="false" customHeight="false" outlineLevel="0" collapsed="false">
      <c r="A1189" s="6" t="s">
        <v>1948</v>
      </c>
      <c r="B1189" s="6" t="s">
        <v>123</v>
      </c>
      <c r="C1189" s="6" t="s">
        <v>1362</v>
      </c>
      <c r="D1189" s="6" t="s">
        <v>1330</v>
      </c>
      <c r="E1189" s="6"/>
      <c r="F1189" s="6" t="s">
        <v>1897</v>
      </c>
      <c r="G1189" s="6" t="s">
        <v>4543</v>
      </c>
      <c r="H1189" s="6" t="s">
        <v>4544</v>
      </c>
      <c r="I1189" s="6" t="n">
        <v>28</v>
      </c>
      <c r="J1189" s="6"/>
      <c r="K1189" s="6" t="s">
        <v>4545</v>
      </c>
      <c r="L1189" s="7"/>
      <c r="M1189" s="7"/>
    </row>
    <row r="1190" customFormat="false" ht="35.05" hidden="false" customHeight="false" outlineLevel="0" collapsed="false">
      <c r="A1190" s="6" t="s">
        <v>1948</v>
      </c>
      <c r="B1190" s="6" t="s">
        <v>123</v>
      </c>
      <c r="C1190" s="6" t="s">
        <v>1362</v>
      </c>
      <c r="D1190" s="6" t="s">
        <v>1330</v>
      </c>
      <c r="E1190" s="6"/>
      <c r="F1190" s="6" t="s">
        <v>1897</v>
      </c>
      <c r="G1190" s="6" t="s">
        <v>4546</v>
      </c>
      <c r="H1190" s="6" t="s">
        <v>4547</v>
      </c>
      <c r="I1190" s="6" t="n">
        <v>46</v>
      </c>
      <c r="J1190" s="6"/>
      <c r="K1190" s="6" t="s">
        <v>4548</v>
      </c>
      <c r="L1190" s="7"/>
      <c r="M1190" s="7"/>
    </row>
    <row r="1191" customFormat="false" ht="23.85" hidden="false" customHeight="false" outlineLevel="0" collapsed="false">
      <c r="A1191" s="6" t="s">
        <v>1950</v>
      </c>
      <c r="B1191" s="6" t="s">
        <v>123</v>
      </c>
      <c r="C1191" s="6" t="s">
        <v>1362</v>
      </c>
      <c r="D1191" s="6" t="s">
        <v>1330</v>
      </c>
      <c r="E1191" s="6"/>
      <c r="F1191" s="6" t="s">
        <v>1900</v>
      </c>
      <c r="G1191" s="6" t="s">
        <v>4537</v>
      </c>
      <c r="H1191" s="6" t="s">
        <v>4551</v>
      </c>
      <c r="I1191" s="6" t="n">
        <v>98</v>
      </c>
      <c r="J1191" s="6" t="s">
        <v>83</v>
      </c>
      <c r="K1191" s="6" t="s">
        <v>4552</v>
      </c>
      <c r="L1191" s="7"/>
      <c r="M1191" s="7"/>
    </row>
    <row r="1192" customFormat="false" ht="23.85" hidden="false" customHeight="false" outlineLevel="0" collapsed="false">
      <c r="A1192" s="6" t="s">
        <v>1950</v>
      </c>
      <c r="B1192" s="6" t="s">
        <v>123</v>
      </c>
      <c r="C1192" s="6" t="s">
        <v>1362</v>
      </c>
      <c r="D1192" s="6" t="s">
        <v>1330</v>
      </c>
      <c r="E1192" s="6"/>
      <c r="F1192" s="6" t="s">
        <v>1900</v>
      </c>
      <c r="G1192" s="6" t="s">
        <v>4540</v>
      </c>
      <c r="H1192" s="6" t="s">
        <v>4541</v>
      </c>
      <c r="I1192" s="6" t="n">
        <v>38</v>
      </c>
      <c r="J1192" s="6"/>
      <c r="K1192" s="6" t="s">
        <v>4542</v>
      </c>
      <c r="L1192" s="7"/>
      <c r="M1192" s="7"/>
    </row>
    <row r="1193" customFormat="false" ht="23.85" hidden="false" customHeight="false" outlineLevel="0" collapsed="false">
      <c r="A1193" s="6" t="s">
        <v>1950</v>
      </c>
      <c r="B1193" s="6" t="s">
        <v>123</v>
      </c>
      <c r="C1193" s="6" t="s">
        <v>1362</v>
      </c>
      <c r="D1193" s="6" t="s">
        <v>1330</v>
      </c>
      <c r="E1193" s="6"/>
      <c r="F1193" s="6" t="s">
        <v>1900</v>
      </c>
      <c r="G1193" s="6" t="s">
        <v>4543</v>
      </c>
      <c r="H1193" s="6" t="s">
        <v>4544</v>
      </c>
      <c r="I1193" s="6" t="n">
        <v>28</v>
      </c>
      <c r="J1193" s="6"/>
      <c r="K1193" s="6" t="s">
        <v>4545</v>
      </c>
      <c r="L1193" s="7"/>
      <c r="M1193" s="7"/>
    </row>
    <row r="1194" customFormat="false" ht="35.05" hidden="false" customHeight="false" outlineLevel="0" collapsed="false">
      <c r="A1194" s="6" t="s">
        <v>1950</v>
      </c>
      <c r="B1194" s="6" t="s">
        <v>123</v>
      </c>
      <c r="C1194" s="6" t="s">
        <v>1362</v>
      </c>
      <c r="D1194" s="6" t="s">
        <v>1330</v>
      </c>
      <c r="E1194" s="6"/>
      <c r="F1194" s="6" t="s">
        <v>1900</v>
      </c>
      <c r="G1194" s="6" t="s">
        <v>4546</v>
      </c>
      <c r="H1194" s="6" t="s">
        <v>4547</v>
      </c>
      <c r="I1194" s="6" t="n">
        <v>46</v>
      </c>
      <c r="J1194" s="6"/>
      <c r="K1194" s="6" t="s">
        <v>4548</v>
      </c>
      <c r="L1194" s="7"/>
      <c r="M1194" s="7"/>
    </row>
    <row r="1195" customFormat="false" ht="23.85" hidden="false" customHeight="false" outlineLevel="0" collapsed="false">
      <c r="A1195" s="6" t="s">
        <v>1952</v>
      </c>
      <c r="B1195" s="6" t="s">
        <v>123</v>
      </c>
      <c r="C1195" s="6" t="s">
        <v>1362</v>
      </c>
      <c r="D1195" s="6" t="s">
        <v>1330</v>
      </c>
      <c r="E1195" s="6"/>
      <c r="F1195" s="6" t="s">
        <v>1903</v>
      </c>
      <c r="G1195" s="6" t="s">
        <v>4537</v>
      </c>
      <c r="H1195" s="6" t="s">
        <v>4551</v>
      </c>
      <c r="I1195" s="6" t="n">
        <v>98</v>
      </c>
      <c r="J1195" s="6" t="s">
        <v>83</v>
      </c>
      <c r="K1195" s="6" t="s">
        <v>4552</v>
      </c>
      <c r="L1195" s="7"/>
      <c r="M1195" s="7"/>
    </row>
    <row r="1196" customFormat="false" ht="23.85" hidden="false" customHeight="false" outlineLevel="0" collapsed="false">
      <c r="A1196" s="6" t="s">
        <v>1952</v>
      </c>
      <c r="B1196" s="6" t="s">
        <v>123</v>
      </c>
      <c r="C1196" s="6" t="s">
        <v>1362</v>
      </c>
      <c r="D1196" s="6" t="s">
        <v>1330</v>
      </c>
      <c r="E1196" s="6"/>
      <c r="F1196" s="6" t="s">
        <v>1903</v>
      </c>
      <c r="G1196" s="6" t="s">
        <v>4540</v>
      </c>
      <c r="H1196" s="6" t="s">
        <v>4541</v>
      </c>
      <c r="I1196" s="6" t="n">
        <v>38</v>
      </c>
      <c r="J1196" s="6"/>
      <c r="K1196" s="6" t="s">
        <v>4542</v>
      </c>
      <c r="L1196" s="7"/>
      <c r="M1196" s="7"/>
    </row>
    <row r="1197" customFormat="false" ht="23.85" hidden="false" customHeight="false" outlineLevel="0" collapsed="false">
      <c r="A1197" s="6" t="s">
        <v>1952</v>
      </c>
      <c r="B1197" s="6" t="s">
        <v>123</v>
      </c>
      <c r="C1197" s="6" t="s">
        <v>1362</v>
      </c>
      <c r="D1197" s="6" t="s">
        <v>1330</v>
      </c>
      <c r="E1197" s="6"/>
      <c r="F1197" s="6" t="s">
        <v>1903</v>
      </c>
      <c r="G1197" s="6" t="s">
        <v>4543</v>
      </c>
      <c r="H1197" s="6" t="s">
        <v>4544</v>
      </c>
      <c r="I1197" s="6" t="n">
        <v>28</v>
      </c>
      <c r="J1197" s="6"/>
      <c r="K1197" s="6" t="s">
        <v>4545</v>
      </c>
      <c r="L1197" s="7"/>
      <c r="M1197" s="7"/>
    </row>
    <row r="1198" customFormat="false" ht="35.05" hidden="false" customHeight="false" outlineLevel="0" collapsed="false">
      <c r="A1198" s="6" t="s">
        <v>1952</v>
      </c>
      <c r="B1198" s="6" t="s">
        <v>123</v>
      </c>
      <c r="C1198" s="6" t="s">
        <v>1362</v>
      </c>
      <c r="D1198" s="6" t="s">
        <v>1330</v>
      </c>
      <c r="E1198" s="6"/>
      <c r="F1198" s="6" t="s">
        <v>1903</v>
      </c>
      <c r="G1198" s="6" t="s">
        <v>4546</v>
      </c>
      <c r="H1198" s="6" t="s">
        <v>4547</v>
      </c>
      <c r="I1198" s="6" t="n">
        <v>46</v>
      </c>
      <c r="J1198" s="6"/>
      <c r="K1198" s="6" t="s">
        <v>4548</v>
      </c>
      <c r="L1198" s="7"/>
      <c r="M1198" s="7"/>
    </row>
    <row r="1199" customFormat="false" ht="23.85" hidden="false" customHeight="false" outlineLevel="0" collapsed="false">
      <c r="A1199" s="6" t="s">
        <v>1954</v>
      </c>
      <c r="B1199" s="6" t="s">
        <v>123</v>
      </c>
      <c r="C1199" s="6" t="s">
        <v>1362</v>
      </c>
      <c r="D1199" s="6" t="s">
        <v>1330</v>
      </c>
      <c r="E1199" s="6"/>
      <c r="F1199" s="6" t="s">
        <v>1906</v>
      </c>
      <c r="G1199" s="6" t="s">
        <v>4537</v>
      </c>
      <c r="H1199" s="6" t="s">
        <v>4551</v>
      </c>
      <c r="I1199" s="6" t="n">
        <v>98</v>
      </c>
      <c r="J1199" s="6" t="s">
        <v>83</v>
      </c>
      <c r="K1199" s="6" t="s">
        <v>4552</v>
      </c>
      <c r="L1199" s="7"/>
      <c r="M1199" s="7"/>
    </row>
    <row r="1200" customFormat="false" ht="23.85" hidden="false" customHeight="false" outlineLevel="0" collapsed="false">
      <c r="A1200" s="6" t="s">
        <v>1954</v>
      </c>
      <c r="B1200" s="6" t="s">
        <v>123</v>
      </c>
      <c r="C1200" s="6" t="s">
        <v>1362</v>
      </c>
      <c r="D1200" s="6" t="s">
        <v>1330</v>
      </c>
      <c r="E1200" s="6"/>
      <c r="F1200" s="6" t="s">
        <v>1906</v>
      </c>
      <c r="G1200" s="6" t="s">
        <v>4540</v>
      </c>
      <c r="H1200" s="6" t="s">
        <v>4541</v>
      </c>
      <c r="I1200" s="6" t="n">
        <v>38</v>
      </c>
      <c r="J1200" s="6"/>
      <c r="K1200" s="6" t="s">
        <v>4542</v>
      </c>
      <c r="L1200" s="7"/>
      <c r="M1200" s="7"/>
    </row>
    <row r="1201" customFormat="false" ht="23.85" hidden="false" customHeight="false" outlineLevel="0" collapsed="false">
      <c r="A1201" s="6" t="s">
        <v>1954</v>
      </c>
      <c r="B1201" s="6" t="s">
        <v>123</v>
      </c>
      <c r="C1201" s="6" t="s">
        <v>1362</v>
      </c>
      <c r="D1201" s="6" t="s">
        <v>1330</v>
      </c>
      <c r="E1201" s="6"/>
      <c r="F1201" s="6" t="s">
        <v>1906</v>
      </c>
      <c r="G1201" s="6" t="s">
        <v>4543</v>
      </c>
      <c r="H1201" s="6" t="s">
        <v>4544</v>
      </c>
      <c r="I1201" s="6" t="n">
        <v>28</v>
      </c>
      <c r="J1201" s="6"/>
      <c r="K1201" s="6" t="s">
        <v>4545</v>
      </c>
      <c r="L1201" s="7"/>
      <c r="M1201" s="7"/>
    </row>
    <row r="1202" customFormat="false" ht="35.05" hidden="false" customHeight="false" outlineLevel="0" collapsed="false">
      <c r="A1202" s="6" t="s">
        <v>1954</v>
      </c>
      <c r="B1202" s="6" t="s">
        <v>123</v>
      </c>
      <c r="C1202" s="6" t="s">
        <v>1362</v>
      </c>
      <c r="D1202" s="6" t="s">
        <v>1330</v>
      </c>
      <c r="E1202" s="6"/>
      <c r="F1202" s="6" t="s">
        <v>1906</v>
      </c>
      <c r="G1202" s="6" t="s">
        <v>4546</v>
      </c>
      <c r="H1202" s="6" t="s">
        <v>4547</v>
      </c>
      <c r="I1202" s="6" t="n">
        <v>46</v>
      </c>
      <c r="J1202" s="6"/>
      <c r="K1202" s="6" t="s">
        <v>4548</v>
      </c>
      <c r="L1202" s="7"/>
      <c r="M1202" s="7"/>
    </row>
    <row r="1203" customFormat="false" ht="23.85" hidden="false" customHeight="false" outlineLevel="0" collapsed="false">
      <c r="A1203" s="6" t="s">
        <v>1956</v>
      </c>
      <c r="B1203" s="6" t="s">
        <v>123</v>
      </c>
      <c r="C1203" s="6" t="s">
        <v>1362</v>
      </c>
      <c r="D1203" s="6" t="s">
        <v>1330</v>
      </c>
      <c r="E1203" s="6"/>
      <c r="F1203" s="6" t="s">
        <v>1909</v>
      </c>
      <c r="G1203" s="6" t="s">
        <v>4537</v>
      </c>
      <c r="H1203" s="6" t="s">
        <v>4551</v>
      </c>
      <c r="I1203" s="6" t="n">
        <v>98</v>
      </c>
      <c r="J1203" s="6" t="s">
        <v>83</v>
      </c>
      <c r="K1203" s="6" t="s">
        <v>4552</v>
      </c>
      <c r="L1203" s="7"/>
      <c r="M1203" s="7"/>
    </row>
    <row r="1204" customFormat="false" ht="23.85" hidden="false" customHeight="false" outlineLevel="0" collapsed="false">
      <c r="A1204" s="6" t="s">
        <v>1956</v>
      </c>
      <c r="B1204" s="6" t="s">
        <v>123</v>
      </c>
      <c r="C1204" s="6" t="s">
        <v>1362</v>
      </c>
      <c r="D1204" s="6" t="s">
        <v>1330</v>
      </c>
      <c r="E1204" s="6"/>
      <c r="F1204" s="6" t="s">
        <v>1909</v>
      </c>
      <c r="G1204" s="6" t="s">
        <v>4540</v>
      </c>
      <c r="H1204" s="6" t="s">
        <v>4541</v>
      </c>
      <c r="I1204" s="6" t="n">
        <v>38</v>
      </c>
      <c r="J1204" s="6"/>
      <c r="K1204" s="6" t="s">
        <v>4542</v>
      </c>
      <c r="L1204" s="7"/>
      <c r="M1204" s="7"/>
    </row>
    <row r="1205" customFormat="false" ht="23.85" hidden="false" customHeight="false" outlineLevel="0" collapsed="false">
      <c r="A1205" s="6" t="s">
        <v>1956</v>
      </c>
      <c r="B1205" s="6" t="s">
        <v>123</v>
      </c>
      <c r="C1205" s="6" t="s">
        <v>1362</v>
      </c>
      <c r="D1205" s="6" t="s">
        <v>1330</v>
      </c>
      <c r="E1205" s="6"/>
      <c r="F1205" s="6" t="s">
        <v>1909</v>
      </c>
      <c r="G1205" s="6" t="s">
        <v>4543</v>
      </c>
      <c r="H1205" s="6" t="s">
        <v>4544</v>
      </c>
      <c r="I1205" s="6" t="n">
        <v>28</v>
      </c>
      <c r="J1205" s="6"/>
      <c r="K1205" s="6" t="s">
        <v>4545</v>
      </c>
      <c r="L1205" s="7"/>
      <c r="M1205" s="7"/>
    </row>
    <row r="1206" customFormat="false" ht="35.05" hidden="false" customHeight="false" outlineLevel="0" collapsed="false">
      <c r="A1206" s="6" t="s">
        <v>1956</v>
      </c>
      <c r="B1206" s="6" t="s">
        <v>123</v>
      </c>
      <c r="C1206" s="6" t="s">
        <v>1362</v>
      </c>
      <c r="D1206" s="6" t="s">
        <v>1330</v>
      </c>
      <c r="E1206" s="6"/>
      <c r="F1206" s="6" t="s">
        <v>1909</v>
      </c>
      <c r="G1206" s="6" t="s">
        <v>4546</v>
      </c>
      <c r="H1206" s="6" t="s">
        <v>4547</v>
      </c>
      <c r="I1206" s="6" t="n">
        <v>46</v>
      </c>
      <c r="J1206" s="6"/>
      <c r="K1206" s="6" t="s">
        <v>4548</v>
      </c>
      <c r="L1206" s="7"/>
      <c r="M1206" s="7"/>
    </row>
    <row r="1207" customFormat="false" ht="23.85" hidden="false" customHeight="false" outlineLevel="0" collapsed="false">
      <c r="A1207" s="6" t="s">
        <v>1958</v>
      </c>
      <c r="B1207" s="6" t="s">
        <v>123</v>
      </c>
      <c r="C1207" s="6" t="s">
        <v>1362</v>
      </c>
      <c r="D1207" s="6" t="s">
        <v>1330</v>
      </c>
      <c r="E1207" s="6"/>
      <c r="F1207" s="6" t="s">
        <v>1879</v>
      </c>
      <c r="G1207" s="6" t="s">
        <v>4537</v>
      </c>
      <c r="H1207" s="6" t="s">
        <v>4553</v>
      </c>
      <c r="I1207" s="6" t="n">
        <v>98</v>
      </c>
      <c r="J1207" s="6" t="s">
        <v>83</v>
      </c>
      <c r="K1207" s="6" t="s">
        <v>4554</v>
      </c>
      <c r="L1207" s="7"/>
      <c r="M1207" s="7"/>
    </row>
    <row r="1208" customFormat="false" ht="23.85" hidden="false" customHeight="false" outlineLevel="0" collapsed="false">
      <c r="A1208" s="6" t="s">
        <v>1958</v>
      </c>
      <c r="B1208" s="6" t="s">
        <v>123</v>
      </c>
      <c r="C1208" s="6" t="s">
        <v>1362</v>
      </c>
      <c r="D1208" s="6" t="s">
        <v>1330</v>
      </c>
      <c r="E1208" s="6"/>
      <c r="F1208" s="6" t="s">
        <v>1879</v>
      </c>
      <c r="G1208" s="6" t="s">
        <v>4540</v>
      </c>
      <c r="H1208" s="6" t="s">
        <v>4541</v>
      </c>
      <c r="I1208" s="6" t="n">
        <v>38</v>
      </c>
      <c r="J1208" s="6"/>
      <c r="K1208" s="6" t="s">
        <v>4542</v>
      </c>
      <c r="L1208" s="7"/>
      <c r="M1208" s="7"/>
    </row>
    <row r="1209" customFormat="false" ht="23.85" hidden="false" customHeight="false" outlineLevel="0" collapsed="false">
      <c r="A1209" s="6" t="s">
        <v>1958</v>
      </c>
      <c r="B1209" s="6" t="s">
        <v>123</v>
      </c>
      <c r="C1209" s="6" t="s">
        <v>1362</v>
      </c>
      <c r="D1209" s="6" t="s">
        <v>1330</v>
      </c>
      <c r="E1209" s="6"/>
      <c r="F1209" s="6" t="s">
        <v>1879</v>
      </c>
      <c r="G1209" s="6" t="s">
        <v>4543</v>
      </c>
      <c r="H1209" s="6" t="s">
        <v>4544</v>
      </c>
      <c r="I1209" s="6" t="n">
        <v>28</v>
      </c>
      <c r="J1209" s="6"/>
      <c r="K1209" s="6" t="s">
        <v>4545</v>
      </c>
      <c r="L1209" s="7"/>
      <c r="M1209" s="7"/>
    </row>
    <row r="1210" customFormat="false" ht="35.05" hidden="false" customHeight="false" outlineLevel="0" collapsed="false">
      <c r="A1210" s="6" t="s">
        <v>1958</v>
      </c>
      <c r="B1210" s="6" t="s">
        <v>123</v>
      </c>
      <c r="C1210" s="6" t="s">
        <v>1362</v>
      </c>
      <c r="D1210" s="6" t="s">
        <v>1330</v>
      </c>
      <c r="E1210" s="6"/>
      <c r="F1210" s="6" t="s">
        <v>1879</v>
      </c>
      <c r="G1210" s="6" t="s">
        <v>4546</v>
      </c>
      <c r="H1210" s="6" t="s">
        <v>4547</v>
      </c>
      <c r="I1210" s="6" t="n">
        <v>46</v>
      </c>
      <c r="J1210" s="6"/>
      <c r="K1210" s="6" t="s">
        <v>4548</v>
      </c>
      <c r="L1210" s="7"/>
      <c r="M1210" s="7"/>
    </row>
    <row r="1211" customFormat="false" ht="23.85" hidden="false" customHeight="false" outlineLevel="0" collapsed="false">
      <c r="A1211" s="6" t="s">
        <v>1964</v>
      </c>
      <c r="B1211" s="6" t="s">
        <v>123</v>
      </c>
      <c r="C1211" s="6" t="s">
        <v>1362</v>
      </c>
      <c r="D1211" s="6" t="s">
        <v>1330</v>
      </c>
      <c r="E1211" s="6"/>
      <c r="F1211" s="6" t="s">
        <v>1885</v>
      </c>
      <c r="G1211" s="6" t="s">
        <v>4537</v>
      </c>
      <c r="H1211" s="6" t="s">
        <v>4553</v>
      </c>
      <c r="I1211" s="6" t="n">
        <v>98</v>
      </c>
      <c r="J1211" s="6" t="s">
        <v>83</v>
      </c>
      <c r="K1211" s="6" t="s">
        <v>4554</v>
      </c>
      <c r="L1211" s="7"/>
      <c r="M1211" s="7"/>
    </row>
    <row r="1212" customFormat="false" ht="23.85" hidden="false" customHeight="false" outlineLevel="0" collapsed="false">
      <c r="A1212" s="6" t="s">
        <v>1964</v>
      </c>
      <c r="B1212" s="6" t="s">
        <v>123</v>
      </c>
      <c r="C1212" s="6" t="s">
        <v>1362</v>
      </c>
      <c r="D1212" s="6" t="s">
        <v>1330</v>
      </c>
      <c r="E1212" s="6"/>
      <c r="F1212" s="6" t="s">
        <v>1885</v>
      </c>
      <c r="G1212" s="6" t="s">
        <v>4540</v>
      </c>
      <c r="H1212" s="6" t="s">
        <v>4541</v>
      </c>
      <c r="I1212" s="6" t="n">
        <v>38</v>
      </c>
      <c r="J1212" s="6"/>
      <c r="K1212" s="6" t="s">
        <v>4542</v>
      </c>
      <c r="L1212" s="7"/>
      <c r="M1212" s="7"/>
    </row>
    <row r="1213" customFormat="false" ht="23.85" hidden="false" customHeight="false" outlineLevel="0" collapsed="false">
      <c r="A1213" s="6" t="s">
        <v>1964</v>
      </c>
      <c r="B1213" s="6" t="s">
        <v>123</v>
      </c>
      <c r="C1213" s="6" t="s">
        <v>1362</v>
      </c>
      <c r="D1213" s="6" t="s">
        <v>1330</v>
      </c>
      <c r="E1213" s="6"/>
      <c r="F1213" s="6" t="s">
        <v>1885</v>
      </c>
      <c r="G1213" s="6" t="s">
        <v>4543</v>
      </c>
      <c r="H1213" s="6" t="s">
        <v>4544</v>
      </c>
      <c r="I1213" s="6" t="n">
        <v>28</v>
      </c>
      <c r="J1213" s="6"/>
      <c r="K1213" s="6" t="s">
        <v>4545</v>
      </c>
      <c r="L1213" s="7"/>
      <c r="M1213" s="7"/>
    </row>
    <row r="1214" customFormat="false" ht="35.05" hidden="false" customHeight="false" outlineLevel="0" collapsed="false">
      <c r="A1214" s="6" t="s">
        <v>1964</v>
      </c>
      <c r="B1214" s="6" t="s">
        <v>123</v>
      </c>
      <c r="C1214" s="6" t="s">
        <v>1362</v>
      </c>
      <c r="D1214" s="6" t="s">
        <v>1330</v>
      </c>
      <c r="E1214" s="6"/>
      <c r="F1214" s="6" t="s">
        <v>1885</v>
      </c>
      <c r="G1214" s="6" t="s">
        <v>4546</v>
      </c>
      <c r="H1214" s="6" t="s">
        <v>4547</v>
      </c>
      <c r="I1214" s="6" t="n">
        <v>46</v>
      </c>
      <c r="J1214" s="6"/>
      <c r="K1214" s="6" t="s">
        <v>4548</v>
      </c>
      <c r="L1214" s="7"/>
      <c r="M1214" s="7"/>
    </row>
    <row r="1215" customFormat="false" ht="23.85" hidden="false" customHeight="false" outlineLevel="0" collapsed="false">
      <c r="A1215" s="6" t="s">
        <v>1966</v>
      </c>
      <c r="B1215" s="6" t="s">
        <v>123</v>
      </c>
      <c r="C1215" s="6" t="s">
        <v>1362</v>
      </c>
      <c r="D1215" s="6" t="s">
        <v>1330</v>
      </c>
      <c r="E1215" s="6"/>
      <c r="F1215" s="6" t="s">
        <v>1888</v>
      </c>
      <c r="G1215" s="6" t="s">
        <v>4537</v>
      </c>
      <c r="H1215" s="6" t="s">
        <v>4553</v>
      </c>
      <c r="I1215" s="6" t="n">
        <v>98</v>
      </c>
      <c r="J1215" s="6" t="s">
        <v>83</v>
      </c>
      <c r="K1215" s="6" t="s">
        <v>4554</v>
      </c>
      <c r="L1215" s="7"/>
      <c r="M1215" s="7"/>
    </row>
    <row r="1216" customFormat="false" ht="23.85" hidden="false" customHeight="false" outlineLevel="0" collapsed="false">
      <c r="A1216" s="6" t="s">
        <v>1966</v>
      </c>
      <c r="B1216" s="6" t="s">
        <v>123</v>
      </c>
      <c r="C1216" s="6" t="s">
        <v>1362</v>
      </c>
      <c r="D1216" s="6" t="s">
        <v>1330</v>
      </c>
      <c r="E1216" s="6"/>
      <c r="F1216" s="6" t="s">
        <v>1888</v>
      </c>
      <c r="G1216" s="6" t="s">
        <v>4540</v>
      </c>
      <c r="H1216" s="6" t="s">
        <v>4541</v>
      </c>
      <c r="I1216" s="6" t="n">
        <v>38</v>
      </c>
      <c r="J1216" s="6"/>
      <c r="K1216" s="6" t="s">
        <v>4542</v>
      </c>
      <c r="L1216" s="7"/>
      <c r="M1216" s="7"/>
    </row>
    <row r="1217" customFormat="false" ht="23.85" hidden="false" customHeight="false" outlineLevel="0" collapsed="false">
      <c r="A1217" s="6" t="s">
        <v>1966</v>
      </c>
      <c r="B1217" s="6" t="s">
        <v>123</v>
      </c>
      <c r="C1217" s="6" t="s">
        <v>1362</v>
      </c>
      <c r="D1217" s="6" t="s">
        <v>1330</v>
      </c>
      <c r="E1217" s="6"/>
      <c r="F1217" s="6" t="s">
        <v>1888</v>
      </c>
      <c r="G1217" s="6" t="s">
        <v>4543</v>
      </c>
      <c r="H1217" s="6" t="s">
        <v>4544</v>
      </c>
      <c r="I1217" s="6" t="n">
        <v>28</v>
      </c>
      <c r="J1217" s="6"/>
      <c r="K1217" s="6" t="s">
        <v>4545</v>
      </c>
      <c r="L1217" s="7"/>
      <c r="M1217" s="7"/>
    </row>
    <row r="1218" customFormat="false" ht="35.05" hidden="false" customHeight="false" outlineLevel="0" collapsed="false">
      <c r="A1218" s="6" t="s">
        <v>1966</v>
      </c>
      <c r="B1218" s="6" t="s">
        <v>123</v>
      </c>
      <c r="C1218" s="6" t="s">
        <v>1362</v>
      </c>
      <c r="D1218" s="6" t="s">
        <v>1330</v>
      </c>
      <c r="E1218" s="6"/>
      <c r="F1218" s="6" t="s">
        <v>1888</v>
      </c>
      <c r="G1218" s="6" t="s">
        <v>4546</v>
      </c>
      <c r="H1218" s="6" t="s">
        <v>4547</v>
      </c>
      <c r="I1218" s="6" t="n">
        <v>46</v>
      </c>
      <c r="J1218" s="6"/>
      <c r="K1218" s="6" t="s">
        <v>4548</v>
      </c>
      <c r="L1218" s="7"/>
      <c r="M1218" s="7"/>
    </row>
    <row r="1219" customFormat="false" ht="23.85" hidden="false" customHeight="false" outlineLevel="0" collapsed="false">
      <c r="A1219" s="6" t="s">
        <v>1968</v>
      </c>
      <c r="B1219" s="6" t="s">
        <v>123</v>
      </c>
      <c r="C1219" s="6" t="s">
        <v>1362</v>
      </c>
      <c r="D1219" s="6" t="s">
        <v>1330</v>
      </c>
      <c r="E1219" s="6"/>
      <c r="F1219" s="6" t="s">
        <v>1891</v>
      </c>
      <c r="G1219" s="6" t="s">
        <v>4537</v>
      </c>
      <c r="H1219" s="6" t="s">
        <v>4553</v>
      </c>
      <c r="I1219" s="6" t="n">
        <v>98</v>
      </c>
      <c r="J1219" s="6" t="s">
        <v>83</v>
      </c>
      <c r="K1219" s="6" t="s">
        <v>4554</v>
      </c>
      <c r="L1219" s="7"/>
      <c r="M1219" s="7"/>
    </row>
    <row r="1220" customFormat="false" ht="23.85" hidden="false" customHeight="false" outlineLevel="0" collapsed="false">
      <c r="A1220" s="6" t="s">
        <v>1968</v>
      </c>
      <c r="B1220" s="6" t="s">
        <v>123</v>
      </c>
      <c r="C1220" s="6" t="s">
        <v>1362</v>
      </c>
      <c r="D1220" s="6" t="s">
        <v>1330</v>
      </c>
      <c r="E1220" s="6"/>
      <c r="F1220" s="6" t="s">
        <v>1891</v>
      </c>
      <c r="G1220" s="6" t="s">
        <v>4540</v>
      </c>
      <c r="H1220" s="6" t="s">
        <v>4541</v>
      </c>
      <c r="I1220" s="6" t="n">
        <v>38</v>
      </c>
      <c r="J1220" s="6"/>
      <c r="K1220" s="6" t="s">
        <v>4542</v>
      </c>
      <c r="L1220" s="7"/>
      <c r="M1220" s="7"/>
    </row>
    <row r="1221" customFormat="false" ht="23.85" hidden="false" customHeight="false" outlineLevel="0" collapsed="false">
      <c r="A1221" s="6" t="s">
        <v>1968</v>
      </c>
      <c r="B1221" s="6" t="s">
        <v>123</v>
      </c>
      <c r="C1221" s="6" t="s">
        <v>1362</v>
      </c>
      <c r="D1221" s="6" t="s">
        <v>1330</v>
      </c>
      <c r="E1221" s="6"/>
      <c r="F1221" s="6" t="s">
        <v>1891</v>
      </c>
      <c r="G1221" s="6" t="s">
        <v>4543</v>
      </c>
      <c r="H1221" s="6" t="s">
        <v>4544</v>
      </c>
      <c r="I1221" s="6" t="n">
        <v>28</v>
      </c>
      <c r="J1221" s="6"/>
      <c r="K1221" s="6" t="s">
        <v>4545</v>
      </c>
      <c r="L1221" s="7"/>
      <c r="M1221" s="7"/>
    </row>
    <row r="1222" customFormat="false" ht="35.05" hidden="false" customHeight="false" outlineLevel="0" collapsed="false">
      <c r="A1222" s="6" t="s">
        <v>1968</v>
      </c>
      <c r="B1222" s="6" t="s">
        <v>123</v>
      </c>
      <c r="C1222" s="6" t="s">
        <v>1362</v>
      </c>
      <c r="D1222" s="6" t="s">
        <v>1330</v>
      </c>
      <c r="E1222" s="6"/>
      <c r="F1222" s="6" t="s">
        <v>1891</v>
      </c>
      <c r="G1222" s="6" t="s">
        <v>4546</v>
      </c>
      <c r="H1222" s="6" t="s">
        <v>4547</v>
      </c>
      <c r="I1222" s="6" t="n">
        <v>46</v>
      </c>
      <c r="J1222" s="6"/>
      <c r="K1222" s="6" t="s">
        <v>4548</v>
      </c>
      <c r="L1222" s="7"/>
      <c r="M1222" s="7"/>
    </row>
    <row r="1223" customFormat="false" ht="23.85" hidden="false" customHeight="false" outlineLevel="0" collapsed="false">
      <c r="A1223" s="6" t="s">
        <v>1970</v>
      </c>
      <c r="B1223" s="6" t="s">
        <v>123</v>
      </c>
      <c r="C1223" s="6" t="s">
        <v>1362</v>
      </c>
      <c r="D1223" s="6" t="s">
        <v>1330</v>
      </c>
      <c r="E1223" s="6"/>
      <c r="F1223" s="6" t="s">
        <v>1894</v>
      </c>
      <c r="G1223" s="6" t="s">
        <v>4537</v>
      </c>
      <c r="H1223" s="6" t="s">
        <v>4553</v>
      </c>
      <c r="I1223" s="6" t="n">
        <v>98</v>
      </c>
      <c r="J1223" s="6" t="s">
        <v>83</v>
      </c>
      <c r="K1223" s="6" t="s">
        <v>4554</v>
      </c>
      <c r="L1223" s="7"/>
      <c r="M1223" s="7"/>
    </row>
    <row r="1224" customFormat="false" ht="23.85" hidden="false" customHeight="false" outlineLevel="0" collapsed="false">
      <c r="A1224" s="6" t="s">
        <v>1970</v>
      </c>
      <c r="B1224" s="6" t="s">
        <v>123</v>
      </c>
      <c r="C1224" s="6" t="s">
        <v>1362</v>
      </c>
      <c r="D1224" s="6" t="s">
        <v>1330</v>
      </c>
      <c r="E1224" s="6"/>
      <c r="F1224" s="6" t="s">
        <v>1894</v>
      </c>
      <c r="G1224" s="6" t="s">
        <v>4540</v>
      </c>
      <c r="H1224" s="6" t="s">
        <v>4541</v>
      </c>
      <c r="I1224" s="6" t="n">
        <v>38</v>
      </c>
      <c r="J1224" s="6"/>
      <c r="K1224" s="6" t="s">
        <v>4542</v>
      </c>
      <c r="L1224" s="7"/>
      <c r="M1224" s="7"/>
    </row>
    <row r="1225" customFormat="false" ht="23.85" hidden="false" customHeight="false" outlineLevel="0" collapsed="false">
      <c r="A1225" s="6" t="s">
        <v>1970</v>
      </c>
      <c r="B1225" s="6" t="s">
        <v>123</v>
      </c>
      <c r="C1225" s="6" t="s">
        <v>1362</v>
      </c>
      <c r="D1225" s="6" t="s">
        <v>1330</v>
      </c>
      <c r="E1225" s="6"/>
      <c r="F1225" s="6" t="s">
        <v>1894</v>
      </c>
      <c r="G1225" s="6" t="s">
        <v>4543</v>
      </c>
      <c r="H1225" s="6" t="s">
        <v>4544</v>
      </c>
      <c r="I1225" s="6" t="n">
        <v>28</v>
      </c>
      <c r="J1225" s="6"/>
      <c r="K1225" s="6" t="s">
        <v>4545</v>
      </c>
      <c r="L1225" s="7"/>
      <c r="M1225" s="7"/>
    </row>
    <row r="1226" customFormat="false" ht="35.05" hidden="false" customHeight="false" outlineLevel="0" collapsed="false">
      <c r="A1226" s="6" t="s">
        <v>1970</v>
      </c>
      <c r="B1226" s="6" t="s">
        <v>123</v>
      </c>
      <c r="C1226" s="6" t="s">
        <v>1362</v>
      </c>
      <c r="D1226" s="6" t="s">
        <v>1330</v>
      </c>
      <c r="E1226" s="6"/>
      <c r="F1226" s="6" t="s">
        <v>1894</v>
      </c>
      <c r="G1226" s="6" t="s">
        <v>4546</v>
      </c>
      <c r="H1226" s="6" t="s">
        <v>4547</v>
      </c>
      <c r="I1226" s="6" t="n">
        <v>46</v>
      </c>
      <c r="J1226" s="6"/>
      <c r="K1226" s="6" t="s">
        <v>4548</v>
      </c>
      <c r="L1226" s="7"/>
      <c r="M1226" s="7"/>
    </row>
    <row r="1227" customFormat="false" ht="23.85" hidden="false" customHeight="false" outlineLevel="0" collapsed="false">
      <c r="A1227" s="6" t="s">
        <v>1972</v>
      </c>
      <c r="B1227" s="6" t="s">
        <v>123</v>
      </c>
      <c r="C1227" s="6" t="s">
        <v>1362</v>
      </c>
      <c r="D1227" s="6" t="s">
        <v>1330</v>
      </c>
      <c r="E1227" s="6"/>
      <c r="F1227" s="6" t="s">
        <v>1897</v>
      </c>
      <c r="G1227" s="6" t="s">
        <v>4537</v>
      </c>
      <c r="H1227" s="6" t="s">
        <v>4553</v>
      </c>
      <c r="I1227" s="6" t="n">
        <v>98</v>
      </c>
      <c r="J1227" s="6" t="s">
        <v>83</v>
      </c>
      <c r="K1227" s="6" t="s">
        <v>4554</v>
      </c>
      <c r="L1227" s="7"/>
      <c r="M1227" s="7"/>
    </row>
    <row r="1228" customFormat="false" ht="23.85" hidden="false" customHeight="false" outlineLevel="0" collapsed="false">
      <c r="A1228" s="6" t="s">
        <v>1972</v>
      </c>
      <c r="B1228" s="6" t="s">
        <v>123</v>
      </c>
      <c r="C1228" s="6" t="s">
        <v>1362</v>
      </c>
      <c r="D1228" s="6" t="s">
        <v>1330</v>
      </c>
      <c r="E1228" s="6"/>
      <c r="F1228" s="6" t="s">
        <v>1897</v>
      </c>
      <c r="G1228" s="6" t="s">
        <v>4540</v>
      </c>
      <c r="H1228" s="6" t="s">
        <v>4541</v>
      </c>
      <c r="I1228" s="6" t="n">
        <v>38</v>
      </c>
      <c r="J1228" s="6"/>
      <c r="K1228" s="6" t="s">
        <v>4542</v>
      </c>
      <c r="L1228" s="7"/>
      <c r="M1228" s="7"/>
    </row>
    <row r="1229" customFormat="false" ht="23.85" hidden="false" customHeight="false" outlineLevel="0" collapsed="false">
      <c r="A1229" s="6" t="s">
        <v>1972</v>
      </c>
      <c r="B1229" s="6" t="s">
        <v>123</v>
      </c>
      <c r="C1229" s="6" t="s">
        <v>1362</v>
      </c>
      <c r="D1229" s="6" t="s">
        <v>1330</v>
      </c>
      <c r="E1229" s="6"/>
      <c r="F1229" s="6" t="s">
        <v>1897</v>
      </c>
      <c r="G1229" s="6" t="s">
        <v>4543</v>
      </c>
      <c r="H1229" s="6" t="s">
        <v>4544</v>
      </c>
      <c r="I1229" s="6" t="n">
        <v>28</v>
      </c>
      <c r="J1229" s="6"/>
      <c r="K1229" s="6" t="s">
        <v>4545</v>
      </c>
      <c r="L1229" s="7"/>
      <c r="M1229" s="7"/>
    </row>
    <row r="1230" customFormat="false" ht="35.05" hidden="false" customHeight="false" outlineLevel="0" collapsed="false">
      <c r="A1230" s="6" t="s">
        <v>1972</v>
      </c>
      <c r="B1230" s="6" t="s">
        <v>123</v>
      </c>
      <c r="C1230" s="6" t="s">
        <v>1362</v>
      </c>
      <c r="D1230" s="6" t="s">
        <v>1330</v>
      </c>
      <c r="E1230" s="6"/>
      <c r="F1230" s="6" t="s">
        <v>1897</v>
      </c>
      <c r="G1230" s="6" t="s">
        <v>4546</v>
      </c>
      <c r="H1230" s="6" t="s">
        <v>4547</v>
      </c>
      <c r="I1230" s="6" t="n">
        <v>46</v>
      </c>
      <c r="J1230" s="6"/>
      <c r="K1230" s="6" t="s">
        <v>4548</v>
      </c>
      <c r="L1230" s="7"/>
      <c r="M1230" s="7"/>
    </row>
    <row r="1231" customFormat="false" ht="23.85" hidden="false" customHeight="false" outlineLevel="0" collapsed="false">
      <c r="A1231" s="6" t="s">
        <v>1974</v>
      </c>
      <c r="B1231" s="6" t="s">
        <v>123</v>
      </c>
      <c r="C1231" s="6" t="s">
        <v>1362</v>
      </c>
      <c r="D1231" s="6" t="s">
        <v>1330</v>
      </c>
      <c r="E1231" s="6"/>
      <c r="F1231" s="6" t="s">
        <v>1900</v>
      </c>
      <c r="G1231" s="6" t="s">
        <v>4537</v>
      </c>
      <c r="H1231" s="6" t="s">
        <v>4553</v>
      </c>
      <c r="I1231" s="6" t="n">
        <v>98</v>
      </c>
      <c r="J1231" s="6" t="s">
        <v>83</v>
      </c>
      <c r="K1231" s="6" t="s">
        <v>4554</v>
      </c>
      <c r="L1231" s="7"/>
      <c r="M1231" s="7"/>
    </row>
    <row r="1232" customFormat="false" ht="23.85" hidden="false" customHeight="false" outlineLevel="0" collapsed="false">
      <c r="A1232" s="6" t="s">
        <v>1974</v>
      </c>
      <c r="B1232" s="6" t="s">
        <v>123</v>
      </c>
      <c r="C1232" s="6" t="s">
        <v>1362</v>
      </c>
      <c r="D1232" s="6" t="s">
        <v>1330</v>
      </c>
      <c r="E1232" s="6"/>
      <c r="F1232" s="6" t="s">
        <v>1900</v>
      </c>
      <c r="G1232" s="6" t="s">
        <v>4540</v>
      </c>
      <c r="H1232" s="6" t="s">
        <v>4541</v>
      </c>
      <c r="I1232" s="6" t="n">
        <v>38</v>
      </c>
      <c r="J1232" s="6"/>
      <c r="K1232" s="6" t="s">
        <v>4542</v>
      </c>
      <c r="L1232" s="7"/>
      <c r="M1232" s="7"/>
    </row>
    <row r="1233" customFormat="false" ht="23.85" hidden="false" customHeight="false" outlineLevel="0" collapsed="false">
      <c r="A1233" s="6" t="s">
        <v>1974</v>
      </c>
      <c r="B1233" s="6" t="s">
        <v>123</v>
      </c>
      <c r="C1233" s="6" t="s">
        <v>1362</v>
      </c>
      <c r="D1233" s="6" t="s">
        <v>1330</v>
      </c>
      <c r="E1233" s="6"/>
      <c r="F1233" s="6" t="s">
        <v>1900</v>
      </c>
      <c r="G1233" s="6" t="s">
        <v>4543</v>
      </c>
      <c r="H1233" s="6" t="s">
        <v>4544</v>
      </c>
      <c r="I1233" s="6" t="n">
        <v>28</v>
      </c>
      <c r="J1233" s="6"/>
      <c r="K1233" s="6" t="s">
        <v>4545</v>
      </c>
      <c r="L1233" s="7"/>
      <c r="M1233" s="7"/>
    </row>
    <row r="1234" customFormat="false" ht="35.05" hidden="false" customHeight="false" outlineLevel="0" collapsed="false">
      <c r="A1234" s="6" t="s">
        <v>1974</v>
      </c>
      <c r="B1234" s="6" t="s">
        <v>123</v>
      </c>
      <c r="C1234" s="6" t="s">
        <v>1362</v>
      </c>
      <c r="D1234" s="6" t="s">
        <v>1330</v>
      </c>
      <c r="E1234" s="6"/>
      <c r="F1234" s="6" t="s">
        <v>1900</v>
      </c>
      <c r="G1234" s="6" t="s">
        <v>4546</v>
      </c>
      <c r="H1234" s="6" t="s">
        <v>4547</v>
      </c>
      <c r="I1234" s="6" t="n">
        <v>46</v>
      </c>
      <c r="J1234" s="6"/>
      <c r="K1234" s="6" t="s">
        <v>4548</v>
      </c>
      <c r="L1234" s="7"/>
      <c r="M1234" s="7"/>
    </row>
    <row r="1235" customFormat="false" ht="23.85" hidden="false" customHeight="false" outlineLevel="0" collapsed="false">
      <c r="A1235" s="6" t="s">
        <v>1976</v>
      </c>
      <c r="B1235" s="6" t="s">
        <v>123</v>
      </c>
      <c r="C1235" s="6" t="s">
        <v>1362</v>
      </c>
      <c r="D1235" s="6" t="s">
        <v>1330</v>
      </c>
      <c r="E1235" s="6"/>
      <c r="F1235" s="6" t="s">
        <v>1903</v>
      </c>
      <c r="G1235" s="6" t="s">
        <v>4537</v>
      </c>
      <c r="H1235" s="6" t="s">
        <v>4553</v>
      </c>
      <c r="I1235" s="6" t="n">
        <v>98</v>
      </c>
      <c r="J1235" s="6" t="s">
        <v>83</v>
      </c>
      <c r="K1235" s="6" t="s">
        <v>4554</v>
      </c>
      <c r="L1235" s="7"/>
      <c r="M1235" s="7"/>
    </row>
    <row r="1236" customFormat="false" ht="23.85" hidden="false" customHeight="false" outlineLevel="0" collapsed="false">
      <c r="A1236" s="6" t="s">
        <v>1976</v>
      </c>
      <c r="B1236" s="6" t="s">
        <v>123</v>
      </c>
      <c r="C1236" s="6" t="s">
        <v>1362</v>
      </c>
      <c r="D1236" s="6" t="s">
        <v>1330</v>
      </c>
      <c r="E1236" s="6"/>
      <c r="F1236" s="6" t="s">
        <v>1903</v>
      </c>
      <c r="G1236" s="6" t="s">
        <v>4540</v>
      </c>
      <c r="H1236" s="6" t="s">
        <v>4541</v>
      </c>
      <c r="I1236" s="6" t="n">
        <v>38</v>
      </c>
      <c r="J1236" s="6"/>
      <c r="K1236" s="6" t="s">
        <v>4542</v>
      </c>
      <c r="L1236" s="7"/>
      <c r="M1236" s="7"/>
    </row>
    <row r="1237" customFormat="false" ht="23.85" hidden="false" customHeight="false" outlineLevel="0" collapsed="false">
      <c r="A1237" s="6" t="s">
        <v>1976</v>
      </c>
      <c r="B1237" s="6" t="s">
        <v>123</v>
      </c>
      <c r="C1237" s="6" t="s">
        <v>1362</v>
      </c>
      <c r="D1237" s="6" t="s">
        <v>1330</v>
      </c>
      <c r="E1237" s="6"/>
      <c r="F1237" s="6" t="s">
        <v>1903</v>
      </c>
      <c r="G1237" s="6" t="s">
        <v>4543</v>
      </c>
      <c r="H1237" s="6" t="s">
        <v>4544</v>
      </c>
      <c r="I1237" s="6" t="n">
        <v>28</v>
      </c>
      <c r="J1237" s="6"/>
      <c r="K1237" s="6" t="s">
        <v>4545</v>
      </c>
      <c r="L1237" s="7"/>
      <c r="M1237" s="7"/>
    </row>
    <row r="1238" customFormat="false" ht="35.05" hidden="false" customHeight="false" outlineLevel="0" collapsed="false">
      <c r="A1238" s="6" t="s">
        <v>1976</v>
      </c>
      <c r="B1238" s="6" t="s">
        <v>123</v>
      </c>
      <c r="C1238" s="6" t="s">
        <v>1362</v>
      </c>
      <c r="D1238" s="6" t="s">
        <v>1330</v>
      </c>
      <c r="E1238" s="6"/>
      <c r="F1238" s="6" t="s">
        <v>1903</v>
      </c>
      <c r="G1238" s="6" t="s">
        <v>4546</v>
      </c>
      <c r="H1238" s="6" t="s">
        <v>4547</v>
      </c>
      <c r="I1238" s="6" t="n">
        <v>46</v>
      </c>
      <c r="J1238" s="6"/>
      <c r="K1238" s="6" t="s">
        <v>4548</v>
      </c>
      <c r="L1238" s="7"/>
      <c r="M1238" s="7"/>
    </row>
    <row r="1239" customFormat="false" ht="23.85" hidden="false" customHeight="false" outlineLevel="0" collapsed="false">
      <c r="A1239" s="6" t="s">
        <v>1978</v>
      </c>
      <c r="B1239" s="6" t="s">
        <v>123</v>
      </c>
      <c r="C1239" s="6" t="s">
        <v>1362</v>
      </c>
      <c r="D1239" s="6" t="s">
        <v>1330</v>
      </c>
      <c r="E1239" s="6"/>
      <c r="F1239" s="6" t="s">
        <v>1906</v>
      </c>
      <c r="G1239" s="6" t="s">
        <v>4537</v>
      </c>
      <c r="H1239" s="6" t="s">
        <v>4553</v>
      </c>
      <c r="I1239" s="6" t="n">
        <v>98</v>
      </c>
      <c r="J1239" s="6" t="s">
        <v>83</v>
      </c>
      <c r="K1239" s="6" t="s">
        <v>4554</v>
      </c>
      <c r="L1239" s="7"/>
      <c r="M1239" s="7"/>
    </row>
    <row r="1240" customFormat="false" ht="23.85" hidden="false" customHeight="false" outlineLevel="0" collapsed="false">
      <c r="A1240" s="6" t="s">
        <v>1978</v>
      </c>
      <c r="B1240" s="6" t="s">
        <v>123</v>
      </c>
      <c r="C1240" s="6" t="s">
        <v>1362</v>
      </c>
      <c r="D1240" s="6" t="s">
        <v>1330</v>
      </c>
      <c r="E1240" s="6"/>
      <c r="F1240" s="6" t="s">
        <v>1906</v>
      </c>
      <c r="G1240" s="6" t="s">
        <v>4540</v>
      </c>
      <c r="H1240" s="6" t="s">
        <v>4541</v>
      </c>
      <c r="I1240" s="6" t="n">
        <v>38</v>
      </c>
      <c r="J1240" s="6"/>
      <c r="K1240" s="6" t="s">
        <v>4542</v>
      </c>
      <c r="L1240" s="7"/>
      <c r="M1240" s="7"/>
    </row>
    <row r="1241" customFormat="false" ht="23.85" hidden="false" customHeight="false" outlineLevel="0" collapsed="false">
      <c r="A1241" s="6" t="s">
        <v>1978</v>
      </c>
      <c r="B1241" s="6" t="s">
        <v>123</v>
      </c>
      <c r="C1241" s="6" t="s">
        <v>1362</v>
      </c>
      <c r="D1241" s="6" t="s">
        <v>1330</v>
      </c>
      <c r="E1241" s="6"/>
      <c r="F1241" s="6" t="s">
        <v>1906</v>
      </c>
      <c r="G1241" s="6" t="s">
        <v>4543</v>
      </c>
      <c r="H1241" s="6" t="s">
        <v>4544</v>
      </c>
      <c r="I1241" s="6" t="n">
        <v>28</v>
      </c>
      <c r="J1241" s="6"/>
      <c r="K1241" s="6" t="s">
        <v>4545</v>
      </c>
      <c r="L1241" s="7"/>
      <c r="M1241" s="7"/>
    </row>
    <row r="1242" customFormat="false" ht="35.05" hidden="false" customHeight="false" outlineLevel="0" collapsed="false">
      <c r="A1242" s="6" t="s">
        <v>1978</v>
      </c>
      <c r="B1242" s="6" t="s">
        <v>123</v>
      </c>
      <c r="C1242" s="6" t="s">
        <v>1362</v>
      </c>
      <c r="D1242" s="6" t="s">
        <v>1330</v>
      </c>
      <c r="E1242" s="6"/>
      <c r="F1242" s="6" t="s">
        <v>1906</v>
      </c>
      <c r="G1242" s="6" t="s">
        <v>4546</v>
      </c>
      <c r="H1242" s="6" t="s">
        <v>4547</v>
      </c>
      <c r="I1242" s="6" t="n">
        <v>46</v>
      </c>
      <c r="J1242" s="6"/>
      <c r="K1242" s="6" t="s">
        <v>4548</v>
      </c>
      <c r="L1242" s="7"/>
      <c r="M1242" s="7"/>
    </row>
    <row r="1243" customFormat="false" ht="23.85" hidden="false" customHeight="false" outlineLevel="0" collapsed="false">
      <c r="A1243" s="6" t="s">
        <v>1980</v>
      </c>
      <c r="B1243" s="6" t="s">
        <v>123</v>
      </c>
      <c r="C1243" s="6" t="s">
        <v>1362</v>
      </c>
      <c r="D1243" s="6" t="s">
        <v>1330</v>
      </c>
      <c r="E1243" s="6"/>
      <c r="F1243" s="6" t="s">
        <v>1909</v>
      </c>
      <c r="G1243" s="6" t="s">
        <v>4537</v>
      </c>
      <c r="H1243" s="6" t="s">
        <v>4553</v>
      </c>
      <c r="I1243" s="6" t="n">
        <v>98</v>
      </c>
      <c r="J1243" s="6" t="s">
        <v>83</v>
      </c>
      <c r="K1243" s="6" t="s">
        <v>4554</v>
      </c>
      <c r="L1243" s="7"/>
      <c r="M1243" s="7"/>
    </row>
    <row r="1244" customFormat="false" ht="23.85" hidden="false" customHeight="false" outlineLevel="0" collapsed="false">
      <c r="A1244" s="6" t="s">
        <v>1980</v>
      </c>
      <c r="B1244" s="6" t="s">
        <v>123</v>
      </c>
      <c r="C1244" s="6" t="s">
        <v>1362</v>
      </c>
      <c r="D1244" s="6" t="s">
        <v>1330</v>
      </c>
      <c r="E1244" s="6"/>
      <c r="F1244" s="6" t="s">
        <v>1909</v>
      </c>
      <c r="G1244" s="6" t="s">
        <v>4540</v>
      </c>
      <c r="H1244" s="6" t="s">
        <v>4541</v>
      </c>
      <c r="I1244" s="6" t="n">
        <v>38</v>
      </c>
      <c r="J1244" s="6"/>
      <c r="K1244" s="6" t="s">
        <v>4542</v>
      </c>
      <c r="L1244" s="7"/>
      <c r="M1244" s="7"/>
    </row>
    <row r="1245" customFormat="false" ht="23.85" hidden="false" customHeight="false" outlineLevel="0" collapsed="false">
      <c r="A1245" s="6" t="s">
        <v>1980</v>
      </c>
      <c r="B1245" s="6" t="s">
        <v>123</v>
      </c>
      <c r="C1245" s="6" t="s">
        <v>1362</v>
      </c>
      <c r="D1245" s="6" t="s">
        <v>1330</v>
      </c>
      <c r="E1245" s="6"/>
      <c r="F1245" s="6" t="s">
        <v>1909</v>
      </c>
      <c r="G1245" s="6" t="s">
        <v>4543</v>
      </c>
      <c r="H1245" s="6" t="s">
        <v>4544</v>
      </c>
      <c r="I1245" s="6" t="n">
        <v>28</v>
      </c>
      <c r="J1245" s="6"/>
      <c r="K1245" s="6" t="s">
        <v>4545</v>
      </c>
      <c r="L1245" s="7"/>
      <c r="M1245" s="7"/>
    </row>
    <row r="1246" customFormat="false" ht="35.05" hidden="false" customHeight="false" outlineLevel="0" collapsed="false">
      <c r="A1246" s="6" t="s">
        <v>1980</v>
      </c>
      <c r="B1246" s="6" t="s">
        <v>123</v>
      </c>
      <c r="C1246" s="6" t="s">
        <v>1362</v>
      </c>
      <c r="D1246" s="6" t="s">
        <v>1330</v>
      </c>
      <c r="E1246" s="6"/>
      <c r="F1246" s="6" t="s">
        <v>1909</v>
      </c>
      <c r="G1246" s="6" t="s">
        <v>4546</v>
      </c>
      <c r="H1246" s="6" t="s">
        <v>4547</v>
      </c>
      <c r="I1246" s="6" t="n">
        <v>46</v>
      </c>
      <c r="J1246" s="6"/>
      <c r="K1246" s="6" t="s">
        <v>4548</v>
      </c>
      <c r="L1246" s="7"/>
      <c r="M1246" s="7"/>
    </row>
    <row r="1247" customFormat="false" ht="23.85" hidden="false" customHeight="false" outlineLevel="0" collapsed="false">
      <c r="A1247" s="6" t="s">
        <v>1982</v>
      </c>
      <c r="B1247" s="6" t="s">
        <v>77</v>
      </c>
      <c r="C1247" s="6" t="s">
        <v>1362</v>
      </c>
      <c r="D1247" s="6" t="s">
        <v>1330</v>
      </c>
      <c r="E1247" s="6"/>
      <c r="F1247" s="6" t="s">
        <v>1879</v>
      </c>
      <c r="G1247" s="6" t="s">
        <v>4537</v>
      </c>
      <c r="H1247" s="6" t="s">
        <v>4555</v>
      </c>
      <c r="I1247" s="6" t="n">
        <v>98</v>
      </c>
      <c r="J1247" s="6" t="s">
        <v>83</v>
      </c>
      <c r="K1247" s="6" t="s">
        <v>4556</v>
      </c>
      <c r="L1247" s="7"/>
      <c r="M1247" s="7"/>
    </row>
    <row r="1248" customFormat="false" ht="23.85" hidden="false" customHeight="false" outlineLevel="0" collapsed="false">
      <c r="A1248" s="6" t="s">
        <v>1982</v>
      </c>
      <c r="B1248" s="6" t="s">
        <v>77</v>
      </c>
      <c r="C1248" s="6" t="s">
        <v>1362</v>
      </c>
      <c r="D1248" s="6" t="s">
        <v>1330</v>
      </c>
      <c r="E1248" s="6"/>
      <c r="F1248" s="6" t="s">
        <v>1879</v>
      </c>
      <c r="G1248" s="6" t="s">
        <v>4540</v>
      </c>
      <c r="H1248" s="6" t="s">
        <v>4541</v>
      </c>
      <c r="I1248" s="6" t="n">
        <v>38</v>
      </c>
      <c r="J1248" s="6"/>
      <c r="K1248" s="6" t="s">
        <v>4542</v>
      </c>
      <c r="L1248" s="7"/>
      <c r="M1248" s="7"/>
    </row>
    <row r="1249" customFormat="false" ht="23.85" hidden="false" customHeight="false" outlineLevel="0" collapsed="false">
      <c r="A1249" s="6" t="s">
        <v>1982</v>
      </c>
      <c r="B1249" s="6" t="s">
        <v>77</v>
      </c>
      <c r="C1249" s="6" t="s">
        <v>1362</v>
      </c>
      <c r="D1249" s="6" t="s">
        <v>1330</v>
      </c>
      <c r="E1249" s="6"/>
      <c r="F1249" s="6" t="s">
        <v>1879</v>
      </c>
      <c r="G1249" s="6" t="s">
        <v>4543</v>
      </c>
      <c r="H1249" s="6" t="s">
        <v>4544</v>
      </c>
      <c r="I1249" s="6" t="n">
        <v>28</v>
      </c>
      <c r="J1249" s="6"/>
      <c r="K1249" s="6" t="s">
        <v>4545</v>
      </c>
      <c r="L1249" s="7"/>
      <c r="M1249" s="7"/>
    </row>
    <row r="1250" customFormat="false" ht="35.05" hidden="false" customHeight="false" outlineLevel="0" collapsed="false">
      <c r="A1250" s="6" t="s">
        <v>1982</v>
      </c>
      <c r="B1250" s="6" t="s">
        <v>77</v>
      </c>
      <c r="C1250" s="6" t="s">
        <v>1362</v>
      </c>
      <c r="D1250" s="6" t="s">
        <v>1330</v>
      </c>
      <c r="E1250" s="6"/>
      <c r="F1250" s="6" t="s">
        <v>1879</v>
      </c>
      <c r="G1250" s="6" t="s">
        <v>4546</v>
      </c>
      <c r="H1250" s="6" t="s">
        <v>4547</v>
      </c>
      <c r="I1250" s="6" t="n">
        <v>46</v>
      </c>
      <c r="J1250" s="6"/>
      <c r="K1250" s="6" t="s">
        <v>4548</v>
      </c>
      <c r="L1250" s="7"/>
      <c r="M1250" s="7"/>
    </row>
    <row r="1251" customFormat="false" ht="23.85" hidden="false" customHeight="false" outlineLevel="0" collapsed="false">
      <c r="A1251" s="6" t="s">
        <v>1988</v>
      </c>
      <c r="B1251" s="6" t="s">
        <v>77</v>
      </c>
      <c r="C1251" s="6" t="s">
        <v>1362</v>
      </c>
      <c r="D1251" s="6" t="s">
        <v>1330</v>
      </c>
      <c r="E1251" s="6"/>
      <c r="F1251" s="6" t="s">
        <v>1885</v>
      </c>
      <c r="G1251" s="6" t="s">
        <v>4537</v>
      </c>
      <c r="H1251" s="6" t="s">
        <v>4555</v>
      </c>
      <c r="I1251" s="6" t="n">
        <v>98</v>
      </c>
      <c r="J1251" s="6" t="s">
        <v>83</v>
      </c>
      <c r="K1251" s="6" t="s">
        <v>4556</v>
      </c>
      <c r="L1251" s="7"/>
      <c r="M1251" s="7"/>
    </row>
    <row r="1252" customFormat="false" ht="23.85" hidden="false" customHeight="false" outlineLevel="0" collapsed="false">
      <c r="A1252" s="6" t="s">
        <v>1988</v>
      </c>
      <c r="B1252" s="6" t="s">
        <v>77</v>
      </c>
      <c r="C1252" s="6" t="s">
        <v>1362</v>
      </c>
      <c r="D1252" s="6" t="s">
        <v>1330</v>
      </c>
      <c r="E1252" s="6"/>
      <c r="F1252" s="6" t="s">
        <v>1885</v>
      </c>
      <c r="G1252" s="6" t="s">
        <v>4540</v>
      </c>
      <c r="H1252" s="6" t="s">
        <v>4541</v>
      </c>
      <c r="I1252" s="6" t="n">
        <v>38</v>
      </c>
      <c r="J1252" s="6"/>
      <c r="K1252" s="6" t="s">
        <v>4542</v>
      </c>
      <c r="L1252" s="7"/>
      <c r="M1252" s="7"/>
    </row>
    <row r="1253" customFormat="false" ht="23.85" hidden="false" customHeight="false" outlineLevel="0" collapsed="false">
      <c r="A1253" s="6" t="s">
        <v>1988</v>
      </c>
      <c r="B1253" s="6" t="s">
        <v>77</v>
      </c>
      <c r="C1253" s="6" t="s">
        <v>1362</v>
      </c>
      <c r="D1253" s="6" t="s">
        <v>1330</v>
      </c>
      <c r="E1253" s="6"/>
      <c r="F1253" s="6" t="s">
        <v>1885</v>
      </c>
      <c r="G1253" s="6" t="s">
        <v>4543</v>
      </c>
      <c r="H1253" s="6" t="s">
        <v>4544</v>
      </c>
      <c r="I1253" s="6" t="n">
        <v>28</v>
      </c>
      <c r="J1253" s="6"/>
      <c r="K1253" s="6" t="s">
        <v>4545</v>
      </c>
      <c r="L1253" s="7"/>
      <c r="M1253" s="7"/>
    </row>
    <row r="1254" customFormat="false" ht="35.05" hidden="false" customHeight="false" outlineLevel="0" collapsed="false">
      <c r="A1254" s="6" t="s">
        <v>1988</v>
      </c>
      <c r="B1254" s="6" t="s">
        <v>77</v>
      </c>
      <c r="C1254" s="6" t="s">
        <v>1362</v>
      </c>
      <c r="D1254" s="6" t="s">
        <v>1330</v>
      </c>
      <c r="E1254" s="6"/>
      <c r="F1254" s="6" t="s">
        <v>1885</v>
      </c>
      <c r="G1254" s="6" t="s">
        <v>4546</v>
      </c>
      <c r="H1254" s="6" t="s">
        <v>4547</v>
      </c>
      <c r="I1254" s="6" t="n">
        <v>46</v>
      </c>
      <c r="J1254" s="6"/>
      <c r="K1254" s="6" t="s">
        <v>4548</v>
      </c>
      <c r="L1254" s="7"/>
      <c r="M1254" s="7"/>
    </row>
    <row r="1255" customFormat="false" ht="23.85" hidden="false" customHeight="false" outlineLevel="0" collapsed="false">
      <c r="A1255" s="6" t="s">
        <v>1990</v>
      </c>
      <c r="B1255" s="6" t="s">
        <v>77</v>
      </c>
      <c r="C1255" s="6" t="s">
        <v>1362</v>
      </c>
      <c r="D1255" s="6" t="s">
        <v>1330</v>
      </c>
      <c r="E1255" s="6"/>
      <c r="F1255" s="6" t="s">
        <v>1888</v>
      </c>
      <c r="G1255" s="6" t="s">
        <v>4537</v>
      </c>
      <c r="H1255" s="6" t="s">
        <v>4555</v>
      </c>
      <c r="I1255" s="6" t="n">
        <v>98</v>
      </c>
      <c r="J1255" s="6" t="s">
        <v>83</v>
      </c>
      <c r="K1255" s="6" t="s">
        <v>4556</v>
      </c>
      <c r="L1255" s="7"/>
      <c r="M1255" s="7"/>
    </row>
    <row r="1256" customFormat="false" ht="23.85" hidden="false" customHeight="false" outlineLevel="0" collapsed="false">
      <c r="A1256" s="6" t="s">
        <v>1990</v>
      </c>
      <c r="B1256" s="6" t="s">
        <v>77</v>
      </c>
      <c r="C1256" s="6" t="s">
        <v>1362</v>
      </c>
      <c r="D1256" s="6" t="s">
        <v>1330</v>
      </c>
      <c r="E1256" s="6"/>
      <c r="F1256" s="6" t="s">
        <v>1888</v>
      </c>
      <c r="G1256" s="6" t="s">
        <v>4540</v>
      </c>
      <c r="H1256" s="6" t="s">
        <v>4541</v>
      </c>
      <c r="I1256" s="6" t="n">
        <v>38</v>
      </c>
      <c r="J1256" s="6"/>
      <c r="K1256" s="6" t="s">
        <v>4542</v>
      </c>
      <c r="L1256" s="7"/>
      <c r="M1256" s="7"/>
    </row>
    <row r="1257" customFormat="false" ht="23.85" hidden="false" customHeight="false" outlineLevel="0" collapsed="false">
      <c r="A1257" s="6" t="s">
        <v>1990</v>
      </c>
      <c r="B1257" s="6" t="s">
        <v>77</v>
      </c>
      <c r="C1257" s="6" t="s">
        <v>1362</v>
      </c>
      <c r="D1257" s="6" t="s">
        <v>1330</v>
      </c>
      <c r="E1257" s="6"/>
      <c r="F1257" s="6" t="s">
        <v>1888</v>
      </c>
      <c r="G1257" s="6" t="s">
        <v>4543</v>
      </c>
      <c r="H1257" s="6" t="s">
        <v>4544</v>
      </c>
      <c r="I1257" s="6" t="n">
        <v>28</v>
      </c>
      <c r="J1257" s="6"/>
      <c r="K1257" s="6" t="s">
        <v>4545</v>
      </c>
      <c r="L1257" s="7"/>
      <c r="M1257" s="7"/>
    </row>
    <row r="1258" customFormat="false" ht="35.05" hidden="false" customHeight="false" outlineLevel="0" collapsed="false">
      <c r="A1258" s="6" t="s">
        <v>1990</v>
      </c>
      <c r="B1258" s="6" t="s">
        <v>77</v>
      </c>
      <c r="C1258" s="6" t="s">
        <v>1362</v>
      </c>
      <c r="D1258" s="6" t="s">
        <v>1330</v>
      </c>
      <c r="E1258" s="6"/>
      <c r="F1258" s="6" t="s">
        <v>1888</v>
      </c>
      <c r="G1258" s="6" t="s">
        <v>4546</v>
      </c>
      <c r="H1258" s="6" t="s">
        <v>4547</v>
      </c>
      <c r="I1258" s="6" t="n">
        <v>46</v>
      </c>
      <c r="J1258" s="6"/>
      <c r="K1258" s="6" t="s">
        <v>4548</v>
      </c>
      <c r="L1258" s="7"/>
      <c r="M1258" s="7"/>
    </row>
    <row r="1259" customFormat="false" ht="23.85" hidden="false" customHeight="false" outlineLevel="0" collapsed="false">
      <c r="A1259" s="6" t="s">
        <v>1992</v>
      </c>
      <c r="B1259" s="6" t="s">
        <v>77</v>
      </c>
      <c r="C1259" s="6" t="s">
        <v>1362</v>
      </c>
      <c r="D1259" s="6" t="s">
        <v>1330</v>
      </c>
      <c r="E1259" s="6"/>
      <c r="F1259" s="6" t="s">
        <v>1891</v>
      </c>
      <c r="G1259" s="6" t="s">
        <v>4537</v>
      </c>
      <c r="H1259" s="6" t="s">
        <v>4555</v>
      </c>
      <c r="I1259" s="6" t="n">
        <v>98</v>
      </c>
      <c r="J1259" s="6" t="s">
        <v>83</v>
      </c>
      <c r="K1259" s="6" t="s">
        <v>4556</v>
      </c>
      <c r="L1259" s="7"/>
      <c r="M1259" s="7"/>
    </row>
    <row r="1260" customFormat="false" ht="23.85" hidden="false" customHeight="false" outlineLevel="0" collapsed="false">
      <c r="A1260" s="6" t="s">
        <v>1992</v>
      </c>
      <c r="B1260" s="6" t="s">
        <v>77</v>
      </c>
      <c r="C1260" s="6" t="s">
        <v>1362</v>
      </c>
      <c r="D1260" s="6" t="s">
        <v>1330</v>
      </c>
      <c r="E1260" s="6"/>
      <c r="F1260" s="6" t="s">
        <v>1891</v>
      </c>
      <c r="G1260" s="6" t="s">
        <v>4540</v>
      </c>
      <c r="H1260" s="6" t="s">
        <v>4541</v>
      </c>
      <c r="I1260" s="6" t="n">
        <v>38</v>
      </c>
      <c r="J1260" s="6"/>
      <c r="K1260" s="6" t="s">
        <v>4542</v>
      </c>
      <c r="L1260" s="7"/>
      <c r="M1260" s="7"/>
    </row>
    <row r="1261" customFormat="false" ht="23.85" hidden="false" customHeight="false" outlineLevel="0" collapsed="false">
      <c r="A1261" s="6" t="s">
        <v>1992</v>
      </c>
      <c r="B1261" s="6" t="s">
        <v>77</v>
      </c>
      <c r="C1261" s="6" t="s">
        <v>1362</v>
      </c>
      <c r="D1261" s="6" t="s">
        <v>1330</v>
      </c>
      <c r="E1261" s="6"/>
      <c r="F1261" s="6" t="s">
        <v>1891</v>
      </c>
      <c r="G1261" s="6" t="s">
        <v>4543</v>
      </c>
      <c r="H1261" s="6" t="s">
        <v>4544</v>
      </c>
      <c r="I1261" s="6" t="n">
        <v>28</v>
      </c>
      <c r="J1261" s="6"/>
      <c r="K1261" s="6" t="s">
        <v>4545</v>
      </c>
      <c r="L1261" s="7"/>
      <c r="M1261" s="7"/>
    </row>
    <row r="1262" customFormat="false" ht="35.05" hidden="false" customHeight="false" outlineLevel="0" collapsed="false">
      <c r="A1262" s="6" t="s">
        <v>1992</v>
      </c>
      <c r="B1262" s="6" t="s">
        <v>77</v>
      </c>
      <c r="C1262" s="6" t="s">
        <v>1362</v>
      </c>
      <c r="D1262" s="6" t="s">
        <v>1330</v>
      </c>
      <c r="E1262" s="6"/>
      <c r="F1262" s="6" t="s">
        <v>1891</v>
      </c>
      <c r="G1262" s="6" t="s">
        <v>4546</v>
      </c>
      <c r="H1262" s="6" t="s">
        <v>4547</v>
      </c>
      <c r="I1262" s="6" t="n">
        <v>46</v>
      </c>
      <c r="J1262" s="6"/>
      <c r="K1262" s="6" t="s">
        <v>4548</v>
      </c>
      <c r="L1262" s="7"/>
      <c r="M1262" s="7"/>
    </row>
    <row r="1263" customFormat="false" ht="23.85" hidden="false" customHeight="false" outlineLevel="0" collapsed="false">
      <c r="A1263" s="6" t="s">
        <v>1994</v>
      </c>
      <c r="B1263" s="6" t="s">
        <v>77</v>
      </c>
      <c r="C1263" s="6" t="s">
        <v>1362</v>
      </c>
      <c r="D1263" s="6" t="s">
        <v>1330</v>
      </c>
      <c r="E1263" s="6"/>
      <c r="F1263" s="6" t="s">
        <v>1894</v>
      </c>
      <c r="G1263" s="6" t="s">
        <v>4537</v>
      </c>
      <c r="H1263" s="6" t="s">
        <v>4555</v>
      </c>
      <c r="I1263" s="6" t="n">
        <v>98</v>
      </c>
      <c r="J1263" s="6" t="s">
        <v>83</v>
      </c>
      <c r="K1263" s="6" t="s">
        <v>4556</v>
      </c>
      <c r="L1263" s="7"/>
      <c r="M1263" s="7"/>
    </row>
    <row r="1264" customFormat="false" ht="23.85" hidden="false" customHeight="false" outlineLevel="0" collapsed="false">
      <c r="A1264" s="6" t="s">
        <v>1994</v>
      </c>
      <c r="B1264" s="6" t="s">
        <v>77</v>
      </c>
      <c r="C1264" s="6" t="s">
        <v>1362</v>
      </c>
      <c r="D1264" s="6" t="s">
        <v>1330</v>
      </c>
      <c r="E1264" s="6"/>
      <c r="F1264" s="6" t="s">
        <v>1894</v>
      </c>
      <c r="G1264" s="6" t="s">
        <v>4540</v>
      </c>
      <c r="H1264" s="6" t="s">
        <v>4541</v>
      </c>
      <c r="I1264" s="6" t="n">
        <v>38</v>
      </c>
      <c r="J1264" s="6"/>
      <c r="K1264" s="6" t="s">
        <v>4542</v>
      </c>
      <c r="L1264" s="7"/>
      <c r="M1264" s="7"/>
    </row>
    <row r="1265" customFormat="false" ht="23.85" hidden="false" customHeight="false" outlineLevel="0" collapsed="false">
      <c r="A1265" s="6" t="s">
        <v>1994</v>
      </c>
      <c r="B1265" s="6" t="s">
        <v>77</v>
      </c>
      <c r="C1265" s="6" t="s">
        <v>1362</v>
      </c>
      <c r="D1265" s="6" t="s">
        <v>1330</v>
      </c>
      <c r="E1265" s="6"/>
      <c r="F1265" s="6" t="s">
        <v>1894</v>
      </c>
      <c r="G1265" s="6" t="s">
        <v>4543</v>
      </c>
      <c r="H1265" s="6" t="s">
        <v>4544</v>
      </c>
      <c r="I1265" s="6" t="n">
        <v>28</v>
      </c>
      <c r="J1265" s="6"/>
      <c r="K1265" s="6" t="s">
        <v>4545</v>
      </c>
      <c r="L1265" s="7"/>
      <c r="M1265" s="7"/>
    </row>
    <row r="1266" customFormat="false" ht="35.05" hidden="false" customHeight="false" outlineLevel="0" collapsed="false">
      <c r="A1266" s="6" t="s">
        <v>1994</v>
      </c>
      <c r="B1266" s="6" t="s">
        <v>77</v>
      </c>
      <c r="C1266" s="6" t="s">
        <v>1362</v>
      </c>
      <c r="D1266" s="6" t="s">
        <v>1330</v>
      </c>
      <c r="E1266" s="6"/>
      <c r="F1266" s="6" t="s">
        <v>1894</v>
      </c>
      <c r="G1266" s="6" t="s">
        <v>4546</v>
      </c>
      <c r="H1266" s="6" t="s">
        <v>4547</v>
      </c>
      <c r="I1266" s="6" t="n">
        <v>46</v>
      </c>
      <c r="J1266" s="6"/>
      <c r="K1266" s="6" t="s">
        <v>4548</v>
      </c>
      <c r="L1266" s="7"/>
      <c r="M1266" s="7"/>
    </row>
    <row r="1267" customFormat="false" ht="23.85" hidden="false" customHeight="false" outlineLevel="0" collapsed="false">
      <c r="A1267" s="6" t="s">
        <v>1996</v>
      </c>
      <c r="B1267" s="6" t="s">
        <v>77</v>
      </c>
      <c r="C1267" s="6" t="s">
        <v>1362</v>
      </c>
      <c r="D1267" s="6" t="s">
        <v>1330</v>
      </c>
      <c r="E1267" s="6"/>
      <c r="F1267" s="6" t="s">
        <v>1897</v>
      </c>
      <c r="G1267" s="6" t="s">
        <v>4537</v>
      </c>
      <c r="H1267" s="6" t="s">
        <v>4555</v>
      </c>
      <c r="I1267" s="6" t="n">
        <v>98</v>
      </c>
      <c r="J1267" s="6" t="s">
        <v>83</v>
      </c>
      <c r="K1267" s="6" t="s">
        <v>4556</v>
      </c>
      <c r="L1267" s="7"/>
      <c r="M1267" s="7"/>
    </row>
    <row r="1268" customFormat="false" ht="23.85" hidden="false" customHeight="false" outlineLevel="0" collapsed="false">
      <c r="A1268" s="6" t="s">
        <v>1996</v>
      </c>
      <c r="B1268" s="6" t="s">
        <v>77</v>
      </c>
      <c r="C1268" s="6" t="s">
        <v>1362</v>
      </c>
      <c r="D1268" s="6" t="s">
        <v>1330</v>
      </c>
      <c r="E1268" s="6"/>
      <c r="F1268" s="6" t="s">
        <v>1897</v>
      </c>
      <c r="G1268" s="6" t="s">
        <v>4540</v>
      </c>
      <c r="H1268" s="6" t="s">
        <v>4541</v>
      </c>
      <c r="I1268" s="6" t="n">
        <v>38</v>
      </c>
      <c r="J1268" s="6"/>
      <c r="K1268" s="6" t="s">
        <v>4542</v>
      </c>
      <c r="L1268" s="7"/>
      <c r="M1268" s="7"/>
    </row>
    <row r="1269" customFormat="false" ht="23.85" hidden="false" customHeight="false" outlineLevel="0" collapsed="false">
      <c r="A1269" s="6" t="s">
        <v>1996</v>
      </c>
      <c r="B1269" s="6" t="s">
        <v>77</v>
      </c>
      <c r="C1269" s="6" t="s">
        <v>1362</v>
      </c>
      <c r="D1269" s="6" t="s">
        <v>1330</v>
      </c>
      <c r="E1269" s="6"/>
      <c r="F1269" s="6" t="s">
        <v>1897</v>
      </c>
      <c r="G1269" s="6" t="s">
        <v>4543</v>
      </c>
      <c r="H1269" s="6" t="s">
        <v>4544</v>
      </c>
      <c r="I1269" s="6" t="n">
        <v>28</v>
      </c>
      <c r="J1269" s="6"/>
      <c r="K1269" s="6" t="s">
        <v>4545</v>
      </c>
      <c r="L1269" s="7"/>
      <c r="M1269" s="7"/>
    </row>
    <row r="1270" customFormat="false" ht="35.05" hidden="false" customHeight="false" outlineLevel="0" collapsed="false">
      <c r="A1270" s="6" t="s">
        <v>1996</v>
      </c>
      <c r="B1270" s="6" t="s">
        <v>77</v>
      </c>
      <c r="C1270" s="6" t="s">
        <v>1362</v>
      </c>
      <c r="D1270" s="6" t="s">
        <v>1330</v>
      </c>
      <c r="E1270" s="6"/>
      <c r="F1270" s="6" t="s">
        <v>1897</v>
      </c>
      <c r="G1270" s="6" t="s">
        <v>4546</v>
      </c>
      <c r="H1270" s="6" t="s">
        <v>4547</v>
      </c>
      <c r="I1270" s="6" t="n">
        <v>46</v>
      </c>
      <c r="J1270" s="6"/>
      <c r="K1270" s="6" t="s">
        <v>4548</v>
      </c>
      <c r="L1270" s="7"/>
      <c r="M1270" s="7"/>
    </row>
    <row r="1271" customFormat="false" ht="23.85" hidden="false" customHeight="false" outlineLevel="0" collapsed="false">
      <c r="A1271" s="6" t="s">
        <v>1998</v>
      </c>
      <c r="B1271" s="6" t="s">
        <v>77</v>
      </c>
      <c r="C1271" s="6" t="s">
        <v>1362</v>
      </c>
      <c r="D1271" s="6" t="s">
        <v>1330</v>
      </c>
      <c r="E1271" s="6"/>
      <c r="F1271" s="6" t="s">
        <v>1900</v>
      </c>
      <c r="G1271" s="6" t="s">
        <v>4537</v>
      </c>
      <c r="H1271" s="6" t="s">
        <v>4555</v>
      </c>
      <c r="I1271" s="6" t="n">
        <v>98</v>
      </c>
      <c r="J1271" s="6" t="s">
        <v>83</v>
      </c>
      <c r="K1271" s="6" t="s">
        <v>4556</v>
      </c>
      <c r="L1271" s="7"/>
      <c r="M1271" s="7"/>
    </row>
    <row r="1272" customFormat="false" ht="23.85" hidden="false" customHeight="false" outlineLevel="0" collapsed="false">
      <c r="A1272" s="6" t="s">
        <v>1998</v>
      </c>
      <c r="B1272" s="6" t="s">
        <v>77</v>
      </c>
      <c r="C1272" s="6" t="s">
        <v>1362</v>
      </c>
      <c r="D1272" s="6" t="s">
        <v>1330</v>
      </c>
      <c r="E1272" s="6"/>
      <c r="F1272" s="6" t="s">
        <v>1900</v>
      </c>
      <c r="G1272" s="6" t="s">
        <v>4540</v>
      </c>
      <c r="H1272" s="6" t="s">
        <v>4541</v>
      </c>
      <c r="I1272" s="6" t="n">
        <v>38</v>
      </c>
      <c r="J1272" s="6"/>
      <c r="K1272" s="6" t="s">
        <v>4542</v>
      </c>
      <c r="L1272" s="7"/>
      <c r="M1272" s="7"/>
    </row>
    <row r="1273" customFormat="false" ht="23.85" hidden="false" customHeight="false" outlineLevel="0" collapsed="false">
      <c r="A1273" s="6" t="s">
        <v>1998</v>
      </c>
      <c r="B1273" s="6" t="s">
        <v>77</v>
      </c>
      <c r="C1273" s="6" t="s">
        <v>1362</v>
      </c>
      <c r="D1273" s="6" t="s">
        <v>1330</v>
      </c>
      <c r="E1273" s="6"/>
      <c r="F1273" s="6" t="s">
        <v>1900</v>
      </c>
      <c r="G1273" s="6" t="s">
        <v>4543</v>
      </c>
      <c r="H1273" s="6" t="s">
        <v>4544</v>
      </c>
      <c r="I1273" s="6" t="n">
        <v>28</v>
      </c>
      <c r="J1273" s="6"/>
      <c r="K1273" s="6" t="s">
        <v>4545</v>
      </c>
      <c r="L1273" s="7"/>
      <c r="M1273" s="7"/>
    </row>
    <row r="1274" customFormat="false" ht="35.05" hidden="false" customHeight="false" outlineLevel="0" collapsed="false">
      <c r="A1274" s="6" t="s">
        <v>1998</v>
      </c>
      <c r="B1274" s="6" t="s">
        <v>77</v>
      </c>
      <c r="C1274" s="6" t="s">
        <v>1362</v>
      </c>
      <c r="D1274" s="6" t="s">
        <v>1330</v>
      </c>
      <c r="E1274" s="6"/>
      <c r="F1274" s="6" t="s">
        <v>1900</v>
      </c>
      <c r="G1274" s="6" t="s">
        <v>4546</v>
      </c>
      <c r="H1274" s="6" t="s">
        <v>4547</v>
      </c>
      <c r="I1274" s="6" t="n">
        <v>46</v>
      </c>
      <c r="J1274" s="6"/>
      <c r="K1274" s="6" t="s">
        <v>4548</v>
      </c>
      <c r="L1274" s="7"/>
      <c r="M1274" s="7"/>
    </row>
    <row r="1275" customFormat="false" ht="23.85" hidden="false" customHeight="false" outlineLevel="0" collapsed="false">
      <c r="A1275" s="6" t="s">
        <v>2000</v>
      </c>
      <c r="B1275" s="6" t="s">
        <v>77</v>
      </c>
      <c r="C1275" s="6" t="s">
        <v>1362</v>
      </c>
      <c r="D1275" s="6" t="s">
        <v>1330</v>
      </c>
      <c r="E1275" s="6"/>
      <c r="F1275" s="6" t="s">
        <v>1903</v>
      </c>
      <c r="G1275" s="6" t="s">
        <v>4537</v>
      </c>
      <c r="H1275" s="6" t="s">
        <v>4555</v>
      </c>
      <c r="I1275" s="6" t="n">
        <v>98</v>
      </c>
      <c r="J1275" s="6" t="s">
        <v>83</v>
      </c>
      <c r="K1275" s="6" t="s">
        <v>4556</v>
      </c>
      <c r="L1275" s="7"/>
      <c r="M1275" s="7"/>
    </row>
    <row r="1276" customFormat="false" ht="23.85" hidden="false" customHeight="false" outlineLevel="0" collapsed="false">
      <c r="A1276" s="6" t="s">
        <v>2000</v>
      </c>
      <c r="B1276" s="6" t="s">
        <v>77</v>
      </c>
      <c r="C1276" s="6" t="s">
        <v>1362</v>
      </c>
      <c r="D1276" s="6" t="s">
        <v>1330</v>
      </c>
      <c r="E1276" s="6"/>
      <c r="F1276" s="6" t="s">
        <v>1903</v>
      </c>
      <c r="G1276" s="6" t="s">
        <v>4540</v>
      </c>
      <c r="H1276" s="6" t="s">
        <v>4541</v>
      </c>
      <c r="I1276" s="6" t="n">
        <v>38</v>
      </c>
      <c r="J1276" s="6"/>
      <c r="K1276" s="6" t="s">
        <v>4542</v>
      </c>
      <c r="L1276" s="7"/>
      <c r="M1276" s="7"/>
    </row>
    <row r="1277" customFormat="false" ht="23.85" hidden="false" customHeight="false" outlineLevel="0" collapsed="false">
      <c r="A1277" s="6" t="s">
        <v>2000</v>
      </c>
      <c r="B1277" s="6" t="s">
        <v>77</v>
      </c>
      <c r="C1277" s="6" t="s">
        <v>1362</v>
      </c>
      <c r="D1277" s="6" t="s">
        <v>1330</v>
      </c>
      <c r="E1277" s="6"/>
      <c r="F1277" s="6" t="s">
        <v>1903</v>
      </c>
      <c r="G1277" s="6" t="s">
        <v>4543</v>
      </c>
      <c r="H1277" s="6" t="s">
        <v>4544</v>
      </c>
      <c r="I1277" s="6" t="n">
        <v>28</v>
      </c>
      <c r="J1277" s="6"/>
      <c r="K1277" s="6" t="s">
        <v>4545</v>
      </c>
      <c r="L1277" s="7"/>
      <c r="M1277" s="7"/>
    </row>
    <row r="1278" customFormat="false" ht="35.05" hidden="false" customHeight="false" outlineLevel="0" collapsed="false">
      <c r="A1278" s="6" t="s">
        <v>2000</v>
      </c>
      <c r="B1278" s="6" t="s">
        <v>77</v>
      </c>
      <c r="C1278" s="6" t="s">
        <v>1362</v>
      </c>
      <c r="D1278" s="6" t="s">
        <v>1330</v>
      </c>
      <c r="E1278" s="6"/>
      <c r="F1278" s="6" t="s">
        <v>1903</v>
      </c>
      <c r="G1278" s="6" t="s">
        <v>4546</v>
      </c>
      <c r="H1278" s="6" t="s">
        <v>4547</v>
      </c>
      <c r="I1278" s="6" t="n">
        <v>46</v>
      </c>
      <c r="J1278" s="6"/>
      <c r="K1278" s="6" t="s">
        <v>4548</v>
      </c>
      <c r="L1278" s="7"/>
      <c r="M1278" s="7"/>
    </row>
    <row r="1279" customFormat="false" ht="23.85" hidden="false" customHeight="false" outlineLevel="0" collapsed="false">
      <c r="A1279" s="6" t="s">
        <v>2002</v>
      </c>
      <c r="B1279" s="6" t="s">
        <v>77</v>
      </c>
      <c r="C1279" s="6" t="s">
        <v>1362</v>
      </c>
      <c r="D1279" s="6" t="s">
        <v>1330</v>
      </c>
      <c r="E1279" s="6"/>
      <c r="F1279" s="6" t="s">
        <v>1906</v>
      </c>
      <c r="G1279" s="6" t="s">
        <v>4537</v>
      </c>
      <c r="H1279" s="6" t="s">
        <v>4555</v>
      </c>
      <c r="I1279" s="6" t="n">
        <v>98</v>
      </c>
      <c r="J1279" s="6" t="s">
        <v>83</v>
      </c>
      <c r="K1279" s="6" t="s">
        <v>4556</v>
      </c>
      <c r="L1279" s="7"/>
      <c r="M1279" s="7"/>
    </row>
    <row r="1280" customFormat="false" ht="23.85" hidden="false" customHeight="false" outlineLevel="0" collapsed="false">
      <c r="A1280" s="6" t="s">
        <v>2002</v>
      </c>
      <c r="B1280" s="6" t="s">
        <v>77</v>
      </c>
      <c r="C1280" s="6" t="s">
        <v>1362</v>
      </c>
      <c r="D1280" s="6" t="s">
        <v>1330</v>
      </c>
      <c r="E1280" s="6"/>
      <c r="F1280" s="6" t="s">
        <v>1906</v>
      </c>
      <c r="G1280" s="6" t="s">
        <v>4540</v>
      </c>
      <c r="H1280" s="6" t="s">
        <v>4541</v>
      </c>
      <c r="I1280" s="6" t="n">
        <v>38</v>
      </c>
      <c r="J1280" s="6"/>
      <c r="K1280" s="6" t="s">
        <v>4542</v>
      </c>
      <c r="L1280" s="7"/>
      <c r="M1280" s="7"/>
    </row>
    <row r="1281" customFormat="false" ht="23.85" hidden="false" customHeight="false" outlineLevel="0" collapsed="false">
      <c r="A1281" s="6" t="s">
        <v>2002</v>
      </c>
      <c r="B1281" s="6" t="s">
        <v>77</v>
      </c>
      <c r="C1281" s="6" t="s">
        <v>1362</v>
      </c>
      <c r="D1281" s="6" t="s">
        <v>1330</v>
      </c>
      <c r="E1281" s="6"/>
      <c r="F1281" s="6" t="s">
        <v>1906</v>
      </c>
      <c r="G1281" s="6" t="s">
        <v>4543</v>
      </c>
      <c r="H1281" s="6" t="s">
        <v>4544</v>
      </c>
      <c r="I1281" s="6" t="n">
        <v>28</v>
      </c>
      <c r="J1281" s="6"/>
      <c r="K1281" s="6" t="s">
        <v>4545</v>
      </c>
      <c r="L1281" s="7"/>
      <c r="M1281" s="7"/>
    </row>
    <row r="1282" customFormat="false" ht="35.05" hidden="false" customHeight="false" outlineLevel="0" collapsed="false">
      <c r="A1282" s="6" t="s">
        <v>2002</v>
      </c>
      <c r="B1282" s="6" t="s">
        <v>77</v>
      </c>
      <c r="C1282" s="6" t="s">
        <v>1362</v>
      </c>
      <c r="D1282" s="6" t="s">
        <v>1330</v>
      </c>
      <c r="E1282" s="6"/>
      <c r="F1282" s="6" t="s">
        <v>1906</v>
      </c>
      <c r="G1282" s="6" t="s">
        <v>4546</v>
      </c>
      <c r="H1282" s="6" t="s">
        <v>4547</v>
      </c>
      <c r="I1282" s="6" t="n">
        <v>46</v>
      </c>
      <c r="J1282" s="6"/>
      <c r="K1282" s="6" t="s">
        <v>4548</v>
      </c>
      <c r="L1282" s="7"/>
      <c r="M1282" s="7"/>
    </row>
    <row r="1283" customFormat="false" ht="23.85" hidden="false" customHeight="false" outlineLevel="0" collapsed="false">
      <c r="A1283" s="6" t="s">
        <v>2004</v>
      </c>
      <c r="B1283" s="6" t="s">
        <v>77</v>
      </c>
      <c r="C1283" s="6" t="s">
        <v>1362</v>
      </c>
      <c r="D1283" s="6" t="s">
        <v>1330</v>
      </c>
      <c r="E1283" s="6"/>
      <c r="F1283" s="6" t="s">
        <v>1909</v>
      </c>
      <c r="G1283" s="6" t="s">
        <v>4537</v>
      </c>
      <c r="H1283" s="6" t="s">
        <v>4555</v>
      </c>
      <c r="I1283" s="6" t="n">
        <v>98</v>
      </c>
      <c r="J1283" s="6" t="s">
        <v>83</v>
      </c>
      <c r="K1283" s="6" t="s">
        <v>4556</v>
      </c>
      <c r="L1283" s="7"/>
      <c r="M1283" s="7"/>
    </row>
    <row r="1284" customFormat="false" ht="23.85" hidden="false" customHeight="false" outlineLevel="0" collapsed="false">
      <c r="A1284" s="6" t="s">
        <v>2004</v>
      </c>
      <c r="B1284" s="6" t="s">
        <v>77</v>
      </c>
      <c r="C1284" s="6" t="s">
        <v>1362</v>
      </c>
      <c r="D1284" s="6" t="s">
        <v>1330</v>
      </c>
      <c r="E1284" s="6"/>
      <c r="F1284" s="6" t="s">
        <v>1909</v>
      </c>
      <c r="G1284" s="6" t="s">
        <v>4540</v>
      </c>
      <c r="H1284" s="6" t="s">
        <v>4541</v>
      </c>
      <c r="I1284" s="6" t="n">
        <v>38</v>
      </c>
      <c r="J1284" s="6"/>
      <c r="K1284" s="6" t="s">
        <v>4542</v>
      </c>
      <c r="L1284" s="7"/>
      <c r="M1284" s="7"/>
    </row>
    <row r="1285" customFormat="false" ht="23.85" hidden="false" customHeight="false" outlineLevel="0" collapsed="false">
      <c r="A1285" s="6" t="s">
        <v>2004</v>
      </c>
      <c r="B1285" s="6" t="s">
        <v>77</v>
      </c>
      <c r="C1285" s="6" t="s">
        <v>1362</v>
      </c>
      <c r="D1285" s="6" t="s">
        <v>1330</v>
      </c>
      <c r="E1285" s="6"/>
      <c r="F1285" s="6" t="s">
        <v>1909</v>
      </c>
      <c r="G1285" s="6" t="s">
        <v>4543</v>
      </c>
      <c r="H1285" s="6" t="s">
        <v>4544</v>
      </c>
      <c r="I1285" s="6" t="n">
        <v>28</v>
      </c>
      <c r="J1285" s="6"/>
      <c r="K1285" s="6" t="s">
        <v>4545</v>
      </c>
      <c r="L1285" s="7"/>
      <c r="M1285" s="7"/>
    </row>
    <row r="1286" customFormat="false" ht="35.05" hidden="false" customHeight="false" outlineLevel="0" collapsed="false">
      <c r="A1286" s="6" t="s">
        <v>2004</v>
      </c>
      <c r="B1286" s="6" t="s">
        <v>77</v>
      </c>
      <c r="C1286" s="6" t="s">
        <v>1362</v>
      </c>
      <c r="D1286" s="6" t="s">
        <v>1330</v>
      </c>
      <c r="E1286" s="6"/>
      <c r="F1286" s="6" t="s">
        <v>1909</v>
      </c>
      <c r="G1286" s="6" t="s">
        <v>4546</v>
      </c>
      <c r="H1286" s="6" t="s">
        <v>4547</v>
      </c>
      <c r="I1286" s="6" t="n">
        <v>46</v>
      </c>
      <c r="J1286" s="6"/>
      <c r="K1286" s="6" t="s">
        <v>4548</v>
      </c>
      <c r="L1286" s="7"/>
      <c r="M1286" s="7"/>
    </row>
    <row r="1287" customFormat="false" ht="35.05" hidden="false" customHeight="false" outlineLevel="0" collapsed="false">
      <c r="A1287" s="6" t="s">
        <v>2006</v>
      </c>
      <c r="B1287" s="6" t="s">
        <v>77</v>
      </c>
      <c r="C1287" s="6" t="s">
        <v>1362</v>
      </c>
      <c r="D1287" s="6" t="s">
        <v>1330</v>
      </c>
      <c r="E1287" s="6"/>
      <c r="F1287" s="6" t="s">
        <v>1879</v>
      </c>
      <c r="G1287" s="6" t="s">
        <v>4537</v>
      </c>
      <c r="H1287" s="6" t="s">
        <v>4557</v>
      </c>
      <c r="I1287" s="6" t="n">
        <v>98</v>
      </c>
      <c r="J1287" s="6" t="s">
        <v>83</v>
      </c>
      <c r="K1287" s="6" t="s">
        <v>4558</v>
      </c>
      <c r="L1287" s="7"/>
      <c r="M1287" s="7"/>
    </row>
    <row r="1288" customFormat="false" ht="23.85" hidden="false" customHeight="false" outlineLevel="0" collapsed="false">
      <c r="A1288" s="6" t="s">
        <v>2006</v>
      </c>
      <c r="B1288" s="6" t="s">
        <v>77</v>
      </c>
      <c r="C1288" s="6" t="s">
        <v>1362</v>
      </c>
      <c r="D1288" s="6" t="s">
        <v>1330</v>
      </c>
      <c r="E1288" s="6"/>
      <c r="F1288" s="6" t="s">
        <v>1879</v>
      </c>
      <c r="G1288" s="6" t="s">
        <v>4540</v>
      </c>
      <c r="H1288" s="6" t="s">
        <v>4541</v>
      </c>
      <c r="I1288" s="6" t="n">
        <v>38</v>
      </c>
      <c r="J1288" s="6"/>
      <c r="K1288" s="6" t="s">
        <v>4542</v>
      </c>
      <c r="L1288" s="7"/>
      <c r="M1288" s="7"/>
    </row>
    <row r="1289" customFormat="false" ht="23.85" hidden="false" customHeight="false" outlineLevel="0" collapsed="false">
      <c r="A1289" s="6" t="s">
        <v>2006</v>
      </c>
      <c r="B1289" s="6" t="s">
        <v>77</v>
      </c>
      <c r="C1289" s="6" t="s">
        <v>1362</v>
      </c>
      <c r="D1289" s="6" t="s">
        <v>1330</v>
      </c>
      <c r="E1289" s="6"/>
      <c r="F1289" s="6" t="s">
        <v>1879</v>
      </c>
      <c r="G1289" s="6" t="s">
        <v>4543</v>
      </c>
      <c r="H1289" s="6" t="s">
        <v>4544</v>
      </c>
      <c r="I1289" s="6" t="n">
        <v>28</v>
      </c>
      <c r="J1289" s="6"/>
      <c r="K1289" s="6" t="s">
        <v>4545</v>
      </c>
      <c r="L1289" s="7"/>
      <c r="M1289" s="7"/>
    </row>
    <row r="1290" customFormat="false" ht="35.05" hidden="false" customHeight="false" outlineLevel="0" collapsed="false">
      <c r="A1290" s="6" t="s">
        <v>2006</v>
      </c>
      <c r="B1290" s="6" t="s">
        <v>77</v>
      </c>
      <c r="C1290" s="6" t="s">
        <v>1362</v>
      </c>
      <c r="D1290" s="6" t="s">
        <v>1330</v>
      </c>
      <c r="E1290" s="6"/>
      <c r="F1290" s="6" t="s">
        <v>1879</v>
      </c>
      <c r="G1290" s="6" t="s">
        <v>4546</v>
      </c>
      <c r="H1290" s="6" t="s">
        <v>4547</v>
      </c>
      <c r="I1290" s="6" t="n">
        <v>46</v>
      </c>
      <c r="J1290" s="6"/>
      <c r="K1290" s="6" t="s">
        <v>4548</v>
      </c>
      <c r="L1290" s="7"/>
      <c r="M1290" s="7"/>
    </row>
    <row r="1291" customFormat="false" ht="35.05" hidden="false" customHeight="false" outlineLevel="0" collapsed="false">
      <c r="A1291" s="6" t="s">
        <v>2012</v>
      </c>
      <c r="B1291" s="6" t="s">
        <v>77</v>
      </c>
      <c r="C1291" s="6" t="s">
        <v>1362</v>
      </c>
      <c r="D1291" s="6" t="s">
        <v>1330</v>
      </c>
      <c r="E1291" s="6"/>
      <c r="F1291" s="6" t="s">
        <v>1885</v>
      </c>
      <c r="G1291" s="6" t="s">
        <v>4537</v>
      </c>
      <c r="H1291" s="6" t="s">
        <v>4557</v>
      </c>
      <c r="I1291" s="6" t="n">
        <v>98</v>
      </c>
      <c r="J1291" s="6" t="s">
        <v>83</v>
      </c>
      <c r="K1291" s="6" t="s">
        <v>4558</v>
      </c>
      <c r="L1291" s="7"/>
      <c r="M1291" s="7"/>
    </row>
    <row r="1292" customFormat="false" ht="23.85" hidden="false" customHeight="false" outlineLevel="0" collapsed="false">
      <c r="A1292" s="6" t="s">
        <v>2012</v>
      </c>
      <c r="B1292" s="6" t="s">
        <v>77</v>
      </c>
      <c r="C1292" s="6" t="s">
        <v>1362</v>
      </c>
      <c r="D1292" s="6" t="s">
        <v>1330</v>
      </c>
      <c r="E1292" s="6"/>
      <c r="F1292" s="6" t="s">
        <v>1885</v>
      </c>
      <c r="G1292" s="6" t="s">
        <v>4540</v>
      </c>
      <c r="H1292" s="6" t="s">
        <v>4541</v>
      </c>
      <c r="I1292" s="6" t="n">
        <v>38</v>
      </c>
      <c r="J1292" s="6"/>
      <c r="K1292" s="6" t="s">
        <v>4542</v>
      </c>
      <c r="L1292" s="7"/>
      <c r="M1292" s="7"/>
    </row>
    <row r="1293" customFormat="false" ht="23.85" hidden="false" customHeight="false" outlineLevel="0" collapsed="false">
      <c r="A1293" s="6" t="s">
        <v>2012</v>
      </c>
      <c r="B1293" s="6" t="s">
        <v>77</v>
      </c>
      <c r="C1293" s="6" t="s">
        <v>1362</v>
      </c>
      <c r="D1293" s="6" t="s">
        <v>1330</v>
      </c>
      <c r="E1293" s="6"/>
      <c r="F1293" s="6" t="s">
        <v>1885</v>
      </c>
      <c r="G1293" s="6" t="s">
        <v>4543</v>
      </c>
      <c r="H1293" s="6" t="s">
        <v>4544</v>
      </c>
      <c r="I1293" s="6" t="n">
        <v>28</v>
      </c>
      <c r="J1293" s="6"/>
      <c r="K1293" s="6" t="s">
        <v>4545</v>
      </c>
      <c r="L1293" s="7"/>
      <c r="M1293" s="7"/>
    </row>
    <row r="1294" customFormat="false" ht="35.05" hidden="false" customHeight="false" outlineLevel="0" collapsed="false">
      <c r="A1294" s="6" t="s">
        <v>2012</v>
      </c>
      <c r="B1294" s="6" t="s">
        <v>77</v>
      </c>
      <c r="C1294" s="6" t="s">
        <v>1362</v>
      </c>
      <c r="D1294" s="6" t="s">
        <v>1330</v>
      </c>
      <c r="E1294" s="6"/>
      <c r="F1294" s="6" t="s">
        <v>1885</v>
      </c>
      <c r="G1294" s="6" t="s">
        <v>4546</v>
      </c>
      <c r="H1294" s="6" t="s">
        <v>4547</v>
      </c>
      <c r="I1294" s="6" t="n">
        <v>46</v>
      </c>
      <c r="J1294" s="6"/>
      <c r="K1294" s="6" t="s">
        <v>4548</v>
      </c>
      <c r="L1294" s="7"/>
      <c r="M1294" s="7"/>
    </row>
    <row r="1295" customFormat="false" ht="35.05" hidden="false" customHeight="false" outlineLevel="0" collapsed="false">
      <c r="A1295" s="6" t="s">
        <v>2014</v>
      </c>
      <c r="B1295" s="6" t="s">
        <v>77</v>
      </c>
      <c r="C1295" s="6" t="s">
        <v>1362</v>
      </c>
      <c r="D1295" s="6" t="s">
        <v>1330</v>
      </c>
      <c r="E1295" s="6"/>
      <c r="F1295" s="6" t="s">
        <v>1888</v>
      </c>
      <c r="G1295" s="6" t="s">
        <v>4537</v>
      </c>
      <c r="H1295" s="6" t="s">
        <v>4557</v>
      </c>
      <c r="I1295" s="6" t="n">
        <v>98</v>
      </c>
      <c r="J1295" s="6" t="s">
        <v>83</v>
      </c>
      <c r="K1295" s="6" t="s">
        <v>4558</v>
      </c>
      <c r="L1295" s="7"/>
      <c r="M1295" s="7"/>
    </row>
    <row r="1296" customFormat="false" ht="23.85" hidden="false" customHeight="false" outlineLevel="0" collapsed="false">
      <c r="A1296" s="6" t="s">
        <v>2014</v>
      </c>
      <c r="B1296" s="6" t="s">
        <v>77</v>
      </c>
      <c r="C1296" s="6" t="s">
        <v>1362</v>
      </c>
      <c r="D1296" s="6" t="s">
        <v>1330</v>
      </c>
      <c r="E1296" s="6"/>
      <c r="F1296" s="6" t="s">
        <v>1888</v>
      </c>
      <c r="G1296" s="6" t="s">
        <v>4540</v>
      </c>
      <c r="H1296" s="6" t="s">
        <v>4541</v>
      </c>
      <c r="I1296" s="6" t="n">
        <v>38</v>
      </c>
      <c r="J1296" s="6"/>
      <c r="K1296" s="6" t="s">
        <v>4542</v>
      </c>
      <c r="L1296" s="7"/>
      <c r="M1296" s="7"/>
    </row>
    <row r="1297" customFormat="false" ht="23.85" hidden="false" customHeight="false" outlineLevel="0" collapsed="false">
      <c r="A1297" s="6" t="s">
        <v>2014</v>
      </c>
      <c r="B1297" s="6" t="s">
        <v>77</v>
      </c>
      <c r="C1297" s="6" t="s">
        <v>1362</v>
      </c>
      <c r="D1297" s="6" t="s">
        <v>1330</v>
      </c>
      <c r="E1297" s="6"/>
      <c r="F1297" s="6" t="s">
        <v>1888</v>
      </c>
      <c r="G1297" s="6" t="s">
        <v>4543</v>
      </c>
      <c r="H1297" s="6" t="s">
        <v>4544</v>
      </c>
      <c r="I1297" s="6" t="n">
        <v>28</v>
      </c>
      <c r="J1297" s="6"/>
      <c r="K1297" s="6" t="s">
        <v>4545</v>
      </c>
      <c r="L1297" s="7"/>
      <c r="M1297" s="7"/>
    </row>
    <row r="1298" customFormat="false" ht="35.05" hidden="false" customHeight="false" outlineLevel="0" collapsed="false">
      <c r="A1298" s="6" t="s">
        <v>2014</v>
      </c>
      <c r="B1298" s="6" t="s">
        <v>77</v>
      </c>
      <c r="C1298" s="6" t="s">
        <v>1362</v>
      </c>
      <c r="D1298" s="6" t="s">
        <v>1330</v>
      </c>
      <c r="E1298" s="6"/>
      <c r="F1298" s="6" t="s">
        <v>1888</v>
      </c>
      <c r="G1298" s="6" t="s">
        <v>4546</v>
      </c>
      <c r="H1298" s="6" t="s">
        <v>4547</v>
      </c>
      <c r="I1298" s="6" t="n">
        <v>46</v>
      </c>
      <c r="J1298" s="6"/>
      <c r="K1298" s="6" t="s">
        <v>4548</v>
      </c>
      <c r="L1298" s="7"/>
      <c r="M1298" s="7"/>
    </row>
    <row r="1299" customFormat="false" ht="35.05" hidden="false" customHeight="false" outlineLevel="0" collapsed="false">
      <c r="A1299" s="6" t="s">
        <v>2016</v>
      </c>
      <c r="B1299" s="6" t="s">
        <v>77</v>
      </c>
      <c r="C1299" s="6" t="s">
        <v>1362</v>
      </c>
      <c r="D1299" s="6" t="s">
        <v>1330</v>
      </c>
      <c r="E1299" s="6"/>
      <c r="F1299" s="6" t="s">
        <v>1891</v>
      </c>
      <c r="G1299" s="6" t="s">
        <v>4537</v>
      </c>
      <c r="H1299" s="6" t="s">
        <v>4557</v>
      </c>
      <c r="I1299" s="6" t="n">
        <v>98</v>
      </c>
      <c r="J1299" s="6" t="s">
        <v>83</v>
      </c>
      <c r="K1299" s="6" t="s">
        <v>4558</v>
      </c>
      <c r="L1299" s="7"/>
      <c r="M1299" s="7"/>
    </row>
    <row r="1300" customFormat="false" ht="23.85" hidden="false" customHeight="false" outlineLevel="0" collapsed="false">
      <c r="A1300" s="6" t="s">
        <v>2016</v>
      </c>
      <c r="B1300" s="6" t="s">
        <v>77</v>
      </c>
      <c r="C1300" s="6" t="s">
        <v>1362</v>
      </c>
      <c r="D1300" s="6" t="s">
        <v>1330</v>
      </c>
      <c r="E1300" s="6"/>
      <c r="F1300" s="6" t="s">
        <v>1891</v>
      </c>
      <c r="G1300" s="6" t="s">
        <v>4540</v>
      </c>
      <c r="H1300" s="6" t="s">
        <v>4541</v>
      </c>
      <c r="I1300" s="6" t="n">
        <v>38</v>
      </c>
      <c r="J1300" s="6"/>
      <c r="K1300" s="6" t="s">
        <v>4542</v>
      </c>
      <c r="L1300" s="7"/>
      <c r="M1300" s="7"/>
    </row>
    <row r="1301" customFormat="false" ht="23.85" hidden="false" customHeight="false" outlineLevel="0" collapsed="false">
      <c r="A1301" s="6" t="s">
        <v>2016</v>
      </c>
      <c r="B1301" s="6" t="s">
        <v>77</v>
      </c>
      <c r="C1301" s="6" t="s">
        <v>1362</v>
      </c>
      <c r="D1301" s="6" t="s">
        <v>1330</v>
      </c>
      <c r="E1301" s="6"/>
      <c r="F1301" s="6" t="s">
        <v>1891</v>
      </c>
      <c r="G1301" s="6" t="s">
        <v>4543</v>
      </c>
      <c r="H1301" s="6" t="s">
        <v>4544</v>
      </c>
      <c r="I1301" s="6" t="n">
        <v>28</v>
      </c>
      <c r="J1301" s="6"/>
      <c r="K1301" s="6" t="s">
        <v>4545</v>
      </c>
      <c r="L1301" s="7"/>
      <c r="M1301" s="7"/>
    </row>
    <row r="1302" customFormat="false" ht="35.05" hidden="false" customHeight="false" outlineLevel="0" collapsed="false">
      <c r="A1302" s="6" t="s">
        <v>2016</v>
      </c>
      <c r="B1302" s="6" t="s">
        <v>77</v>
      </c>
      <c r="C1302" s="6" t="s">
        <v>1362</v>
      </c>
      <c r="D1302" s="6" t="s">
        <v>1330</v>
      </c>
      <c r="E1302" s="6"/>
      <c r="F1302" s="6" t="s">
        <v>1891</v>
      </c>
      <c r="G1302" s="6" t="s">
        <v>4546</v>
      </c>
      <c r="H1302" s="6" t="s">
        <v>4547</v>
      </c>
      <c r="I1302" s="6" t="n">
        <v>46</v>
      </c>
      <c r="J1302" s="6"/>
      <c r="K1302" s="6" t="s">
        <v>4548</v>
      </c>
      <c r="L1302" s="7"/>
      <c r="M1302" s="7"/>
    </row>
    <row r="1303" customFormat="false" ht="35.05" hidden="false" customHeight="false" outlineLevel="0" collapsed="false">
      <c r="A1303" s="6" t="s">
        <v>2018</v>
      </c>
      <c r="B1303" s="6" t="s">
        <v>77</v>
      </c>
      <c r="C1303" s="6" t="s">
        <v>1362</v>
      </c>
      <c r="D1303" s="6" t="s">
        <v>1330</v>
      </c>
      <c r="E1303" s="6"/>
      <c r="F1303" s="6" t="s">
        <v>1894</v>
      </c>
      <c r="G1303" s="6" t="s">
        <v>4537</v>
      </c>
      <c r="H1303" s="6" t="s">
        <v>4557</v>
      </c>
      <c r="I1303" s="6" t="n">
        <v>98</v>
      </c>
      <c r="J1303" s="6" t="s">
        <v>83</v>
      </c>
      <c r="K1303" s="6" t="s">
        <v>4558</v>
      </c>
      <c r="L1303" s="7"/>
      <c r="M1303" s="7"/>
    </row>
    <row r="1304" customFormat="false" ht="23.85" hidden="false" customHeight="false" outlineLevel="0" collapsed="false">
      <c r="A1304" s="6" t="s">
        <v>2018</v>
      </c>
      <c r="B1304" s="6" t="s">
        <v>77</v>
      </c>
      <c r="C1304" s="6" t="s">
        <v>1362</v>
      </c>
      <c r="D1304" s="6" t="s">
        <v>1330</v>
      </c>
      <c r="E1304" s="6"/>
      <c r="F1304" s="6" t="s">
        <v>1894</v>
      </c>
      <c r="G1304" s="6" t="s">
        <v>4540</v>
      </c>
      <c r="H1304" s="6" t="s">
        <v>4541</v>
      </c>
      <c r="I1304" s="6" t="n">
        <v>38</v>
      </c>
      <c r="J1304" s="6"/>
      <c r="K1304" s="6" t="s">
        <v>4542</v>
      </c>
      <c r="L1304" s="7"/>
      <c r="M1304" s="7"/>
    </row>
    <row r="1305" customFormat="false" ht="23.85" hidden="false" customHeight="false" outlineLevel="0" collapsed="false">
      <c r="A1305" s="6" t="s">
        <v>2018</v>
      </c>
      <c r="B1305" s="6" t="s">
        <v>77</v>
      </c>
      <c r="C1305" s="6" t="s">
        <v>1362</v>
      </c>
      <c r="D1305" s="6" t="s">
        <v>1330</v>
      </c>
      <c r="E1305" s="6"/>
      <c r="F1305" s="6" t="s">
        <v>1894</v>
      </c>
      <c r="G1305" s="6" t="s">
        <v>4543</v>
      </c>
      <c r="H1305" s="6" t="s">
        <v>4544</v>
      </c>
      <c r="I1305" s="6" t="n">
        <v>28</v>
      </c>
      <c r="J1305" s="6"/>
      <c r="K1305" s="6" t="s">
        <v>4545</v>
      </c>
      <c r="L1305" s="7"/>
      <c r="M1305" s="7"/>
    </row>
    <row r="1306" customFormat="false" ht="35.05" hidden="false" customHeight="false" outlineLevel="0" collapsed="false">
      <c r="A1306" s="6" t="s">
        <v>2018</v>
      </c>
      <c r="B1306" s="6" t="s">
        <v>77</v>
      </c>
      <c r="C1306" s="6" t="s">
        <v>1362</v>
      </c>
      <c r="D1306" s="6" t="s">
        <v>1330</v>
      </c>
      <c r="E1306" s="6"/>
      <c r="F1306" s="6" t="s">
        <v>1894</v>
      </c>
      <c r="G1306" s="6" t="s">
        <v>4546</v>
      </c>
      <c r="H1306" s="6" t="s">
        <v>4547</v>
      </c>
      <c r="I1306" s="6" t="n">
        <v>46</v>
      </c>
      <c r="J1306" s="6"/>
      <c r="K1306" s="6" t="s">
        <v>4548</v>
      </c>
      <c r="L1306" s="7"/>
      <c r="M1306" s="7"/>
    </row>
    <row r="1307" customFormat="false" ht="35.05" hidden="false" customHeight="false" outlineLevel="0" collapsed="false">
      <c r="A1307" s="6" t="s">
        <v>2020</v>
      </c>
      <c r="B1307" s="6" t="s">
        <v>77</v>
      </c>
      <c r="C1307" s="6" t="s">
        <v>1362</v>
      </c>
      <c r="D1307" s="6" t="s">
        <v>1330</v>
      </c>
      <c r="E1307" s="6"/>
      <c r="F1307" s="6" t="s">
        <v>1897</v>
      </c>
      <c r="G1307" s="6" t="s">
        <v>4537</v>
      </c>
      <c r="H1307" s="6" t="s">
        <v>4557</v>
      </c>
      <c r="I1307" s="6" t="n">
        <v>98</v>
      </c>
      <c r="J1307" s="6" t="s">
        <v>83</v>
      </c>
      <c r="K1307" s="6" t="s">
        <v>4558</v>
      </c>
      <c r="L1307" s="7"/>
      <c r="M1307" s="7"/>
    </row>
    <row r="1308" customFormat="false" ht="23.85" hidden="false" customHeight="false" outlineLevel="0" collapsed="false">
      <c r="A1308" s="6" t="s">
        <v>2020</v>
      </c>
      <c r="B1308" s="6" t="s">
        <v>77</v>
      </c>
      <c r="C1308" s="6" t="s">
        <v>1362</v>
      </c>
      <c r="D1308" s="6" t="s">
        <v>1330</v>
      </c>
      <c r="E1308" s="6"/>
      <c r="F1308" s="6" t="s">
        <v>1897</v>
      </c>
      <c r="G1308" s="6" t="s">
        <v>4540</v>
      </c>
      <c r="H1308" s="6" t="s">
        <v>4541</v>
      </c>
      <c r="I1308" s="6" t="n">
        <v>38</v>
      </c>
      <c r="J1308" s="6"/>
      <c r="K1308" s="6" t="s">
        <v>4542</v>
      </c>
      <c r="L1308" s="7"/>
      <c r="M1308" s="7"/>
    </row>
    <row r="1309" customFormat="false" ht="23.85" hidden="false" customHeight="false" outlineLevel="0" collapsed="false">
      <c r="A1309" s="6" t="s">
        <v>2020</v>
      </c>
      <c r="B1309" s="6" t="s">
        <v>77</v>
      </c>
      <c r="C1309" s="6" t="s">
        <v>1362</v>
      </c>
      <c r="D1309" s="6" t="s">
        <v>1330</v>
      </c>
      <c r="E1309" s="6"/>
      <c r="F1309" s="6" t="s">
        <v>1897</v>
      </c>
      <c r="G1309" s="6" t="s">
        <v>4543</v>
      </c>
      <c r="H1309" s="6" t="s">
        <v>4544</v>
      </c>
      <c r="I1309" s="6" t="n">
        <v>28</v>
      </c>
      <c r="J1309" s="6"/>
      <c r="K1309" s="6" t="s">
        <v>4545</v>
      </c>
      <c r="L1309" s="7"/>
      <c r="M1309" s="7"/>
    </row>
    <row r="1310" customFormat="false" ht="35.05" hidden="false" customHeight="false" outlineLevel="0" collapsed="false">
      <c r="A1310" s="6" t="s">
        <v>2020</v>
      </c>
      <c r="B1310" s="6" t="s">
        <v>77</v>
      </c>
      <c r="C1310" s="6" t="s">
        <v>1362</v>
      </c>
      <c r="D1310" s="6" t="s">
        <v>1330</v>
      </c>
      <c r="E1310" s="6"/>
      <c r="F1310" s="6" t="s">
        <v>1897</v>
      </c>
      <c r="G1310" s="6" t="s">
        <v>4546</v>
      </c>
      <c r="H1310" s="6" t="s">
        <v>4547</v>
      </c>
      <c r="I1310" s="6" t="n">
        <v>46</v>
      </c>
      <c r="J1310" s="6"/>
      <c r="K1310" s="6" t="s">
        <v>4548</v>
      </c>
      <c r="L1310" s="7"/>
      <c r="M1310" s="7"/>
    </row>
    <row r="1311" customFormat="false" ht="35.05" hidden="false" customHeight="false" outlineLevel="0" collapsed="false">
      <c r="A1311" s="6" t="s">
        <v>2022</v>
      </c>
      <c r="B1311" s="6" t="s">
        <v>77</v>
      </c>
      <c r="C1311" s="6" t="s">
        <v>1362</v>
      </c>
      <c r="D1311" s="6" t="s">
        <v>1330</v>
      </c>
      <c r="E1311" s="6"/>
      <c r="F1311" s="6" t="s">
        <v>1900</v>
      </c>
      <c r="G1311" s="6" t="s">
        <v>4537</v>
      </c>
      <c r="H1311" s="6" t="s">
        <v>4557</v>
      </c>
      <c r="I1311" s="6" t="n">
        <v>98</v>
      </c>
      <c r="J1311" s="6" t="s">
        <v>83</v>
      </c>
      <c r="K1311" s="6" t="s">
        <v>4558</v>
      </c>
      <c r="L1311" s="7"/>
      <c r="M1311" s="7"/>
    </row>
    <row r="1312" customFormat="false" ht="23.85" hidden="false" customHeight="false" outlineLevel="0" collapsed="false">
      <c r="A1312" s="6" t="s">
        <v>2022</v>
      </c>
      <c r="B1312" s="6" t="s">
        <v>77</v>
      </c>
      <c r="C1312" s="6" t="s">
        <v>1362</v>
      </c>
      <c r="D1312" s="6" t="s">
        <v>1330</v>
      </c>
      <c r="E1312" s="6"/>
      <c r="F1312" s="6" t="s">
        <v>1900</v>
      </c>
      <c r="G1312" s="6" t="s">
        <v>4540</v>
      </c>
      <c r="H1312" s="6" t="s">
        <v>4541</v>
      </c>
      <c r="I1312" s="6" t="n">
        <v>38</v>
      </c>
      <c r="J1312" s="6"/>
      <c r="K1312" s="6" t="s">
        <v>4542</v>
      </c>
      <c r="L1312" s="7"/>
      <c r="M1312" s="7"/>
    </row>
    <row r="1313" customFormat="false" ht="23.85" hidden="false" customHeight="false" outlineLevel="0" collapsed="false">
      <c r="A1313" s="6" t="s">
        <v>2022</v>
      </c>
      <c r="B1313" s="6" t="s">
        <v>77</v>
      </c>
      <c r="C1313" s="6" t="s">
        <v>1362</v>
      </c>
      <c r="D1313" s="6" t="s">
        <v>1330</v>
      </c>
      <c r="E1313" s="6"/>
      <c r="F1313" s="6" t="s">
        <v>1900</v>
      </c>
      <c r="G1313" s="6" t="s">
        <v>4543</v>
      </c>
      <c r="H1313" s="6" t="s">
        <v>4544</v>
      </c>
      <c r="I1313" s="6" t="n">
        <v>28</v>
      </c>
      <c r="J1313" s="6"/>
      <c r="K1313" s="6" t="s">
        <v>4545</v>
      </c>
      <c r="L1313" s="7"/>
      <c r="M1313" s="7"/>
    </row>
    <row r="1314" customFormat="false" ht="35.05" hidden="false" customHeight="false" outlineLevel="0" collapsed="false">
      <c r="A1314" s="6" t="s">
        <v>2022</v>
      </c>
      <c r="B1314" s="6" t="s">
        <v>77</v>
      </c>
      <c r="C1314" s="6" t="s">
        <v>1362</v>
      </c>
      <c r="D1314" s="6" t="s">
        <v>1330</v>
      </c>
      <c r="E1314" s="6"/>
      <c r="F1314" s="6" t="s">
        <v>1900</v>
      </c>
      <c r="G1314" s="6" t="s">
        <v>4546</v>
      </c>
      <c r="H1314" s="6" t="s">
        <v>4547</v>
      </c>
      <c r="I1314" s="6" t="n">
        <v>46</v>
      </c>
      <c r="J1314" s="6"/>
      <c r="K1314" s="6" t="s">
        <v>4548</v>
      </c>
      <c r="L1314" s="7"/>
      <c r="M1314" s="7"/>
    </row>
    <row r="1315" customFormat="false" ht="35.05" hidden="false" customHeight="false" outlineLevel="0" collapsed="false">
      <c r="A1315" s="6" t="s">
        <v>2024</v>
      </c>
      <c r="B1315" s="6" t="s">
        <v>77</v>
      </c>
      <c r="C1315" s="6" t="s">
        <v>1362</v>
      </c>
      <c r="D1315" s="6" t="s">
        <v>1330</v>
      </c>
      <c r="E1315" s="6"/>
      <c r="F1315" s="6" t="s">
        <v>1903</v>
      </c>
      <c r="G1315" s="6" t="s">
        <v>4537</v>
      </c>
      <c r="H1315" s="6" t="s">
        <v>4557</v>
      </c>
      <c r="I1315" s="6" t="n">
        <v>98</v>
      </c>
      <c r="J1315" s="6" t="s">
        <v>83</v>
      </c>
      <c r="K1315" s="6" t="s">
        <v>4558</v>
      </c>
      <c r="L1315" s="7"/>
      <c r="M1315" s="7"/>
    </row>
    <row r="1316" customFormat="false" ht="23.85" hidden="false" customHeight="false" outlineLevel="0" collapsed="false">
      <c r="A1316" s="6" t="s">
        <v>2024</v>
      </c>
      <c r="B1316" s="6" t="s">
        <v>77</v>
      </c>
      <c r="C1316" s="6" t="s">
        <v>1362</v>
      </c>
      <c r="D1316" s="6" t="s">
        <v>1330</v>
      </c>
      <c r="E1316" s="6"/>
      <c r="F1316" s="6" t="s">
        <v>1903</v>
      </c>
      <c r="G1316" s="6" t="s">
        <v>4540</v>
      </c>
      <c r="H1316" s="6" t="s">
        <v>4541</v>
      </c>
      <c r="I1316" s="6" t="n">
        <v>38</v>
      </c>
      <c r="J1316" s="6"/>
      <c r="K1316" s="6" t="s">
        <v>4542</v>
      </c>
      <c r="L1316" s="7"/>
      <c r="M1316" s="7"/>
    </row>
    <row r="1317" customFormat="false" ht="23.85" hidden="false" customHeight="false" outlineLevel="0" collapsed="false">
      <c r="A1317" s="6" t="s">
        <v>2024</v>
      </c>
      <c r="B1317" s="6" t="s">
        <v>77</v>
      </c>
      <c r="C1317" s="6" t="s">
        <v>1362</v>
      </c>
      <c r="D1317" s="6" t="s">
        <v>1330</v>
      </c>
      <c r="E1317" s="6"/>
      <c r="F1317" s="6" t="s">
        <v>1903</v>
      </c>
      <c r="G1317" s="6" t="s">
        <v>4543</v>
      </c>
      <c r="H1317" s="6" t="s">
        <v>4544</v>
      </c>
      <c r="I1317" s="6" t="n">
        <v>28</v>
      </c>
      <c r="J1317" s="6"/>
      <c r="K1317" s="6" t="s">
        <v>4545</v>
      </c>
      <c r="L1317" s="7"/>
      <c r="M1317" s="7"/>
    </row>
    <row r="1318" customFormat="false" ht="35.05" hidden="false" customHeight="false" outlineLevel="0" collapsed="false">
      <c r="A1318" s="6" t="s">
        <v>2024</v>
      </c>
      <c r="B1318" s="6" t="s">
        <v>77</v>
      </c>
      <c r="C1318" s="6" t="s">
        <v>1362</v>
      </c>
      <c r="D1318" s="6" t="s">
        <v>1330</v>
      </c>
      <c r="E1318" s="6"/>
      <c r="F1318" s="6" t="s">
        <v>1903</v>
      </c>
      <c r="G1318" s="6" t="s">
        <v>4546</v>
      </c>
      <c r="H1318" s="6" t="s">
        <v>4547</v>
      </c>
      <c r="I1318" s="6" t="n">
        <v>46</v>
      </c>
      <c r="J1318" s="6"/>
      <c r="K1318" s="6" t="s">
        <v>4548</v>
      </c>
      <c r="L1318" s="7"/>
      <c r="M1318" s="7"/>
    </row>
    <row r="1319" customFormat="false" ht="35.05" hidden="false" customHeight="false" outlineLevel="0" collapsed="false">
      <c r="A1319" s="6" t="s">
        <v>2026</v>
      </c>
      <c r="B1319" s="6" t="s">
        <v>77</v>
      </c>
      <c r="C1319" s="6" t="s">
        <v>1362</v>
      </c>
      <c r="D1319" s="6" t="s">
        <v>1330</v>
      </c>
      <c r="E1319" s="6"/>
      <c r="F1319" s="6" t="s">
        <v>1906</v>
      </c>
      <c r="G1319" s="6" t="s">
        <v>4537</v>
      </c>
      <c r="H1319" s="6" t="s">
        <v>4557</v>
      </c>
      <c r="I1319" s="6" t="n">
        <v>98</v>
      </c>
      <c r="J1319" s="6" t="s">
        <v>83</v>
      </c>
      <c r="K1319" s="6" t="s">
        <v>4558</v>
      </c>
      <c r="L1319" s="7"/>
      <c r="M1319" s="7"/>
    </row>
    <row r="1320" customFormat="false" ht="23.85" hidden="false" customHeight="false" outlineLevel="0" collapsed="false">
      <c r="A1320" s="6" t="s">
        <v>2026</v>
      </c>
      <c r="B1320" s="6" t="s">
        <v>77</v>
      </c>
      <c r="C1320" s="6" t="s">
        <v>1362</v>
      </c>
      <c r="D1320" s="6" t="s">
        <v>1330</v>
      </c>
      <c r="E1320" s="6"/>
      <c r="F1320" s="6" t="s">
        <v>1906</v>
      </c>
      <c r="G1320" s="6" t="s">
        <v>4540</v>
      </c>
      <c r="H1320" s="6" t="s">
        <v>4541</v>
      </c>
      <c r="I1320" s="6" t="n">
        <v>38</v>
      </c>
      <c r="J1320" s="6"/>
      <c r="K1320" s="6" t="s">
        <v>4542</v>
      </c>
      <c r="L1320" s="7"/>
      <c r="M1320" s="7"/>
    </row>
    <row r="1321" customFormat="false" ht="23.85" hidden="false" customHeight="false" outlineLevel="0" collapsed="false">
      <c r="A1321" s="6" t="s">
        <v>2026</v>
      </c>
      <c r="B1321" s="6" t="s">
        <v>77</v>
      </c>
      <c r="C1321" s="6" t="s">
        <v>1362</v>
      </c>
      <c r="D1321" s="6" t="s">
        <v>1330</v>
      </c>
      <c r="E1321" s="6"/>
      <c r="F1321" s="6" t="s">
        <v>1906</v>
      </c>
      <c r="G1321" s="6" t="s">
        <v>4543</v>
      </c>
      <c r="H1321" s="6" t="s">
        <v>4544</v>
      </c>
      <c r="I1321" s="6" t="n">
        <v>28</v>
      </c>
      <c r="J1321" s="6"/>
      <c r="K1321" s="6" t="s">
        <v>4545</v>
      </c>
      <c r="L1321" s="7"/>
      <c r="M1321" s="7"/>
    </row>
    <row r="1322" customFormat="false" ht="35.05" hidden="false" customHeight="false" outlineLevel="0" collapsed="false">
      <c r="A1322" s="6" t="s">
        <v>2026</v>
      </c>
      <c r="B1322" s="6" t="s">
        <v>77</v>
      </c>
      <c r="C1322" s="6" t="s">
        <v>1362</v>
      </c>
      <c r="D1322" s="6" t="s">
        <v>1330</v>
      </c>
      <c r="E1322" s="6"/>
      <c r="F1322" s="6" t="s">
        <v>1906</v>
      </c>
      <c r="G1322" s="6" t="s">
        <v>4546</v>
      </c>
      <c r="H1322" s="6" t="s">
        <v>4547</v>
      </c>
      <c r="I1322" s="6" t="n">
        <v>46</v>
      </c>
      <c r="J1322" s="6"/>
      <c r="K1322" s="6" t="s">
        <v>4548</v>
      </c>
      <c r="L1322" s="7"/>
      <c r="M1322" s="7"/>
    </row>
    <row r="1323" customFormat="false" ht="35.05" hidden="false" customHeight="false" outlineLevel="0" collapsed="false">
      <c r="A1323" s="6" t="s">
        <v>2028</v>
      </c>
      <c r="B1323" s="6" t="s">
        <v>77</v>
      </c>
      <c r="C1323" s="6" t="s">
        <v>1362</v>
      </c>
      <c r="D1323" s="6" t="s">
        <v>1330</v>
      </c>
      <c r="E1323" s="6"/>
      <c r="F1323" s="6" t="s">
        <v>1909</v>
      </c>
      <c r="G1323" s="6" t="s">
        <v>4537</v>
      </c>
      <c r="H1323" s="6" t="s">
        <v>4557</v>
      </c>
      <c r="I1323" s="6" t="n">
        <v>98</v>
      </c>
      <c r="J1323" s="6" t="s">
        <v>83</v>
      </c>
      <c r="K1323" s="6" t="s">
        <v>4558</v>
      </c>
      <c r="L1323" s="7"/>
      <c r="M1323" s="7"/>
    </row>
    <row r="1324" customFormat="false" ht="23.85" hidden="false" customHeight="false" outlineLevel="0" collapsed="false">
      <c r="A1324" s="6" t="s">
        <v>2028</v>
      </c>
      <c r="B1324" s="6" t="s">
        <v>77</v>
      </c>
      <c r="C1324" s="6" t="s">
        <v>1362</v>
      </c>
      <c r="D1324" s="6" t="s">
        <v>1330</v>
      </c>
      <c r="E1324" s="6"/>
      <c r="F1324" s="6" t="s">
        <v>1909</v>
      </c>
      <c r="G1324" s="6" t="s">
        <v>4540</v>
      </c>
      <c r="H1324" s="6" t="s">
        <v>4541</v>
      </c>
      <c r="I1324" s="6" t="n">
        <v>38</v>
      </c>
      <c r="J1324" s="6"/>
      <c r="K1324" s="6" t="s">
        <v>4542</v>
      </c>
      <c r="L1324" s="7"/>
      <c r="M1324" s="7"/>
    </row>
    <row r="1325" customFormat="false" ht="23.85" hidden="false" customHeight="false" outlineLevel="0" collapsed="false">
      <c r="A1325" s="6" t="s">
        <v>2028</v>
      </c>
      <c r="B1325" s="6" t="s">
        <v>77</v>
      </c>
      <c r="C1325" s="6" t="s">
        <v>1362</v>
      </c>
      <c r="D1325" s="6" t="s">
        <v>1330</v>
      </c>
      <c r="E1325" s="6"/>
      <c r="F1325" s="6" t="s">
        <v>1909</v>
      </c>
      <c r="G1325" s="6" t="s">
        <v>4543</v>
      </c>
      <c r="H1325" s="6" t="s">
        <v>4544</v>
      </c>
      <c r="I1325" s="6" t="n">
        <v>28</v>
      </c>
      <c r="J1325" s="6"/>
      <c r="K1325" s="6" t="s">
        <v>4545</v>
      </c>
      <c r="L1325" s="7"/>
      <c r="M1325" s="7"/>
    </row>
    <row r="1326" customFormat="false" ht="35.05" hidden="false" customHeight="false" outlineLevel="0" collapsed="false">
      <c r="A1326" s="6" t="s">
        <v>2028</v>
      </c>
      <c r="B1326" s="6" t="s">
        <v>77</v>
      </c>
      <c r="C1326" s="6" t="s">
        <v>1362</v>
      </c>
      <c r="D1326" s="6" t="s">
        <v>1330</v>
      </c>
      <c r="E1326" s="6"/>
      <c r="F1326" s="6" t="s">
        <v>1909</v>
      </c>
      <c r="G1326" s="6" t="s">
        <v>4546</v>
      </c>
      <c r="H1326" s="6" t="s">
        <v>4547</v>
      </c>
      <c r="I1326" s="6" t="n">
        <v>46</v>
      </c>
      <c r="J1326" s="6"/>
      <c r="K1326" s="6" t="s">
        <v>4548</v>
      </c>
      <c r="L1326" s="7"/>
      <c r="M1326" s="7"/>
    </row>
    <row r="1327" customFormat="false" ht="23.85" hidden="false" customHeight="false" outlineLevel="0" collapsed="false">
      <c r="A1327" s="6" t="s">
        <v>2030</v>
      </c>
      <c r="B1327" s="6" t="s">
        <v>77</v>
      </c>
      <c r="C1327" s="6" t="s">
        <v>1362</v>
      </c>
      <c r="D1327" s="6" t="s">
        <v>1330</v>
      </c>
      <c r="E1327" s="6"/>
      <c r="F1327" s="6" t="s">
        <v>1879</v>
      </c>
      <c r="G1327" s="6" t="s">
        <v>4537</v>
      </c>
      <c r="H1327" s="6" t="s">
        <v>4559</v>
      </c>
      <c r="I1327" s="6" t="n">
        <v>98</v>
      </c>
      <c r="J1327" s="6" t="s">
        <v>83</v>
      </c>
      <c r="K1327" s="6" t="s">
        <v>4560</v>
      </c>
      <c r="L1327" s="7"/>
      <c r="M1327" s="7"/>
    </row>
    <row r="1328" customFormat="false" ht="23.85" hidden="false" customHeight="false" outlineLevel="0" collapsed="false">
      <c r="A1328" s="6" t="s">
        <v>2030</v>
      </c>
      <c r="B1328" s="6" t="s">
        <v>77</v>
      </c>
      <c r="C1328" s="6" t="s">
        <v>1362</v>
      </c>
      <c r="D1328" s="6" t="s">
        <v>1330</v>
      </c>
      <c r="E1328" s="6"/>
      <c r="F1328" s="6" t="s">
        <v>1879</v>
      </c>
      <c r="G1328" s="6" t="s">
        <v>4540</v>
      </c>
      <c r="H1328" s="6" t="s">
        <v>4541</v>
      </c>
      <c r="I1328" s="6" t="n">
        <v>38</v>
      </c>
      <c r="J1328" s="6"/>
      <c r="K1328" s="6" t="s">
        <v>4542</v>
      </c>
      <c r="L1328" s="7"/>
      <c r="M1328" s="7"/>
    </row>
    <row r="1329" customFormat="false" ht="23.85" hidden="false" customHeight="false" outlineLevel="0" collapsed="false">
      <c r="A1329" s="6" t="s">
        <v>2030</v>
      </c>
      <c r="B1329" s="6" t="s">
        <v>77</v>
      </c>
      <c r="C1329" s="6" t="s">
        <v>1362</v>
      </c>
      <c r="D1329" s="6" t="s">
        <v>1330</v>
      </c>
      <c r="E1329" s="6"/>
      <c r="F1329" s="6" t="s">
        <v>1879</v>
      </c>
      <c r="G1329" s="6" t="s">
        <v>4543</v>
      </c>
      <c r="H1329" s="6" t="s">
        <v>4544</v>
      </c>
      <c r="I1329" s="6" t="n">
        <v>28</v>
      </c>
      <c r="J1329" s="6"/>
      <c r="K1329" s="6" t="s">
        <v>4545</v>
      </c>
      <c r="L1329" s="7"/>
      <c r="M1329" s="7"/>
    </row>
    <row r="1330" customFormat="false" ht="35.05" hidden="false" customHeight="false" outlineLevel="0" collapsed="false">
      <c r="A1330" s="6" t="s">
        <v>2030</v>
      </c>
      <c r="B1330" s="6" t="s">
        <v>77</v>
      </c>
      <c r="C1330" s="6" t="s">
        <v>1362</v>
      </c>
      <c r="D1330" s="6" t="s">
        <v>1330</v>
      </c>
      <c r="E1330" s="6"/>
      <c r="F1330" s="6" t="s">
        <v>1879</v>
      </c>
      <c r="G1330" s="6" t="s">
        <v>4546</v>
      </c>
      <c r="H1330" s="6" t="s">
        <v>4547</v>
      </c>
      <c r="I1330" s="6" t="n">
        <v>46</v>
      </c>
      <c r="J1330" s="6"/>
      <c r="K1330" s="6" t="s">
        <v>4548</v>
      </c>
      <c r="L1330" s="7"/>
      <c r="M1330" s="7"/>
    </row>
    <row r="1331" customFormat="false" ht="23.85" hidden="false" customHeight="false" outlineLevel="0" collapsed="false">
      <c r="A1331" s="6" t="s">
        <v>2036</v>
      </c>
      <c r="B1331" s="6" t="s">
        <v>77</v>
      </c>
      <c r="C1331" s="6" t="s">
        <v>1362</v>
      </c>
      <c r="D1331" s="6" t="s">
        <v>1330</v>
      </c>
      <c r="E1331" s="6"/>
      <c r="F1331" s="6" t="s">
        <v>1885</v>
      </c>
      <c r="G1331" s="6" t="s">
        <v>4537</v>
      </c>
      <c r="H1331" s="6" t="s">
        <v>4559</v>
      </c>
      <c r="I1331" s="6" t="n">
        <v>98</v>
      </c>
      <c r="J1331" s="6" t="s">
        <v>83</v>
      </c>
      <c r="K1331" s="6" t="s">
        <v>4560</v>
      </c>
      <c r="L1331" s="7"/>
      <c r="M1331" s="7"/>
    </row>
    <row r="1332" customFormat="false" ht="23.85" hidden="false" customHeight="false" outlineLevel="0" collapsed="false">
      <c r="A1332" s="6" t="s">
        <v>2036</v>
      </c>
      <c r="B1332" s="6" t="s">
        <v>77</v>
      </c>
      <c r="C1332" s="6" t="s">
        <v>1362</v>
      </c>
      <c r="D1332" s="6" t="s">
        <v>1330</v>
      </c>
      <c r="E1332" s="6"/>
      <c r="F1332" s="6" t="s">
        <v>1885</v>
      </c>
      <c r="G1332" s="6" t="s">
        <v>4540</v>
      </c>
      <c r="H1332" s="6" t="s">
        <v>4541</v>
      </c>
      <c r="I1332" s="6" t="n">
        <v>38</v>
      </c>
      <c r="J1332" s="6"/>
      <c r="K1332" s="6" t="s">
        <v>4542</v>
      </c>
      <c r="L1332" s="7"/>
      <c r="M1332" s="7"/>
    </row>
    <row r="1333" customFormat="false" ht="23.85" hidden="false" customHeight="false" outlineLevel="0" collapsed="false">
      <c r="A1333" s="6" t="s">
        <v>2036</v>
      </c>
      <c r="B1333" s="6" t="s">
        <v>77</v>
      </c>
      <c r="C1333" s="6" t="s">
        <v>1362</v>
      </c>
      <c r="D1333" s="6" t="s">
        <v>1330</v>
      </c>
      <c r="E1333" s="6"/>
      <c r="F1333" s="6" t="s">
        <v>1885</v>
      </c>
      <c r="G1333" s="6" t="s">
        <v>4543</v>
      </c>
      <c r="H1333" s="6" t="s">
        <v>4544</v>
      </c>
      <c r="I1333" s="6" t="n">
        <v>28</v>
      </c>
      <c r="J1333" s="6"/>
      <c r="K1333" s="6" t="s">
        <v>4545</v>
      </c>
      <c r="L1333" s="7"/>
      <c r="M1333" s="7"/>
    </row>
    <row r="1334" customFormat="false" ht="35.05" hidden="false" customHeight="false" outlineLevel="0" collapsed="false">
      <c r="A1334" s="6" t="s">
        <v>2036</v>
      </c>
      <c r="B1334" s="6" t="s">
        <v>77</v>
      </c>
      <c r="C1334" s="6" t="s">
        <v>1362</v>
      </c>
      <c r="D1334" s="6" t="s">
        <v>1330</v>
      </c>
      <c r="E1334" s="6"/>
      <c r="F1334" s="6" t="s">
        <v>1885</v>
      </c>
      <c r="G1334" s="6" t="s">
        <v>4546</v>
      </c>
      <c r="H1334" s="6" t="s">
        <v>4547</v>
      </c>
      <c r="I1334" s="6" t="n">
        <v>46</v>
      </c>
      <c r="J1334" s="6"/>
      <c r="K1334" s="6" t="s">
        <v>4548</v>
      </c>
      <c r="L1334" s="7"/>
      <c r="M1334" s="7"/>
    </row>
    <row r="1335" customFormat="false" ht="23.85" hidden="false" customHeight="false" outlineLevel="0" collapsed="false">
      <c r="A1335" s="6" t="s">
        <v>2038</v>
      </c>
      <c r="B1335" s="6" t="s">
        <v>77</v>
      </c>
      <c r="C1335" s="6" t="s">
        <v>1362</v>
      </c>
      <c r="D1335" s="6" t="s">
        <v>1330</v>
      </c>
      <c r="E1335" s="6"/>
      <c r="F1335" s="6" t="s">
        <v>1888</v>
      </c>
      <c r="G1335" s="6" t="s">
        <v>4537</v>
      </c>
      <c r="H1335" s="6" t="s">
        <v>4559</v>
      </c>
      <c r="I1335" s="6" t="n">
        <v>98</v>
      </c>
      <c r="J1335" s="6" t="s">
        <v>83</v>
      </c>
      <c r="K1335" s="6" t="s">
        <v>4560</v>
      </c>
      <c r="L1335" s="7"/>
      <c r="M1335" s="7"/>
    </row>
    <row r="1336" customFormat="false" ht="23.85" hidden="false" customHeight="false" outlineLevel="0" collapsed="false">
      <c r="A1336" s="6" t="s">
        <v>2038</v>
      </c>
      <c r="B1336" s="6" t="s">
        <v>77</v>
      </c>
      <c r="C1336" s="6" t="s">
        <v>1362</v>
      </c>
      <c r="D1336" s="6" t="s">
        <v>1330</v>
      </c>
      <c r="E1336" s="6"/>
      <c r="F1336" s="6" t="s">
        <v>1888</v>
      </c>
      <c r="G1336" s="6" t="s">
        <v>4540</v>
      </c>
      <c r="H1336" s="6" t="s">
        <v>4541</v>
      </c>
      <c r="I1336" s="6" t="n">
        <v>38</v>
      </c>
      <c r="J1336" s="6"/>
      <c r="K1336" s="6" t="s">
        <v>4542</v>
      </c>
      <c r="L1336" s="7"/>
      <c r="M1336" s="7"/>
    </row>
    <row r="1337" customFormat="false" ht="23.85" hidden="false" customHeight="false" outlineLevel="0" collapsed="false">
      <c r="A1337" s="6" t="s">
        <v>2038</v>
      </c>
      <c r="B1337" s="6" t="s">
        <v>77</v>
      </c>
      <c r="C1337" s="6" t="s">
        <v>1362</v>
      </c>
      <c r="D1337" s="6" t="s">
        <v>1330</v>
      </c>
      <c r="E1337" s="6"/>
      <c r="F1337" s="6" t="s">
        <v>1888</v>
      </c>
      <c r="G1337" s="6" t="s">
        <v>4543</v>
      </c>
      <c r="H1337" s="6" t="s">
        <v>4544</v>
      </c>
      <c r="I1337" s="6" t="n">
        <v>28</v>
      </c>
      <c r="J1337" s="6"/>
      <c r="K1337" s="6" t="s">
        <v>4545</v>
      </c>
      <c r="L1337" s="7"/>
      <c r="M1337" s="7"/>
    </row>
    <row r="1338" customFormat="false" ht="35.05" hidden="false" customHeight="false" outlineLevel="0" collapsed="false">
      <c r="A1338" s="6" t="s">
        <v>2038</v>
      </c>
      <c r="B1338" s="6" t="s">
        <v>77</v>
      </c>
      <c r="C1338" s="6" t="s">
        <v>1362</v>
      </c>
      <c r="D1338" s="6" t="s">
        <v>1330</v>
      </c>
      <c r="E1338" s="6"/>
      <c r="F1338" s="6" t="s">
        <v>1888</v>
      </c>
      <c r="G1338" s="6" t="s">
        <v>4546</v>
      </c>
      <c r="H1338" s="6" t="s">
        <v>4547</v>
      </c>
      <c r="I1338" s="6" t="n">
        <v>46</v>
      </c>
      <c r="J1338" s="6"/>
      <c r="K1338" s="6" t="s">
        <v>4548</v>
      </c>
      <c r="L1338" s="7"/>
      <c r="M1338" s="7"/>
    </row>
    <row r="1339" customFormat="false" ht="23.85" hidden="false" customHeight="false" outlineLevel="0" collapsed="false">
      <c r="A1339" s="6" t="s">
        <v>2040</v>
      </c>
      <c r="B1339" s="6" t="s">
        <v>77</v>
      </c>
      <c r="C1339" s="6" t="s">
        <v>1362</v>
      </c>
      <c r="D1339" s="6" t="s">
        <v>1330</v>
      </c>
      <c r="E1339" s="6"/>
      <c r="F1339" s="6" t="s">
        <v>1891</v>
      </c>
      <c r="G1339" s="6" t="s">
        <v>4537</v>
      </c>
      <c r="H1339" s="6" t="s">
        <v>4559</v>
      </c>
      <c r="I1339" s="6" t="n">
        <v>98</v>
      </c>
      <c r="J1339" s="6" t="s">
        <v>83</v>
      </c>
      <c r="K1339" s="6" t="s">
        <v>4560</v>
      </c>
      <c r="L1339" s="7"/>
      <c r="M1339" s="7"/>
    </row>
    <row r="1340" customFormat="false" ht="23.85" hidden="false" customHeight="false" outlineLevel="0" collapsed="false">
      <c r="A1340" s="6" t="s">
        <v>2040</v>
      </c>
      <c r="B1340" s="6" t="s">
        <v>77</v>
      </c>
      <c r="C1340" s="6" t="s">
        <v>1362</v>
      </c>
      <c r="D1340" s="6" t="s">
        <v>1330</v>
      </c>
      <c r="E1340" s="6"/>
      <c r="F1340" s="6" t="s">
        <v>1891</v>
      </c>
      <c r="G1340" s="6" t="s">
        <v>4540</v>
      </c>
      <c r="H1340" s="6" t="s">
        <v>4541</v>
      </c>
      <c r="I1340" s="6" t="n">
        <v>38</v>
      </c>
      <c r="J1340" s="6"/>
      <c r="K1340" s="6" t="s">
        <v>4542</v>
      </c>
      <c r="L1340" s="7"/>
      <c r="M1340" s="7"/>
    </row>
    <row r="1341" customFormat="false" ht="23.85" hidden="false" customHeight="false" outlineLevel="0" collapsed="false">
      <c r="A1341" s="6" t="s">
        <v>2040</v>
      </c>
      <c r="B1341" s="6" t="s">
        <v>77</v>
      </c>
      <c r="C1341" s="6" t="s">
        <v>1362</v>
      </c>
      <c r="D1341" s="6" t="s">
        <v>1330</v>
      </c>
      <c r="E1341" s="6"/>
      <c r="F1341" s="6" t="s">
        <v>1891</v>
      </c>
      <c r="G1341" s="6" t="s">
        <v>4543</v>
      </c>
      <c r="H1341" s="6" t="s">
        <v>4544</v>
      </c>
      <c r="I1341" s="6" t="n">
        <v>28</v>
      </c>
      <c r="J1341" s="6"/>
      <c r="K1341" s="6" t="s">
        <v>4545</v>
      </c>
      <c r="L1341" s="7"/>
      <c r="M1341" s="7"/>
    </row>
    <row r="1342" customFormat="false" ht="35.05" hidden="false" customHeight="false" outlineLevel="0" collapsed="false">
      <c r="A1342" s="6" t="s">
        <v>2040</v>
      </c>
      <c r="B1342" s="6" t="s">
        <v>77</v>
      </c>
      <c r="C1342" s="6" t="s">
        <v>1362</v>
      </c>
      <c r="D1342" s="6" t="s">
        <v>1330</v>
      </c>
      <c r="E1342" s="6"/>
      <c r="F1342" s="6" t="s">
        <v>1891</v>
      </c>
      <c r="G1342" s="6" t="s">
        <v>4546</v>
      </c>
      <c r="H1342" s="6" t="s">
        <v>4547</v>
      </c>
      <c r="I1342" s="6" t="n">
        <v>46</v>
      </c>
      <c r="J1342" s="6"/>
      <c r="K1342" s="6" t="s">
        <v>4548</v>
      </c>
      <c r="L1342" s="7"/>
      <c r="M1342" s="7"/>
    </row>
    <row r="1343" customFormat="false" ht="23.85" hidden="false" customHeight="false" outlineLevel="0" collapsed="false">
      <c r="A1343" s="6" t="s">
        <v>2042</v>
      </c>
      <c r="B1343" s="6" t="s">
        <v>77</v>
      </c>
      <c r="C1343" s="6" t="s">
        <v>1362</v>
      </c>
      <c r="D1343" s="6" t="s">
        <v>1330</v>
      </c>
      <c r="E1343" s="6"/>
      <c r="F1343" s="6" t="s">
        <v>1894</v>
      </c>
      <c r="G1343" s="6" t="s">
        <v>4537</v>
      </c>
      <c r="H1343" s="6" t="s">
        <v>4559</v>
      </c>
      <c r="I1343" s="6" t="n">
        <v>98</v>
      </c>
      <c r="J1343" s="6" t="s">
        <v>83</v>
      </c>
      <c r="K1343" s="6" t="s">
        <v>4560</v>
      </c>
      <c r="L1343" s="7"/>
      <c r="M1343" s="7"/>
    </row>
    <row r="1344" customFormat="false" ht="23.85" hidden="false" customHeight="false" outlineLevel="0" collapsed="false">
      <c r="A1344" s="6" t="s">
        <v>2042</v>
      </c>
      <c r="B1344" s="6" t="s">
        <v>77</v>
      </c>
      <c r="C1344" s="6" t="s">
        <v>1362</v>
      </c>
      <c r="D1344" s="6" t="s">
        <v>1330</v>
      </c>
      <c r="E1344" s="6"/>
      <c r="F1344" s="6" t="s">
        <v>1894</v>
      </c>
      <c r="G1344" s="6" t="s">
        <v>4540</v>
      </c>
      <c r="H1344" s="6" t="s">
        <v>4541</v>
      </c>
      <c r="I1344" s="6" t="n">
        <v>38</v>
      </c>
      <c r="J1344" s="6"/>
      <c r="K1344" s="6" t="s">
        <v>4542</v>
      </c>
      <c r="L1344" s="7"/>
      <c r="M1344" s="7"/>
    </row>
    <row r="1345" customFormat="false" ht="23.85" hidden="false" customHeight="false" outlineLevel="0" collapsed="false">
      <c r="A1345" s="6" t="s">
        <v>2042</v>
      </c>
      <c r="B1345" s="6" t="s">
        <v>77</v>
      </c>
      <c r="C1345" s="6" t="s">
        <v>1362</v>
      </c>
      <c r="D1345" s="6" t="s">
        <v>1330</v>
      </c>
      <c r="E1345" s="6"/>
      <c r="F1345" s="6" t="s">
        <v>1894</v>
      </c>
      <c r="G1345" s="6" t="s">
        <v>4543</v>
      </c>
      <c r="H1345" s="6" t="s">
        <v>4544</v>
      </c>
      <c r="I1345" s="6" t="n">
        <v>28</v>
      </c>
      <c r="J1345" s="6"/>
      <c r="K1345" s="6" t="s">
        <v>4545</v>
      </c>
      <c r="L1345" s="7"/>
      <c r="M1345" s="7"/>
    </row>
    <row r="1346" customFormat="false" ht="35.05" hidden="false" customHeight="false" outlineLevel="0" collapsed="false">
      <c r="A1346" s="6" t="s">
        <v>2042</v>
      </c>
      <c r="B1346" s="6" t="s">
        <v>77</v>
      </c>
      <c r="C1346" s="6" t="s">
        <v>1362</v>
      </c>
      <c r="D1346" s="6" t="s">
        <v>1330</v>
      </c>
      <c r="E1346" s="6"/>
      <c r="F1346" s="6" t="s">
        <v>1894</v>
      </c>
      <c r="G1346" s="6" t="s">
        <v>4546</v>
      </c>
      <c r="H1346" s="6" t="s">
        <v>4547</v>
      </c>
      <c r="I1346" s="6" t="n">
        <v>46</v>
      </c>
      <c r="J1346" s="6"/>
      <c r="K1346" s="6" t="s">
        <v>4548</v>
      </c>
      <c r="L1346" s="7"/>
      <c r="M1346" s="7"/>
    </row>
    <row r="1347" customFormat="false" ht="23.85" hidden="false" customHeight="false" outlineLevel="0" collapsed="false">
      <c r="A1347" s="6" t="s">
        <v>2044</v>
      </c>
      <c r="B1347" s="6" t="s">
        <v>77</v>
      </c>
      <c r="C1347" s="6" t="s">
        <v>1362</v>
      </c>
      <c r="D1347" s="6" t="s">
        <v>1330</v>
      </c>
      <c r="E1347" s="6"/>
      <c r="F1347" s="6" t="s">
        <v>1897</v>
      </c>
      <c r="G1347" s="6" t="s">
        <v>4537</v>
      </c>
      <c r="H1347" s="6" t="s">
        <v>4559</v>
      </c>
      <c r="I1347" s="6" t="n">
        <v>98</v>
      </c>
      <c r="J1347" s="6" t="s">
        <v>83</v>
      </c>
      <c r="K1347" s="6" t="s">
        <v>4560</v>
      </c>
      <c r="L1347" s="7"/>
      <c r="M1347" s="7"/>
    </row>
    <row r="1348" customFormat="false" ht="23.85" hidden="false" customHeight="false" outlineLevel="0" collapsed="false">
      <c r="A1348" s="6" t="s">
        <v>2044</v>
      </c>
      <c r="B1348" s="6" t="s">
        <v>77</v>
      </c>
      <c r="C1348" s="6" t="s">
        <v>1362</v>
      </c>
      <c r="D1348" s="6" t="s">
        <v>1330</v>
      </c>
      <c r="E1348" s="6"/>
      <c r="F1348" s="6" t="s">
        <v>1897</v>
      </c>
      <c r="G1348" s="6" t="s">
        <v>4540</v>
      </c>
      <c r="H1348" s="6" t="s">
        <v>4541</v>
      </c>
      <c r="I1348" s="6" t="n">
        <v>38</v>
      </c>
      <c r="J1348" s="6"/>
      <c r="K1348" s="6" t="s">
        <v>4542</v>
      </c>
      <c r="L1348" s="7"/>
      <c r="M1348" s="7"/>
    </row>
    <row r="1349" customFormat="false" ht="23.85" hidden="false" customHeight="false" outlineLevel="0" collapsed="false">
      <c r="A1349" s="6" t="s">
        <v>2044</v>
      </c>
      <c r="B1349" s="6" t="s">
        <v>77</v>
      </c>
      <c r="C1349" s="6" t="s">
        <v>1362</v>
      </c>
      <c r="D1349" s="6" t="s">
        <v>1330</v>
      </c>
      <c r="E1349" s="6"/>
      <c r="F1349" s="6" t="s">
        <v>1897</v>
      </c>
      <c r="G1349" s="6" t="s">
        <v>4543</v>
      </c>
      <c r="H1349" s="6" t="s">
        <v>4544</v>
      </c>
      <c r="I1349" s="6" t="n">
        <v>28</v>
      </c>
      <c r="J1349" s="6"/>
      <c r="K1349" s="6" t="s">
        <v>4545</v>
      </c>
      <c r="L1349" s="7"/>
      <c r="M1349" s="7"/>
    </row>
    <row r="1350" customFormat="false" ht="35.05" hidden="false" customHeight="false" outlineLevel="0" collapsed="false">
      <c r="A1350" s="6" t="s">
        <v>2044</v>
      </c>
      <c r="B1350" s="6" t="s">
        <v>77</v>
      </c>
      <c r="C1350" s="6" t="s">
        <v>1362</v>
      </c>
      <c r="D1350" s="6" t="s">
        <v>1330</v>
      </c>
      <c r="E1350" s="6"/>
      <c r="F1350" s="6" t="s">
        <v>1897</v>
      </c>
      <c r="G1350" s="6" t="s">
        <v>4546</v>
      </c>
      <c r="H1350" s="6" t="s">
        <v>4547</v>
      </c>
      <c r="I1350" s="6" t="n">
        <v>46</v>
      </c>
      <c r="J1350" s="6"/>
      <c r="K1350" s="6" t="s">
        <v>4548</v>
      </c>
      <c r="L1350" s="7"/>
      <c r="M1350" s="7"/>
    </row>
    <row r="1351" customFormat="false" ht="23.85" hidden="false" customHeight="false" outlineLevel="0" collapsed="false">
      <c r="A1351" s="6" t="s">
        <v>2046</v>
      </c>
      <c r="B1351" s="6" t="s">
        <v>77</v>
      </c>
      <c r="C1351" s="6" t="s">
        <v>1362</v>
      </c>
      <c r="D1351" s="6" t="s">
        <v>1330</v>
      </c>
      <c r="E1351" s="6"/>
      <c r="F1351" s="6" t="s">
        <v>1900</v>
      </c>
      <c r="G1351" s="6" t="s">
        <v>4537</v>
      </c>
      <c r="H1351" s="6" t="s">
        <v>4559</v>
      </c>
      <c r="I1351" s="6" t="n">
        <v>98</v>
      </c>
      <c r="J1351" s="6" t="s">
        <v>83</v>
      </c>
      <c r="K1351" s="6" t="s">
        <v>4560</v>
      </c>
      <c r="L1351" s="7"/>
      <c r="M1351" s="7"/>
    </row>
    <row r="1352" customFormat="false" ht="23.85" hidden="false" customHeight="false" outlineLevel="0" collapsed="false">
      <c r="A1352" s="6" t="s">
        <v>2046</v>
      </c>
      <c r="B1352" s="6" t="s">
        <v>77</v>
      </c>
      <c r="C1352" s="6" t="s">
        <v>1362</v>
      </c>
      <c r="D1352" s="6" t="s">
        <v>1330</v>
      </c>
      <c r="E1352" s="6"/>
      <c r="F1352" s="6" t="s">
        <v>1900</v>
      </c>
      <c r="G1352" s="6" t="s">
        <v>4540</v>
      </c>
      <c r="H1352" s="6" t="s">
        <v>4541</v>
      </c>
      <c r="I1352" s="6" t="n">
        <v>38</v>
      </c>
      <c r="J1352" s="6"/>
      <c r="K1352" s="6" t="s">
        <v>4542</v>
      </c>
      <c r="L1352" s="7"/>
      <c r="M1352" s="7"/>
    </row>
    <row r="1353" customFormat="false" ht="23.85" hidden="false" customHeight="false" outlineLevel="0" collapsed="false">
      <c r="A1353" s="6" t="s">
        <v>2046</v>
      </c>
      <c r="B1353" s="6" t="s">
        <v>77</v>
      </c>
      <c r="C1353" s="6" t="s">
        <v>1362</v>
      </c>
      <c r="D1353" s="6" t="s">
        <v>1330</v>
      </c>
      <c r="E1353" s="6"/>
      <c r="F1353" s="6" t="s">
        <v>1900</v>
      </c>
      <c r="G1353" s="6" t="s">
        <v>4543</v>
      </c>
      <c r="H1353" s="6" t="s">
        <v>4544</v>
      </c>
      <c r="I1353" s="6" t="n">
        <v>28</v>
      </c>
      <c r="J1353" s="6"/>
      <c r="K1353" s="6" t="s">
        <v>4545</v>
      </c>
      <c r="L1353" s="7"/>
      <c r="M1353" s="7"/>
    </row>
    <row r="1354" customFormat="false" ht="35.05" hidden="false" customHeight="false" outlineLevel="0" collapsed="false">
      <c r="A1354" s="6" t="s">
        <v>2046</v>
      </c>
      <c r="B1354" s="6" t="s">
        <v>77</v>
      </c>
      <c r="C1354" s="6" t="s">
        <v>1362</v>
      </c>
      <c r="D1354" s="6" t="s">
        <v>1330</v>
      </c>
      <c r="E1354" s="6"/>
      <c r="F1354" s="6" t="s">
        <v>1900</v>
      </c>
      <c r="G1354" s="6" t="s">
        <v>4546</v>
      </c>
      <c r="H1354" s="6" t="s">
        <v>4547</v>
      </c>
      <c r="I1354" s="6" t="n">
        <v>46</v>
      </c>
      <c r="J1354" s="6"/>
      <c r="K1354" s="6" t="s">
        <v>4548</v>
      </c>
      <c r="L1354" s="7"/>
      <c r="M1354" s="7"/>
    </row>
    <row r="1355" customFormat="false" ht="23.85" hidden="false" customHeight="false" outlineLevel="0" collapsed="false">
      <c r="A1355" s="6" t="s">
        <v>2048</v>
      </c>
      <c r="B1355" s="6" t="s">
        <v>77</v>
      </c>
      <c r="C1355" s="6" t="s">
        <v>1362</v>
      </c>
      <c r="D1355" s="6" t="s">
        <v>1330</v>
      </c>
      <c r="E1355" s="6"/>
      <c r="F1355" s="6" t="s">
        <v>1903</v>
      </c>
      <c r="G1355" s="6" t="s">
        <v>4537</v>
      </c>
      <c r="H1355" s="6" t="s">
        <v>4559</v>
      </c>
      <c r="I1355" s="6" t="n">
        <v>98</v>
      </c>
      <c r="J1355" s="6" t="s">
        <v>83</v>
      </c>
      <c r="K1355" s="6" t="s">
        <v>4560</v>
      </c>
      <c r="L1355" s="7"/>
      <c r="M1355" s="7"/>
    </row>
    <row r="1356" customFormat="false" ht="23.85" hidden="false" customHeight="false" outlineLevel="0" collapsed="false">
      <c r="A1356" s="6" t="s">
        <v>2048</v>
      </c>
      <c r="B1356" s="6" t="s">
        <v>77</v>
      </c>
      <c r="C1356" s="6" t="s">
        <v>1362</v>
      </c>
      <c r="D1356" s="6" t="s">
        <v>1330</v>
      </c>
      <c r="E1356" s="6"/>
      <c r="F1356" s="6" t="s">
        <v>1903</v>
      </c>
      <c r="G1356" s="6" t="s">
        <v>4540</v>
      </c>
      <c r="H1356" s="6" t="s">
        <v>4541</v>
      </c>
      <c r="I1356" s="6" t="n">
        <v>38</v>
      </c>
      <c r="J1356" s="6"/>
      <c r="K1356" s="6" t="s">
        <v>4542</v>
      </c>
      <c r="L1356" s="7"/>
      <c r="M1356" s="7"/>
    </row>
    <row r="1357" customFormat="false" ht="23.85" hidden="false" customHeight="false" outlineLevel="0" collapsed="false">
      <c r="A1357" s="6" t="s">
        <v>2048</v>
      </c>
      <c r="B1357" s="6" t="s">
        <v>77</v>
      </c>
      <c r="C1357" s="6" t="s">
        <v>1362</v>
      </c>
      <c r="D1357" s="6" t="s">
        <v>1330</v>
      </c>
      <c r="E1357" s="6"/>
      <c r="F1357" s="6" t="s">
        <v>1903</v>
      </c>
      <c r="G1357" s="6" t="s">
        <v>4543</v>
      </c>
      <c r="H1357" s="6" t="s">
        <v>4544</v>
      </c>
      <c r="I1357" s="6" t="n">
        <v>28</v>
      </c>
      <c r="J1357" s="6"/>
      <c r="K1357" s="6" t="s">
        <v>4545</v>
      </c>
      <c r="L1357" s="7"/>
      <c r="M1357" s="7"/>
    </row>
    <row r="1358" customFormat="false" ht="35.05" hidden="false" customHeight="false" outlineLevel="0" collapsed="false">
      <c r="A1358" s="6" t="s">
        <v>2048</v>
      </c>
      <c r="B1358" s="6" t="s">
        <v>77</v>
      </c>
      <c r="C1358" s="6" t="s">
        <v>1362</v>
      </c>
      <c r="D1358" s="6" t="s">
        <v>1330</v>
      </c>
      <c r="E1358" s="6"/>
      <c r="F1358" s="6" t="s">
        <v>1903</v>
      </c>
      <c r="G1358" s="6" t="s">
        <v>4546</v>
      </c>
      <c r="H1358" s="6" t="s">
        <v>4547</v>
      </c>
      <c r="I1358" s="6" t="n">
        <v>46</v>
      </c>
      <c r="J1358" s="6"/>
      <c r="K1358" s="6" t="s">
        <v>4548</v>
      </c>
      <c r="L1358" s="7"/>
      <c r="M1358" s="7"/>
    </row>
    <row r="1359" customFormat="false" ht="23.85" hidden="false" customHeight="false" outlineLevel="0" collapsed="false">
      <c r="A1359" s="6" t="s">
        <v>2050</v>
      </c>
      <c r="B1359" s="6" t="s">
        <v>77</v>
      </c>
      <c r="C1359" s="6" t="s">
        <v>1362</v>
      </c>
      <c r="D1359" s="6" t="s">
        <v>1330</v>
      </c>
      <c r="E1359" s="6"/>
      <c r="F1359" s="6" t="s">
        <v>1906</v>
      </c>
      <c r="G1359" s="6" t="s">
        <v>4537</v>
      </c>
      <c r="H1359" s="6" t="s">
        <v>4559</v>
      </c>
      <c r="I1359" s="6" t="n">
        <v>98</v>
      </c>
      <c r="J1359" s="6" t="s">
        <v>83</v>
      </c>
      <c r="K1359" s="6" t="s">
        <v>4560</v>
      </c>
      <c r="L1359" s="7"/>
      <c r="M1359" s="7"/>
    </row>
    <row r="1360" customFormat="false" ht="23.85" hidden="false" customHeight="false" outlineLevel="0" collapsed="false">
      <c r="A1360" s="6" t="s">
        <v>2050</v>
      </c>
      <c r="B1360" s="6" t="s">
        <v>77</v>
      </c>
      <c r="C1360" s="6" t="s">
        <v>1362</v>
      </c>
      <c r="D1360" s="6" t="s">
        <v>1330</v>
      </c>
      <c r="E1360" s="6"/>
      <c r="F1360" s="6" t="s">
        <v>1906</v>
      </c>
      <c r="G1360" s="6" t="s">
        <v>4540</v>
      </c>
      <c r="H1360" s="6" t="s">
        <v>4541</v>
      </c>
      <c r="I1360" s="6" t="n">
        <v>38</v>
      </c>
      <c r="J1360" s="6"/>
      <c r="K1360" s="6" t="s">
        <v>4542</v>
      </c>
      <c r="L1360" s="7"/>
      <c r="M1360" s="7"/>
    </row>
    <row r="1361" customFormat="false" ht="23.85" hidden="false" customHeight="false" outlineLevel="0" collapsed="false">
      <c r="A1361" s="6" t="s">
        <v>2050</v>
      </c>
      <c r="B1361" s="6" t="s">
        <v>77</v>
      </c>
      <c r="C1361" s="6" t="s">
        <v>1362</v>
      </c>
      <c r="D1361" s="6" t="s">
        <v>1330</v>
      </c>
      <c r="E1361" s="6"/>
      <c r="F1361" s="6" t="s">
        <v>1906</v>
      </c>
      <c r="G1361" s="6" t="s">
        <v>4543</v>
      </c>
      <c r="H1361" s="6" t="s">
        <v>4544</v>
      </c>
      <c r="I1361" s="6" t="n">
        <v>28</v>
      </c>
      <c r="J1361" s="6"/>
      <c r="K1361" s="6" t="s">
        <v>4545</v>
      </c>
      <c r="L1361" s="7"/>
      <c r="M1361" s="7"/>
    </row>
    <row r="1362" customFormat="false" ht="35.05" hidden="false" customHeight="false" outlineLevel="0" collapsed="false">
      <c r="A1362" s="6" t="s">
        <v>2050</v>
      </c>
      <c r="B1362" s="6" t="s">
        <v>77</v>
      </c>
      <c r="C1362" s="6" t="s">
        <v>1362</v>
      </c>
      <c r="D1362" s="6" t="s">
        <v>1330</v>
      </c>
      <c r="E1362" s="6"/>
      <c r="F1362" s="6" t="s">
        <v>1906</v>
      </c>
      <c r="G1362" s="6" t="s">
        <v>4546</v>
      </c>
      <c r="H1362" s="6" t="s">
        <v>4547</v>
      </c>
      <c r="I1362" s="6" t="n">
        <v>46</v>
      </c>
      <c r="J1362" s="6"/>
      <c r="K1362" s="6" t="s">
        <v>4548</v>
      </c>
      <c r="L1362" s="7"/>
      <c r="M1362" s="7"/>
    </row>
    <row r="1363" customFormat="false" ht="23.85" hidden="false" customHeight="false" outlineLevel="0" collapsed="false">
      <c r="A1363" s="6" t="s">
        <v>2052</v>
      </c>
      <c r="B1363" s="6" t="s">
        <v>77</v>
      </c>
      <c r="C1363" s="6" t="s">
        <v>1362</v>
      </c>
      <c r="D1363" s="6" t="s">
        <v>1330</v>
      </c>
      <c r="E1363" s="6"/>
      <c r="F1363" s="6" t="s">
        <v>1909</v>
      </c>
      <c r="G1363" s="6" t="s">
        <v>4537</v>
      </c>
      <c r="H1363" s="6" t="s">
        <v>4559</v>
      </c>
      <c r="I1363" s="6" t="n">
        <v>98</v>
      </c>
      <c r="J1363" s="6" t="s">
        <v>83</v>
      </c>
      <c r="K1363" s="6" t="s">
        <v>4560</v>
      </c>
      <c r="L1363" s="7"/>
      <c r="M1363" s="7"/>
    </row>
    <row r="1364" customFormat="false" ht="23.85" hidden="false" customHeight="false" outlineLevel="0" collapsed="false">
      <c r="A1364" s="6" t="s">
        <v>2052</v>
      </c>
      <c r="B1364" s="6" t="s">
        <v>77</v>
      </c>
      <c r="C1364" s="6" t="s">
        <v>1362</v>
      </c>
      <c r="D1364" s="6" t="s">
        <v>1330</v>
      </c>
      <c r="E1364" s="6"/>
      <c r="F1364" s="6" t="s">
        <v>1909</v>
      </c>
      <c r="G1364" s="6" t="s">
        <v>4540</v>
      </c>
      <c r="H1364" s="6" t="s">
        <v>4541</v>
      </c>
      <c r="I1364" s="6" t="n">
        <v>38</v>
      </c>
      <c r="J1364" s="6"/>
      <c r="K1364" s="6" t="s">
        <v>4542</v>
      </c>
      <c r="L1364" s="7"/>
      <c r="M1364" s="7"/>
    </row>
    <row r="1365" customFormat="false" ht="23.85" hidden="false" customHeight="false" outlineLevel="0" collapsed="false">
      <c r="A1365" s="6" t="s">
        <v>2052</v>
      </c>
      <c r="B1365" s="6" t="s">
        <v>77</v>
      </c>
      <c r="C1365" s="6" t="s">
        <v>1362</v>
      </c>
      <c r="D1365" s="6" t="s">
        <v>1330</v>
      </c>
      <c r="E1365" s="6"/>
      <c r="F1365" s="6" t="s">
        <v>1909</v>
      </c>
      <c r="G1365" s="6" t="s">
        <v>4543</v>
      </c>
      <c r="H1365" s="6" t="s">
        <v>4544</v>
      </c>
      <c r="I1365" s="6" t="n">
        <v>28</v>
      </c>
      <c r="J1365" s="6"/>
      <c r="K1365" s="6" t="s">
        <v>4545</v>
      </c>
      <c r="L1365" s="7"/>
      <c r="M1365" s="7"/>
    </row>
    <row r="1366" customFormat="false" ht="35.05" hidden="false" customHeight="false" outlineLevel="0" collapsed="false">
      <c r="A1366" s="6" t="s">
        <v>2052</v>
      </c>
      <c r="B1366" s="6" t="s">
        <v>77</v>
      </c>
      <c r="C1366" s="6" t="s">
        <v>1362</v>
      </c>
      <c r="D1366" s="6" t="s">
        <v>1330</v>
      </c>
      <c r="E1366" s="6"/>
      <c r="F1366" s="6" t="s">
        <v>1909</v>
      </c>
      <c r="G1366" s="6" t="s">
        <v>4546</v>
      </c>
      <c r="H1366" s="6" t="s">
        <v>4547</v>
      </c>
      <c r="I1366" s="6" t="n">
        <v>46</v>
      </c>
      <c r="J1366" s="6"/>
      <c r="K1366" s="6" t="s">
        <v>4548</v>
      </c>
      <c r="L1366" s="7"/>
      <c r="M1366" s="7"/>
    </row>
    <row r="1367" customFormat="false" ht="23.85" hidden="false" customHeight="false" outlineLevel="0" collapsed="false">
      <c r="A1367" s="6" t="s">
        <v>2054</v>
      </c>
      <c r="B1367" s="6" t="s">
        <v>77</v>
      </c>
      <c r="C1367" s="6" t="s">
        <v>1362</v>
      </c>
      <c r="D1367" s="6" t="s">
        <v>1330</v>
      </c>
      <c r="E1367" s="6"/>
      <c r="F1367" s="6" t="s">
        <v>1879</v>
      </c>
      <c r="G1367" s="6" t="s">
        <v>4537</v>
      </c>
      <c r="H1367" s="6" t="s">
        <v>4561</v>
      </c>
      <c r="I1367" s="6" t="n">
        <v>98</v>
      </c>
      <c r="J1367" s="6" t="s">
        <v>83</v>
      </c>
      <c r="K1367" s="6" t="s">
        <v>4562</v>
      </c>
      <c r="L1367" s="7"/>
      <c r="M1367" s="7"/>
    </row>
    <row r="1368" customFormat="false" ht="23.85" hidden="false" customHeight="false" outlineLevel="0" collapsed="false">
      <c r="A1368" s="6" t="s">
        <v>2054</v>
      </c>
      <c r="B1368" s="6" t="s">
        <v>77</v>
      </c>
      <c r="C1368" s="6" t="s">
        <v>1362</v>
      </c>
      <c r="D1368" s="6" t="s">
        <v>1330</v>
      </c>
      <c r="E1368" s="6"/>
      <c r="F1368" s="6" t="s">
        <v>1879</v>
      </c>
      <c r="G1368" s="6" t="s">
        <v>4540</v>
      </c>
      <c r="H1368" s="6" t="s">
        <v>4541</v>
      </c>
      <c r="I1368" s="6" t="n">
        <v>38</v>
      </c>
      <c r="J1368" s="6"/>
      <c r="K1368" s="6" t="s">
        <v>4542</v>
      </c>
      <c r="L1368" s="7"/>
      <c r="M1368" s="7"/>
    </row>
    <row r="1369" customFormat="false" ht="23.85" hidden="false" customHeight="false" outlineLevel="0" collapsed="false">
      <c r="A1369" s="6" t="s">
        <v>2054</v>
      </c>
      <c r="B1369" s="6" t="s">
        <v>77</v>
      </c>
      <c r="C1369" s="6" t="s">
        <v>1362</v>
      </c>
      <c r="D1369" s="6" t="s">
        <v>1330</v>
      </c>
      <c r="E1369" s="6"/>
      <c r="F1369" s="6" t="s">
        <v>1879</v>
      </c>
      <c r="G1369" s="6" t="s">
        <v>4543</v>
      </c>
      <c r="H1369" s="6" t="s">
        <v>4544</v>
      </c>
      <c r="I1369" s="6" t="n">
        <v>28</v>
      </c>
      <c r="J1369" s="6"/>
      <c r="K1369" s="6" t="s">
        <v>4545</v>
      </c>
      <c r="L1369" s="7"/>
      <c r="M1369" s="7"/>
    </row>
    <row r="1370" customFormat="false" ht="35.05" hidden="false" customHeight="false" outlineLevel="0" collapsed="false">
      <c r="A1370" s="6" t="s">
        <v>2054</v>
      </c>
      <c r="B1370" s="6" t="s">
        <v>77</v>
      </c>
      <c r="C1370" s="6" t="s">
        <v>1362</v>
      </c>
      <c r="D1370" s="6" t="s">
        <v>1330</v>
      </c>
      <c r="E1370" s="6"/>
      <c r="F1370" s="6" t="s">
        <v>1879</v>
      </c>
      <c r="G1370" s="6" t="s">
        <v>4546</v>
      </c>
      <c r="H1370" s="6" t="s">
        <v>4547</v>
      </c>
      <c r="I1370" s="6" t="n">
        <v>46</v>
      </c>
      <c r="J1370" s="6"/>
      <c r="K1370" s="6" t="s">
        <v>4548</v>
      </c>
      <c r="L1370" s="7"/>
      <c r="M1370" s="7"/>
    </row>
    <row r="1371" customFormat="false" ht="23.85" hidden="false" customHeight="false" outlineLevel="0" collapsed="false">
      <c r="A1371" s="6" t="s">
        <v>2060</v>
      </c>
      <c r="B1371" s="6" t="s">
        <v>77</v>
      </c>
      <c r="C1371" s="6" t="s">
        <v>1362</v>
      </c>
      <c r="D1371" s="6" t="s">
        <v>1330</v>
      </c>
      <c r="E1371" s="6"/>
      <c r="F1371" s="6" t="s">
        <v>1885</v>
      </c>
      <c r="G1371" s="6" t="s">
        <v>4537</v>
      </c>
      <c r="H1371" s="6" t="s">
        <v>4561</v>
      </c>
      <c r="I1371" s="6" t="n">
        <v>98</v>
      </c>
      <c r="J1371" s="6" t="s">
        <v>83</v>
      </c>
      <c r="K1371" s="6" t="s">
        <v>4562</v>
      </c>
      <c r="L1371" s="7"/>
      <c r="M1371" s="7"/>
    </row>
    <row r="1372" customFormat="false" ht="23.85" hidden="false" customHeight="false" outlineLevel="0" collapsed="false">
      <c r="A1372" s="6" t="s">
        <v>2060</v>
      </c>
      <c r="B1372" s="6" t="s">
        <v>77</v>
      </c>
      <c r="C1372" s="6" t="s">
        <v>1362</v>
      </c>
      <c r="D1372" s="6" t="s">
        <v>1330</v>
      </c>
      <c r="E1372" s="6"/>
      <c r="F1372" s="6" t="s">
        <v>1885</v>
      </c>
      <c r="G1372" s="6" t="s">
        <v>4540</v>
      </c>
      <c r="H1372" s="6" t="s">
        <v>4541</v>
      </c>
      <c r="I1372" s="6" t="n">
        <v>38</v>
      </c>
      <c r="J1372" s="6"/>
      <c r="K1372" s="6" t="s">
        <v>4542</v>
      </c>
      <c r="L1372" s="7"/>
      <c r="M1372" s="7"/>
    </row>
    <row r="1373" customFormat="false" ht="23.85" hidden="false" customHeight="false" outlineLevel="0" collapsed="false">
      <c r="A1373" s="6" t="s">
        <v>2060</v>
      </c>
      <c r="B1373" s="6" t="s">
        <v>77</v>
      </c>
      <c r="C1373" s="6" t="s">
        <v>1362</v>
      </c>
      <c r="D1373" s="6" t="s">
        <v>1330</v>
      </c>
      <c r="E1373" s="6"/>
      <c r="F1373" s="6" t="s">
        <v>1885</v>
      </c>
      <c r="G1373" s="6" t="s">
        <v>4543</v>
      </c>
      <c r="H1373" s="6" t="s">
        <v>4544</v>
      </c>
      <c r="I1373" s="6" t="n">
        <v>28</v>
      </c>
      <c r="J1373" s="6"/>
      <c r="K1373" s="6" t="s">
        <v>4545</v>
      </c>
      <c r="L1373" s="7"/>
      <c r="M1373" s="7"/>
    </row>
    <row r="1374" customFormat="false" ht="35.05" hidden="false" customHeight="false" outlineLevel="0" collapsed="false">
      <c r="A1374" s="6" t="s">
        <v>2060</v>
      </c>
      <c r="B1374" s="6" t="s">
        <v>77</v>
      </c>
      <c r="C1374" s="6" t="s">
        <v>1362</v>
      </c>
      <c r="D1374" s="6" t="s">
        <v>1330</v>
      </c>
      <c r="E1374" s="6"/>
      <c r="F1374" s="6" t="s">
        <v>1885</v>
      </c>
      <c r="G1374" s="6" t="s">
        <v>4546</v>
      </c>
      <c r="H1374" s="6" t="s">
        <v>4547</v>
      </c>
      <c r="I1374" s="6" t="n">
        <v>46</v>
      </c>
      <c r="J1374" s="6"/>
      <c r="K1374" s="6" t="s">
        <v>4548</v>
      </c>
      <c r="L1374" s="7"/>
      <c r="M1374" s="7"/>
    </row>
    <row r="1375" customFormat="false" ht="23.85" hidden="false" customHeight="false" outlineLevel="0" collapsed="false">
      <c r="A1375" s="6" t="s">
        <v>2062</v>
      </c>
      <c r="B1375" s="6" t="s">
        <v>77</v>
      </c>
      <c r="C1375" s="6" t="s">
        <v>1362</v>
      </c>
      <c r="D1375" s="6" t="s">
        <v>1330</v>
      </c>
      <c r="E1375" s="6"/>
      <c r="F1375" s="6" t="s">
        <v>1888</v>
      </c>
      <c r="G1375" s="6" t="s">
        <v>4537</v>
      </c>
      <c r="H1375" s="6" t="s">
        <v>4561</v>
      </c>
      <c r="I1375" s="6" t="n">
        <v>98</v>
      </c>
      <c r="J1375" s="6" t="s">
        <v>83</v>
      </c>
      <c r="K1375" s="6" t="s">
        <v>4562</v>
      </c>
      <c r="L1375" s="7"/>
      <c r="M1375" s="7"/>
    </row>
    <row r="1376" customFormat="false" ht="23.85" hidden="false" customHeight="false" outlineLevel="0" collapsed="false">
      <c r="A1376" s="6" t="s">
        <v>2062</v>
      </c>
      <c r="B1376" s="6" t="s">
        <v>77</v>
      </c>
      <c r="C1376" s="6" t="s">
        <v>1362</v>
      </c>
      <c r="D1376" s="6" t="s">
        <v>1330</v>
      </c>
      <c r="E1376" s="6"/>
      <c r="F1376" s="6" t="s">
        <v>1888</v>
      </c>
      <c r="G1376" s="6" t="s">
        <v>4540</v>
      </c>
      <c r="H1376" s="6" t="s">
        <v>4541</v>
      </c>
      <c r="I1376" s="6" t="n">
        <v>38</v>
      </c>
      <c r="J1376" s="6"/>
      <c r="K1376" s="6" t="s">
        <v>4542</v>
      </c>
      <c r="L1376" s="7"/>
      <c r="M1376" s="7"/>
    </row>
    <row r="1377" customFormat="false" ht="23.85" hidden="false" customHeight="false" outlineLevel="0" collapsed="false">
      <c r="A1377" s="6" t="s">
        <v>2062</v>
      </c>
      <c r="B1377" s="6" t="s">
        <v>77</v>
      </c>
      <c r="C1377" s="6" t="s">
        <v>1362</v>
      </c>
      <c r="D1377" s="6" t="s">
        <v>1330</v>
      </c>
      <c r="E1377" s="6"/>
      <c r="F1377" s="6" t="s">
        <v>1888</v>
      </c>
      <c r="G1377" s="6" t="s">
        <v>4543</v>
      </c>
      <c r="H1377" s="6" t="s">
        <v>4544</v>
      </c>
      <c r="I1377" s="6" t="n">
        <v>28</v>
      </c>
      <c r="J1377" s="6"/>
      <c r="K1377" s="6" t="s">
        <v>4545</v>
      </c>
      <c r="L1377" s="7"/>
      <c r="M1377" s="7"/>
    </row>
    <row r="1378" customFormat="false" ht="35.05" hidden="false" customHeight="false" outlineLevel="0" collapsed="false">
      <c r="A1378" s="6" t="s">
        <v>2062</v>
      </c>
      <c r="B1378" s="6" t="s">
        <v>77</v>
      </c>
      <c r="C1378" s="6" t="s">
        <v>1362</v>
      </c>
      <c r="D1378" s="6" t="s">
        <v>1330</v>
      </c>
      <c r="E1378" s="6"/>
      <c r="F1378" s="6" t="s">
        <v>1888</v>
      </c>
      <c r="G1378" s="6" t="s">
        <v>4546</v>
      </c>
      <c r="H1378" s="6" t="s">
        <v>4547</v>
      </c>
      <c r="I1378" s="6" t="n">
        <v>46</v>
      </c>
      <c r="J1378" s="6"/>
      <c r="K1378" s="6" t="s">
        <v>4548</v>
      </c>
      <c r="L1378" s="7"/>
      <c r="M1378" s="7"/>
    </row>
    <row r="1379" customFormat="false" ht="23.85" hidden="false" customHeight="false" outlineLevel="0" collapsed="false">
      <c r="A1379" s="6" t="s">
        <v>2064</v>
      </c>
      <c r="B1379" s="6" t="s">
        <v>77</v>
      </c>
      <c r="C1379" s="6" t="s">
        <v>1362</v>
      </c>
      <c r="D1379" s="6" t="s">
        <v>1330</v>
      </c>
      <c r="E1379" s="6"/>
      <c r="F1379" s="6" t="s">
        <v>1891</v>
      </c>
      <c r="G1379" s="6" t="s">
        <v>4537</v>
      </c>
      <c r="H1379" s="6" t="s">
        <v>4561</v>
      </c>
      <c r="I1379" s="6" t="n">
        <v>98</v>
      </c>
      <c r="J1379" s="6" t="s">
        <v>83</v>
      </c>
      <c r="K1379" s="6" t="s">
        <v>4562</v>
      </c>
      <c r="L1379" s="7"/>
      <c r="M1379" s="7"/>
    </row>
    <row r="1380" customFormat="false" ht="23.85" hidden="false" customHeight="false" outlineLevel="0" collapsed="false">
      <c r="A1380" s="6" t="s">
        <v>2064</v>
      </c>
      <c r="B1380" s="6" t="s">
        <v>77</v>
      </c>
      <c r="C1380" s="6" t="s">
        <v>1362</v>
      </c>
      <c r="D1380" s="6" t="s">
        <v>1330</v>
      </c>
      <c r="E1380" s="6"/>
      <c r="F1380" s="6" t="s">
        <v>1891</v>
      </c>
      <c r="G1380" s="6" t="s">
        <v>4540</v>
      </c>
      <c r="H1380" s="6" t="s">
        <v>4541</v>
      </c>
      <c r="I1380" s="6" t="n">
        <v>38</v>
      </c>
      <c r="J1380" s="6"/>
      <c r="K1380" s="6" t="s">
        <v>4542</v>
      </c>
      <c r="L1380" s="7"/>
      <c r="M1380" s="7"/>
    </row>
    <row r="1381" customFormat="false" ht="23.85" hidden="false" customHeight="false" outlineLevel="0" collapsed="false">
      <c r="A1381" s="6" t="s">
        <v>2064</v>
      </c>
      <c r="B1381" s="6" t="s">
        <v>77</v>
      </c>
      <c r="C1381" s="6" t="s">
        <v>1362</v>
      </c>
      <c r="D1381" s="6" t="s">
        <v>1330</v>
      </c>
      <c r="E1381" s="6"/>
      <c r="F1381" s="6" t="s">
        <v>1891</v>
      </c>
      <c r="G1381" s="6" t="s">
        <v>4543</v>
      </c>
      <c r="H1381" s="6" t="s">
        <v>4544</v>
      </c>
      <c r="I1381" s="6" t="n">
        <v>28</v>
      </c>
      <c r="J1381" s="6"/>
      <c r="K1381" s="6" t="s">
        <v>4545</v>
      </c>
      <c r="L1381" s="7"/>
      <c r="M1381" s="7"/>
    </row>
    <row r="1382" customFormat="false" ht="35.05" hidden="false" customHeight="false" outlineLevel="0" collapsed="false">
      <c r="A1382" s="6" t="s">
        <v>2064</v>
      </c>
      <c r="B1382" s="6" t="s">
        <v>77</v>
      </c>
      <c r="C1382" s="6" t="s">
        <v>1362</v>
      </c>
      <c r="D1382" s="6" t="s">
        <v>1330</v>
      </c>
      <c r="E1382" s="6"/>
      <c r="F1382" s="6" t="s">
        <v>1891</v>
      </c>
      <c r="G1382" s="6" t="s">
        <v>4546</v>
      </c>
      <c r="H1382" s="6" t="s">
        <v>4547</v>
      </c>
      <c r="I1382" s="6" t="n">
        <v>46</v>
      </c>
      <c r="J1382" s="6"/>
      <c r="K1382" s="6" t="s">
        <v>4548</v>
      </c>
      <c r="L1382" s="7"/>
      <c r="M1382" s="7"/>
    </row>
    <row r="1383" customFormat="false" ht="23.85" hidden="false" customHeight="false" outlineLevel="0" collapsed="false">
      <c r="A1383" s="6" t="s">
        <v>2066</v>
      </c>
      <c r="B1383" s="6" t="s">
        <v>77</v>
      </c>
      <c r="C1383" s="6" t="s">
        <v>1362</v>
      </c>
      <c r="D1383" s="6" t="s">
        <v>1330</v>
      </c>
      <c r="E1383" s="6"/>
      <c r="F1383" s="6" t="s">
        <v>1894</v>
      </c>
      <c r="G1383" s="6" t="s">
        <v>4537</v>
      </c>
      <c r="H1383" s="6" t="s">
        <v>4561</v>
      </c>
      <c r="I1383" s="6" t="n">
        <v>98</v>
      </c>
      <c r="J1383" s="6" t="s">
        <v>83</v>
      </c>
      <c r="K1383" s="6" t="s">
        <v>4562</v>
      </c>
      <c r="L1383" s="7"/>
      <c r="M1383" s="7"/>
    </row>
    <row r="1384" customFormat="false" ht="23.85" hidden="false" customHeight="false" outlineLevel="0" collapsed="false">
      <c r="A1384" s="6" t="s">
        <v>2066</v>
      </c>
      <c r="B1384" s="6" t="s">
        <v>77</v>
      </c>
      <c r="C1384" s="6" t="s">
        <v>1362</v>
      </c>
      <c r="D1384" s="6" t="s">
        <v>1330</v>
      </c>
      <c r="E1384" s="6"/>
      <c r="F1384" s="6" t="s">
        <v>1894</v>
      </c>
      <c r="G1384" s="6" t="s">
        <v>4540</v>
      </c>
      <c r="H1384" s="6" t="s">
        <v>4541</v>
      </c>
      <c r="I1384" s="6" t="n">
        <v>38</v>
      </c>
      <c r="J1384" s="6"/>
      <c r="K1384" s="6" t="s">
        <v>4542</v>
      </c>
      <c r="L1384" s="7"/>
      <c r="M1384" s="7"/>
    </row>
    <row r="1385" customFormat="false" ht="23.85" hidden="false" customHeight="false" outlineLevel="0" collapsed="false">
      <c r="A1385" s="6" t="s">
        <v>2066</v>
      </c>
      <c r="B1385" s="6" t="s">
        <v>77</v>
      </c>
      <c r="C1385" s="6" t="s">
        <v>1362</v>
      </c>
      <c r="D1385" s="6" t="s">
        <v>1330</v>
      </c>
      <c r="E1385" s="6"/>
      <c r="F1385" s="6" t="s">
        <v>1894</v>
      </c>
      <c r="G1385" s="6" t="s">
        <v>4543</v>
      </c>
      <c r="H1385" s="6" t="s">
        <v>4544</v>
      </c>
      <c r="I1385" s="6" t="n">
        <v>28</v>
      </c>
      <c r="J1385" s="6"/>
      <c r="K1385" s="6" t="s">
        <v>4545</v>
      </c>
      <c r="L1385" s="7"/>
      <c r="M1385" s="7"/>
    </row>
    <row r="1386" customFormat="false" ht="35.05" hidden="false" customHeight="false" outlineLevel="0" collapsed="false">
      <c r="A1386" s="6" t="s">
        <v>2066</v>
      </c>
      <c r="B1386" s="6" t="s">
        <v>77</v>
      </c>
      <c r="C1386" s="6" t="s">
        <v>1362</v>
      </c>
      <c r="D1386" s="6" t="s">
        <v>1330</v>
      </c>
      <c r="E1386" s="6"/>
      <c r="F1386" s="6" t="s">
        <v>1894</v>
      </c>
      <c r="G1386" s="6" t="s">
        <v>4546</v>
      </c>
      <c r="H1386" s="6" t="s">
        <v>4547</v>
      </c>
      <c r="I1386" s="6" t="n">
        <v>46</v>
      </c>
      <c r="J1386" s="6"/>
      <c r="K1386" s="6" t="s">
        <v>4548</v>
      </c>
      <c r="L1386" s="7"/>
      <c r="M1386" s="7"/>
    </row>
    <row r="1387" customFormat="false" ht="23.85" hidden="false" customHeight="false" outlineLevel="0" collapsed="false">
      <c r="A1387" s="6" t="s">
        <v>2068</v>
      </c>
      <c r="B1387" s="6" t="s">
        <v>77</v>
      </c>
      <c r="C1387" s="6" t="s">
        <v>1362</v>
      </c>
      <c r="D1387" s="6" t="s">
        <v>1330</v>
      </c>
      <c r="E1387" s="6"/>
      <c r="F1387" s="6" t="s">
        <v>1897</v>
      </c>
      <c r="G1387" s="6" t="s">
        <v>4537</v>
      </c>
      <c r="H1387" s="6" t="s">
        <v>4561</v>
      </c>
      <c r="I1387" s="6" t="n">
        <v>98</v>
      </c>
      <c r="J1387" s="6" t="s">
        <v>83</v>
      </c>
      <c r="K1387" s="6" t="s">
        <v>4562</v>
      </c>
      <c r="L1387" s="7"/>
      <c r="M1387" s="7"/>
    </row>
    <row r="1388" customFormat="false" ht="23.85" hidden="false" customHeight="false" outlineLevel="0" collapsed="false">
      <c r="A1388" s="6" t="s">
        <v>2068</v>
      </c>
      <c r="B1388" s="6" t="s">
        <v>77</v>
      </c>
      <c r="C1388" s="6" t="s">
        <v>1362</v>
      </c>
      <c r="D1388" s="6" t="s">
        <v>1330</v>
      </c>
      <c r="E1388" s="6"/>
      <c r="F1388" s="6" t="s">
        <v>1897</v>
      </c>
      <c r="G1388" s="6" t="s">
        <v>4540</v>
      </c>
      <c r="H1388" s="6" t="s">
        <v>4541</v>
      </c>
      <c r="I1388" s="6" t="n">
        <v>38</v>
      </c>
      <c r="J1388" s="6"/>
      <c r="K1388" s="6" t="s">
        <v>4542</v>
      </c>
      <c r="L1388" s="7"/>
      <c r="M1388" s="7"/>
    </row>
    <row r="1389" customFormat="false" ht="23.85" hidden="false" customHeight="false" outlineLevel="0" collapsed="false">
      <c r="A1389" s="6" t="s">
        <v>2068</v>
      </c>
      <c r="B1389" s="6" t="s">
        <v>77</v>
      </c>
      <c r="C1389" s="6" t="s">
        <v>1362</v>
      </c>
      <c r="D1389" s="6" t="s">
        <v>1330</v>
      </c>
      <c r="E1389" s="6"/>
      <c r="F1389" s="6" t="s">
        <v>1897</v>
      </c>
      <c r="G1389" s="6" t="s">
        <v>4543</v>
      </c>
      <c r="H1389" s="6" t="s">
        <v>4544</v>
      </c>
      <c r="I1389" s="6" t="n">
        <v>28</v>
      </c>
      <c r="J1389" s="6"/>
      <c r="K1389" s="6" t="s">
        <v>4545</v>
      </c>
      <c r="L1389" s="7"/>
      <c r="M1389" s="7"/>
    </row>
    <row r="1390" customFormat="false" ht="35.05" hidden="false" customHeight="false" outlineLevel="0" collapsed="false">
      <c r="A1390" s="6" t="s">
        <v>2068</v>
      </c>
      <c r="B1390" s="6" t="s">
        <v>77</v>
      </c>
      <c r="C1390" s="6" t="s">
        <v>1362</v>
      </c>
      <c r="D1390" s="6" t="s">
        <v>1330</v>
      </c>
      <c r="E1390" s="6"/>
      <c r="F1390" s="6" t="s">
        <v>1897</v>
      </c>
      <c r="G1390" s="6" t="s">
        <v>4546</v>
      </c>
      <c r="H1390" s="6" t="s">
        <v>4547</v>
      </c>
      <c r="I1390" s="6" t="n">
        <v>46</v>
      </c>
      <c r="J1390" s="6"/>
      <c r="K1390" s="6" t="s">
        <v>4548</v>
      </c>
      <c r="L1390" s="7"/>
      <c r="M1390" s="7"/>
    </row>
    <row r="1391" customFormat="false" ht="23.85" hidden="false" customHeight="false" outlineLevel="0" collapsed="false">
      <c r="A1391" s="6" t="s">
        <v>2070</v>
      </c>
      <c r="B1391" s="6" t="s">
        <v>77</v>
      </c>
      <c r="C1391" s="6" t="s">
        <v>1362</v>
      </c>
      <c r="D1391" s="6" t="s">
        <v>1330</v>
      </c>
      <c r="E1391" s="6"/>
      <c r="F1391" s="6" t="s">
        <v>1900</v>
      </c>
      <c r="G1391" s="6" t="s">
        <v>4537</v>
      </c>
      <c r="H1391" s="6" t="s">
        <v>4561</v>
      </c>
      <c r="I1391" s="6" t="n">
        <v>98</v>
      </c>
      <c r="J1391" s="6" t="s">
        <v>83</v>
      </c>
      <c r="K1391" s="6" t="s">
        <v>4562</v>
      </c>
      <c r="L1391" s="7"/>
      <c r="M1391" s="7"/>
    </row>
    <row r="1392" customFormat="false" ht="23.85" hidden="false" customHeight="false" outlineLevel="0" collapsed="false">
      <c r="A1392" s="6" t="s">
        <v>2070</v>
      </c>
      <c r="B1392" s="6" t="s">
        <v>77</v>
      </c>
      <c r="C1392" s="6" t="s">
        <v>1362</v>
      </c>
      <c r="D1392" s="6" t="s">
        <v>1330</v>
      </c>
      <c r="E1392" s="6"/>
      <c r="F1392" s="6" t="s">
        <v>1900</v>
      </c>
      <c r="G1392" s="6" t="s">
        <v>4540</v>
      </c>
      <c r="H1392" s="6" t="s">
        <v>4541</v>
      </c>
      <c r="I1392" s="6" t="n">
        <v>38</v>
      </c>
      <c r="J1392" s="6"/>
      <c r="K1392" s="6" t="s">
        <v>4542</v>
      </c>
      <c r="L1392" s="7"/>
      <c r="M1392" s="7"/>
    </row>
    <row r="1393" customFormat="false" ht="23.85" hidden="false" customHeight="false" outlineLevel="0" collapsed="false">
      <c r="A1393" s="6" t="s">
        <v>2070</v>
      </c>
      <c r="B1393" s="6" t="s">
        <v>77</v>
      </c>
      <c r="C1393" s="6" t="s">
        <v>1362</v>
      </c>
      <c r="D1393" s="6" t="s">
        <v>1330</v>
      </c>
      <c r="E1393" s="6"/>
      <c r="F1393" s="6" t="s">
        <v>1900</v>
      </c>
      <c r="G1393" s="6" t="s">
        <v>4543</v>
      </c>
      <c r="H1393" s="6" t="s">
        <v>4544</v>
      </c>
      <c r="I1393" s="6" t="n">
        <v>28</v>
      </c>
      <c r="J1393" s="6"/>
      <c r="K1393" s="6" t="s">
        <v>4545</v>
      </c>
      <c r="L1393" s="7"/>
      <c r="M1393" s="7"/>
    </row>
    <row r="1394" customFormat="false" ht="35.05" hidden="false" customHeight="false" outlineLevel="0" collapsed="false">
      <c r="A1394" s="6" t="s">
        <v>2070</v>
      </c>
      <c r="B1394" s="6" t="s">
        <v>77</v>
      </c>
      <c r="C1394" s="6" t="s">
        <v>1362</v>
      </c>
      <c r="D1394" s="6" t="s">
        <v>1330</v>
      </c>
      <c r="E1394" s="6"/>
      <c r="F1394" s="6" t="s">
        <v>1900</v>
      </c>
      <c r="G1394" s="6" t="s">
        <v>4546</v>
      </c>
      <c r="H1394" s="6" t="s">
        <v>4547</v>
      </c>
      <c r="I1394" s="6" t="n">
        <v>46</v>
      </c>
      <c r="J1394" s="6"/>
      <c r="K1394" s="6" t="s">
        <v>4548</v>
      </c>
      <c r="L1394" s="7"/>
      <c r="M1394" s="7"/>
    </row>
    <row r="1395" customFormat="false" ht="23.85" hidden="false" customHeight="false" outlineLevel="0" collapsed="false">
      <c r="A1395" s="6" t="s">
        <v>2072</v>
      </c>
      <c r="B1395" s="6" t="s">
        <v>77</v>
      </c>
      <c r="C1395" s="6" t="s">
        <v>1362</v>
      </c>
      <c r="D1395" s="6" t="s">
        <v>1330</v>
      </c>
      <c r="E1395" s="6"/>
      <c r="F1395" s="6" t="s">
        <v>1903</v>
      </c>
      <c r="G1395" s="6" t="s">
        <v>4537</v>
      </c>
      <c r="H1395" s="6" t="s">
        <v>4561</v>
      </c>
      <c r="I1395" s="6" t="n">
        <v>98</v>
      </c>
      <c r="J1395" s="6" t="s">
        <v>83</v>
      </c>
      <c r="K1395" s="6" t="s">
        <v>4562</v>
      </c>
      <c r="L1395" s="7"/>
      <c r="M1395" s="7"/>
    </row>
    <row r="1396" customFormat="false" ht="23.85" hidden="false" customHeight="false" outlineLevel="0" collapsed="false">
      <c r="A1396" s="6" t="s">
        <v>2072</v>
      </c>
      <c r="B1396" s="6" t="s">
        <v>77</v>
      </c>
      <c r="C1396" s="6" t="s">
        <v>1362</v>
      </c>
      <c r="D1396" s="6" t="s">
        <v>1330</v>
      </c>
      <c r="E1396" s="6"/>
      <c r="F1396" s="6" t="s">
        <v>1903</v>
      </c>
      <c r="G1396" s="6" t="s">
        <v>4540</v>
      </c>
      <c r="H1396" s="6" t="s">
        <v>4541</v>
      </c>
      <c r="I1396" s="6" t="n">
        <v>38</v>
      </c>
      <c r="J1396" s="6"/>
      <c r="K1396" s="6" t="s">
        <v>4542</v>
      </c>
      <c r="L1396" s="7"/>
      <c r="M1396" s="7"/>
    </row>
    <row r="1397" customFormat="false" ht="23.85" hidden="false" customHeight="false" outlineLevel="0" collapsed="false">
      <c r="A1397" s="6" t="s">
        <v>2072</v>
      </c>
      <c r="B1397" s="6" t="s">
        <v>77</v>
      </c>
      <c r="C1397" s="6" t="s">
        <v>1362</v>
      </c>
      <c r="D1397" s="6" t="s">
        <v>1330</v>
      </c>
      <c r="E1397" s="6"/>
      <c r="F1397" s="6" t="s">
        <v>1903</v>
      </c>
      <c r="G1397" s="6" t="s">
        <v>4543</v>
      </c>
      <c r="H1397" s="6" t="s">
        <v>4544</v>
      </c>
      <c r="I1397" s="6" t="n">
        <v>28</v>
      </c>
      <c r="J1397" s="6"/>
      <c r="K1397" s="6" t="s">
        <v>4545</v>
      </c>
      <c r="L1397" s="7"/>
      <c r="M1397" s="7"/>
    </row>
    <row r="1398" customFormat="false" ht="35.05" hidden="false" customHeight="false" outlineLevel="0" collapsed="false">
      <c r="A1398" s="6" t="s">
        <v>2072</v>
      </c>
      <c r="B1398" s="6" t="s">
        <v>77</v>
      </c>
      <c r="C1398" s="6" t="s">
        <v>1362</v>
      </c>
      <c r="D1398" s="6" t="s">
        <v>1330</v>
      </c>
      <c r="E1398" s="6"/>
      <c r="F1398" s="6" t="s">
        <v>1903</v>
      </c>
      <c r="G1398" s="6" t="s">
        <v>4546</v>
      </c>
      <c r="H1398" s="6" t="s">
        <v>4547</v>
      </c>
      <c r="I1398" s="6" t="n">
        <v>46</v>
      </c>
      <c r="J1398" s="6"/>
      <c r="K1398" s="6" t="s">
        <v>4548</v>
      </c>
      <c r="L1398" s="7"/>
      <c r="M1398" s="7"/>
    </row>
    <row r="1399" customFormat="false" ht="23.85" hidden="false" customHeight="false" outlineLevel="0" collapsed="false">
      <c r="A1399" s="6" t="s">
        <v>2074</v>
      </c>
      <c r="B1399" s="6" t="s">
        <v>77</v>
      </c>
      <c r="C1399" s="6" t="s">
        <v>1362</v>
      </c>
      <c r="D1399" s="6" t="s">
        <v>1330</v>
      </c>
      <c r="E1399" s="6"/>
      <c r="F1399" s="6" t="s">
        <v>1906</v>
      </c>
      <c r="G1399" s="6" t="s">
        <v>4537</v>
      </c>
      <c r="H1399" s="6" t="s">
        <v>4561</v>
      </c>
      <c r="I1399" s="6" t="n">
        <v>98</v>
      </c>
      <c r="J1399" s="6" t="s">
        <v>83</v>
      </c>
      <c r="K1399" s="6" t="s">
        <v>4562</v>
      </c>
      <c r="L1399" s="7"/>
      <c r="M1399" s="7"/>
    </row>
    <row r="1400" customFormat="false" ht="23.85" hidden="false" customHeight="false" outlineLevel="0" collapsed="false">
      <c r="A1400" s="6" t="s">
        <v>2074</v>
      </c>
      <c r="B1400" s="6" t="s">
        <v>77</v>
      </c>
      <c r="C1400" s="6" t="s">
        <v>1362</v>
      </c>
      <c r="D1400" s="6" t="s">
        <v>1330</v>
      </c>
      <c r="E1400" s="6"/>
      <c r="F1400" s="6" t="s">
        <v>1906</v>
      </c>
      <c r="G1400" s="6" t="s">
        <v>4540</v>
      </c>
      <c r="H1400" s="6" t="s">
        <v>4541</v>
      </c>
      <c r="I1400" s="6" t="n">
        <v>38</v>
      </c>
      <c r="J1400" s="6"/>
      <c r="K1400" s="6" t="s">
        <v>4542</v>
      </c>
      <c r="L1400" s="7"/>
      <c r="M1400" s="7"/>
    </row>
    <row r="1401" customFormat="false" ht="23.85" hidden="false" customHeight="false" outlineLevel="0" collapsed="false">
      <c r="A1401" s="6" t="s">
        <v>2074</v>
      </c>
      <c r="B1401" s="6" t="s">
        <v>77</v>
      </c>
      <c r="C1401" s="6" t="s">
        <v>1362</v>
      </c>
      <c r="D1401" s="6" t="s">
        <v>1330</v>
      </c>
      <c r="E1401" s="6"/>
      <c r="F1401" s="6" t="s">
        <v>1906</v>
      </c>
      <c r="G1401" s="6" t="s">
        <v>4543</v>
      </c>
      <c r="H1401" s="6" t="s">
        <v>4544</v>
      </c>
      <c r="I1401" s="6" t="n">
        <v>28</v>
      </c>
      <c r="J1401" s="6"/>
      <c r="K1401" s="6" t="s">
        <v>4545</v>
      </c>
      <c r="L1401" s="7"/>
      <c r="M1401" s="7"/>
    </row>
    <row r="1402" customFormat="false" ht="35.05" hidden="false" customHeight="false" outlineLevel="0" collapsed="false">
      <c r="A1402" s="6" t="s">
        <v>2074</v>
      </c>
      <c r="B1402" s="6" t="s">
        <v>77</v>
      </c>
      <c r="C1402" s="6" t="s">
        <v>1362</v>
      </c>
      <c r="D1402" s="6" t="s">
        <v>1330</v>
      </c>
      <c r="E1402" s="6"/>
      <c r="F1402" s="6" t="s">
        <v>1906</v>
      </c>
      <c r="G1402" s="6" t="s">
        <v>4546</v>
      </c>
      <c r="H1402" s="6" t="s">
        <v>4547</v>
      </c>
      <c r="I1402" s="6" t="n">
        <v>46</v>
      </c>
      <c r="J1402" s="6"/>
      <c r="K1402" s="6" t="s">
        <v>4548</v>
      </c>
      <c r="L1402" s="7"/>
      <c r="M1402" s="7"/>
    </row>
    <row r="1403" customFormat="false" ht="23.85" hidden="false" customHeight="false" outlineLevel="0" collapsed="false">
      <c r="A1403" s="6" t="s">
        <v>2076</v>
      </c>
      <c r="B1403" s="6" t="s">
        <v>77</v>
      </c>
      <c r="C1403" s="6" t="s">
        <v>1362</v>
      </c>
      <c r="D1403" s="6" t="s">
        <v>1330</v>
      </c>
      <c r="E1403" s="6"/>
      <c r="F1403" s="6" t="s">
        <v>1909</v>
      </c>
      <c r="G1403" s="6" t="s">
        <v>4537</v>
      </c>
      <c r="H1403" s="6" t="s">
        <v>4561</v>
      </c>
      <c r="I1403" s="6" t="n">
        <v>98</v>
      </c>
      <c r="J1403" s="6" t="s">
        <v>83</v>
      </c>
      <c r="K1403" s="6" t="s">
        <v>4562</v>
      </c>
      <c r="L1403" s="7"/>
      <c r="M1403" s="7"/>
    </row>
    <row r="1404" customFormat="false" ht="23.85" hidden="false" customHeight="false" outlineLevel="0" collapsed="false">
      <c r="A1404" s="6" t="s">
        <v>2076</v>
      </c>
      <c r="B1404" s="6" t="s">
        <v>77</v>
      </c>
      <c r="C1404" s="6" t="s">
        <v>1362</v>
      </c>
      <c r="D1404" s="6" t="s">
        <v>1330</v>
      </c>
      <c r="E1404" s="6"/>
      <c r="F1404" s="6" t="s">
        <v>1909</v>
      </c>
      <c r="G1404" s="6" t="s">
        <v>4540</v>
      </c>
      <c r="H1404" s="6" t="s">
        <v>4541</v>
      </c>
      <c r="I1404" s="6" t="n">
        <v>38</v>
      </c>
      <c r="J1404" s="6"/>
      <c r="K1404" s="6" t="s">
        <v>4542</v>
      </c>
      <c r="L1404" s="7"/>
      <c r="M1404" s="7"/>
    </row>
    <row r="1405" customFormat="false" ht="23.85" hidden="false" customHeight="false" outlineLevel="0" collapsed="false">
      <c r="A1405" s="6" t="s">
        <v>2076</v>
      </c>
      <c r="B1405" s="6" t="s">
        <v>77</v>
      </c>
      <c r="C1405" s="6" t="s">
        <v>1362</v>
      </c>
      <c r="D1405" s="6" t="s">
        <v>1330</v>
      </c>
      <c r="E1405" s="6"/>
      <c r="F1405" s="6" t="s">
        <v>1909</v>
      </c>
      <c r="G1405" s="6" t="s">
        <v>4543</v>
      </c>
      <c r="H1405" s="6" t="s">
        <v>4544</v>
      </c>
      <c r="I1405" s="6" t="n">
        <v>28</v>
      </c>
      <c r="J1405" s="6"/>
      <c r="K1405" s="6" t="s">
        <v>4545</v>
      </c>
      <c r="L1405" s="7"/>
      <c r="M1405" s="7"/>
    </row>
    <row r="1406" customFormat="false" ht="35.05" hidden="false" customHeight="false" outlineLevel="0" collapsed="false">
      <c r="A1406" s="6" t="s">
        <v>2076</v>
      </c>
      <c r="B1406" s="6" t="s">
        <v>77</v>
      </c>
      <c r="C1406" s="6" t="s">
        <v>1362</v>
      </c>
      <c r="D1406" s="6" t="s">
        <v>1330</v>
      </c>
      <c r="E1406" s="6"/>
      <c r="F1406" s="6" t="s">
        <v>1909</v>
      </c>
      <c r="G1406" s="6" t="s">
        <v>4546</v>
      </c>
      <c r="H1406" s="6" t="s">
        <v>4547</v>
      </c>
      <c r="I1406" s="6" t="n">
        <v>46</v>
      </c>
      <c r="J1406" s="6"/>
      <c r="K1406" s="6" t="s">
        <v>4548</v>
      </c>
      <c r="L1406" s="7"/>
      <c r="M1406" s="7"/>
    </row>
    <row r="1407" customFormat="false" ht="35.05" hidden="false" customHeight="false" outlineLevel="0" collapsed="false">
      <c r="A1407" s="6" t="s">
        <v>2078</v>
      </c>
      <c r="B1407" s="6" t="s">
        <v>96</v>
      </c>
      <c r="C1407" s="6" t="s">
        <v>1362</v>
      </c>
      <c r="D1407" s="6" t="s">
        <v>1330</v>
      </c>
      <c r="E1407" s="6"/>
      <c r="F1407" s="6" t="s">
        <v>1879</v>
      </c>
      <c r="G1407" s="6" t="s">
        <v>4537</v>
      </c>
      <c r="H1407" s="6" t="s">
        <v>4563</v>
      </c>
      <c r="I1407" s="6" t="n">
        <v>98</v>
      </c>
      <c r="J1407" s="6" t="s">
        <v>83</v>
      </c>
      <c r="K1407" s="6" t="s">
        <v>4564</v>
      </c>
      <c r="L1407" s="7"/>
      <c r="M1407" s="7"/>
    </row>
    <row r="1408" customFormat="false" ht="23.85" hidden="false" customHeight="false" outlineLevel="0" collapsed="false">
      <c r="A1408" s="6" t="s">
        <v>2078</v>
      </c>
      <c r="B1408" s="6" t="s">
        <v>96</v>
      </c>
      <c r="C1408" s="6" t="s">
        <v>1362</v>
      </c>
      <c r="D1408" s="6" t="s">
        <v>1330</v>
      </c>
      <c r="E1408" s="6"/>
      <c r="F1408" s="6" t="s">
        <v>1879</v>
      </c>
      <c r="G1408" s="6" t="s">
        <v>4540</v>
      </c>
      <c r="H1408" s="6" t="s">
        <v>4541</v>
      </c>
      <c r="I1408" s="6" t="n">
        <v>38</v>
      </c>
      <c r="J1408" s="6"/>
      <c r="K1408" s="6" t="s">
        <v>4542</v>
      </c>
      <c r="L1408" s="7"/>
      <c r="M1408" s="7"/>
    </row>
    <row r="1409" customFormat="false" ht="23.85" hidden="false" customHeight="false" outlineLevel="0" collapsed="false">
      <c r="A1409" s="6" t="s">
        <v>2078</v>
      </c>
      <c r="B1409" s="6" t="s">
        <v>96</v>
      </c>
      <c r="C1409" s="6" t="s">
        <v>1362</v>
      </c>
      <c r="D1409" s="6" t="s">
        <v>1330</v>
      </c>
      <c r="E1409" s="6"/>
      <c r="F1409" s="6" t="s">
        <v>1879</v>
      </c>
      <c r="G1409" s="6" t="s">
        <v>4543</v>
      </c>
      <c r="H1409" s="6" t="s">
        <v>4544</v>
      </c>
      <c r="I1409" s="6" t="n">
        <v>28</v>
      </c>
      <c r="J1409" s="6"/>
      <c r="K1409" s="6" t="s">
        <v>4545</v>
      </c>
      <c r="L1409" s="7"/>
      <c r="M1409" s="7"/>
    </row>
    <row r="1410" customFormat="false" ht="35.05" hidden="false" customHeight="false" outlineLevel="0" collapsed="false">
      <c r="A1410" s="6" t="s">
        <v>2078</v>
      </c>
      <c r="B1410" s="6" t="s">
        <v>96</v>
      </c>
      <c r="C1410" s="6" t="s">
        <v>1362</v>
      </c>
      <c r="D1410" s="6" t="s">
        <v>1330</v>
      </c>
      <c r="E1410" s="6"/>
      <c r="F1410" s="6" t="s">
        <v>1879</v>
      </c>
      <c r="G1410" s="6" t="s">
        <v>4546</v>
      </c>
      <c r="H1410" s="6" t="s">
        <v>4547</v>
      </c>
      <c r="I1410" s="6" t="n">
        <v>46</v>
      </c>
      <c r="J1410" s="6"/>
      <c r="K1410" s="6" t="s">
        <v>4548</v>
      </c>
      <c r="L1410" s="7"/>
      <c r="M1410" s="7"/>
    </row>
    <row r="1411" customFormat="false" ht="35.05" hidden="false" customHeight="false" outlineLevel="0" collapsed="false">
      <c r="A1411" s="6" t="s">
        <v>2084</v>
      </c>
      <c r="B1411" s="6" t="s">
        <v>96</v>
      </c>
      <c r="C1411" s="6" t="s">
        <v>1362</v>
      </c>
      <c r="D1411" s="6" t="s">
        <v>1330</v>
      </c>
      <c r="E1411" s="6"/>
      <c r="F1411" s="6" t="s">
        <v>1885</v>
      </c>
      <c r="G1411" s="6" t="s">
        <v>4537</v>
      </c>
      <c r="H1411" s="6" t="s">
        <v>4563</v>
      </c>
      <c r="I1411" s="6" t="n">
        <v>98</v>
      </c>
      <c r="J1411" s="6" t="s">
        <v>83</v>
      </c>
      <c r="K1411" s="6" t="s">
        <v>4564</v>
      </c>
      <c r="L1411" s="7"/>
      <c r="M1411" s="7"/>
    </row>
    <row r="1412" customFormat="false" ht="23.85" hidden="false" customHeight="false" outlineLevel="0" collapsed="false">
      <c r="A1412" s="6" t="s">
        <v>2084</v>
      </c>
      <c r="B1412" s="6" t="s">
        <v>96</v>
      </c>
      <c r="C1412" s="6" t="s">
        <v>1362</v>
      </c>
      <c r="D1412" s="6" t="s">
        <v>1330</v>
      </c>
      <c r="E1412" s="6"/>
      <c r="F1412" s="6" t="s">
        <v>1885</v>
      </c>
      <c r="G1412" s="6" t="s">
        <v>4540</v>
      </c>
      <c r="H1412" s="6" t="s">
        <v>4541</v>
      </c>
      <c r="I1412" s="6" t="n">
        <v>38</v>
      </c>
      <c r="J1412" s="6"/>
      <c r="K1412" s="6" t="s">
        <v>4542</v>
      </c>
      <c r="L1412" s="7"/>
      <c r="M1412" s="7"/>
    </row>
    <row r="1413" customFormat="false" ht="23.85" hidden="false" customHeight="false" outlineLevel="0" collapsed="false">
      <c r="A1413" s="6" t="s">
        <v>2084</v>
      </c>
      <c r="B1413" s="6" t="s">
        <v>96</v>
      </c>
      <c r="C1413" s="6" t="s">
        <v>1362</v>
      </c>
      <c r="D1413" s="6" t="s">
        <v>1330</v>
      </c>
      <c r="E1413" s="6"/>
      <c r="F1413" s="6" t="s">
        <v>1885</v>
      </c>
      <c r="G1413" s="6" t="s">
        <v>4543</v>
      </c>
      <c r="H1413" s="6" t="s">
        <v>4544</v>
      </c>
      <c r="I1413" s="6" t="n">
        <v>28</v>
      </c>
      <c r="J1413" s="6"/>
      <c r="K1413" s="6" t="s">
        <v>4545</v>
      </c>
      <c r="L1413" s="7"/>
      <c r="M1413" s="7"/>
    </row>
    <row r="1414" customFormat="false" ht="35.05" hidden="false" customHeight="false" outlineLevel="0" collapsed="false">
      <c r="A1414" s="6" t="s">
        <v>2084</v>
      </c>
      <c r="B1414" s="6" t="s">
        <v>96</v>
      </c>
      <c r="C1414" s="6" t="s">
        <v>1362</v>
      </c>
      <c r="D1414" s="6" t="s">
        <v>1330</v>
      </c>
      <c r="E1414" s="6"/>
      <c r="F1414" s="6" t="s">
        <v>1885</v>
      </c>
      <c r="G1414" s="6" t="s">
        <v>4546</v>
      </c>
      <c r="H1414" s="6" t="s">
        <v>4547</v>
      </c>
      <c r="I1414" s="6" t="n">
        <v>46</v>
      </c>
      <c r="J1414" s="6"/>
      <c r="K1414" s="6" t="s">
        <v>4548</v>
      </c>
      <c r="L1414" s="7"/>
      <c r="M1414" s="7"/>
    </row>
    <row r="1415" customFormat="false" ht="35.05" hidden="false" customHeight="false" outlineLevel="0" collapsed="false">
      <c r="A1415" s="6" t="s">
        <v>2086</v>
      </c>
      <c r="B1415" s="6" t="s">
        <v>96</v>
      </c>
      <c r="C1415" s="6" t="s">
        <v>1362</v>
      </c>
      <c r="D1415" s="6" t="s">
        <v>1330</v>
      </c>
      <c r="E1415" s="6"/>
      <c r="F1415" s="6" t="s">
        <v>1888</v>
      </c>
      <c r="G1415" s="6" t="s">
        <v>4537</v>
      </c>
      <c r="H1415" s="6" t="s">
        <v>4563</v>
      </c>
      <c r="I1415" s="6" t="n">
        <v>98</v>
      </c>
      <c r="J1415" s="6" t="s">
        <v>83</v>
      </c>
      <c r="K1415" s="6" t="s">
        <v>4564</v>
      </c>
      <c r="L1415" s="7"/>
      <c r="M1415" s="7"/>
    </row>
    <row r="1416" customFormat="false" ht="23.85" hidden="false" customHeight="false" outlineLevel="0" collapsed="false">
      <c r="A1416" s="6" t="s">
        <v>2086</v>
      </c>
      <c r="B1416" s="6" t="s">
        <v>96</v>
      </c>
      <c r="C1416" s="6" t="s">
        <v>1362</v>
      </c>
      <c r="D1416" s="6" t="s">
        <v>1330</v>
      </c>
      <c r="E1416" s="6"/>
      <c r="F1416" s="6" t="s">
        <v>1888</v>
      </c>
      <c r="G1416" s="6" t="s">
        <v>4540</v>
      </c>
      <c r="H1416" s="6" t="s">
        <v>4541</v>
      </c>
      <c r="I1416" s="6" t="n">
        <v>38</v>
      </c>
      <c r="J1416" s="6"/>
      <c r="K1416" s="6" t="s">
        <v>4542</v>
      </c>
      <c r="L1416" s="7"/>
      <c r="M1416" s="7"/>
    </row>
    <row r="1417" customFormat="false" ht="23.85" hidden="false" customHeight="false" outlineLevel="0" collapsed="false">
      <c r="A1417" s="6" t="s">
        <v>2086</v>
      </c>
      <c r="B1417" s="6" t="s">
        <v>96</v>
      </c>
      <c r="C1417" s="6" t="s">
        <v>1362</v>
      </c>
      <c r="D1417" s="6" t="s">
        <v>1330</v>
      </c>
      <c r="E1417" s="6"/>
      <c r="F1417" s="6" t="s">
        <v>1888</v>
      </c>
      <c r="G1417" s="6" t="s">
        <v>4543</v>
      </c>
      <c r="H1417" s="6" t="s">
        <v>4544</v>
      </c>
      <c r="I1417" s="6" t="n">
        <v>28</v>
      </c>
      <c r="J1417" s="6"/>
      <c r="K1417" s="6" t="s">
        <v>4545</v>
      </c>
      <c r="L1417" s="7"/>
      <c r="M1417" s="7"/>
    </row>
    <row r="1418" customFormat="false" ht="35.05" hidden="false" customHeight="false" outlineLevel="0" collapsed="false">
      <c r="A1418" s="6" t="s">
        <v>2086</v>
      </c>
      <c r="B1418" s="6" t="s">
        <v>96</v>
      </c>
      <c r="C1418" s="6" t="s">
        <v>1362</v>
      </c>
      <c r="D1418" s="6" t="s">
        <v>1330</v>
      </c>
      <c r="E1418" s="6"/>
      <c r="F1418" s="6" t="s">
        <v>1888</v>
      </c>
      <c r="G1418" s="6" t="s">
        <v>4546</v>
      </c>
      <c r="H1418" s="6" t="s">
        <v>4547</v>
      </c>
      <c r="I1418" s="6" t="n">
        <v>46</v>
      </c>
      <c r="J1418" s="6"/>
      <c r="K1418" s="6" t="s">
        <v>4548</v>
      </c>
      <c r="L1418" s="7"/>
      <c r="M1418" s="7"/>
    </row>
    <row r="1419" customFormat="false" ht="35.05" hidden="false" customHeight="false" outlineLevel="0" collapsed="false">
      <c r="A1419" s="6" t="s">
        <v>2088</v>
      </c>
      <c r="B1419" s="6" t="s">
        <v>96</v>
      </c>
      <c r="C1419" s="6" t="s">
        <v>1362</v>
      </c>
      <c r="D1419" s="6" t="s">
        <v>1330</v>
      </c>
      <c r="E1419" s="6"/>
      <c r="F1419" s="6" t="s">
        <v>1891</v>
      </c>
      <c r="G1419" s="6" t="s">
        <v>4537</v>
      </c>
      <c r="H1419" s="6" t="s">
        <v>4563</v>
      </c>
      <c r="I1419" s="6" t="n">
        <v>98</v>
      </c>
      <c r="J1419" s="6" t="s">
        <v>83</v>
      </c>
      <c r="K1419" s="6" t="s">
        <v>4564</v>
      </c>
      <c r="L1419" s="7"/>
      <c r="M1419" s="7"/>
    </row>
    <row r="1420" customFormat="false" ht="23.85" hidden="false" customHeight="false" outlineLevel="0" collapsed="false">
      <c r="A1420" s="6" t="s">
        <v>2088</v>
      </c>
      <c r="B1420" s="6" t="s">
        <v>96</v>
      </c>
      <c r="C1420" s="6" t="s">
        <v>1362</v>
      </c>
      <c r="D1420" s="6" t="s">
        <v>1330</v>
      </c>
      <c r="E1420" s="6"/>
      <c r="F1420" s="6" t="s">
        <v>1891</v>
      </c>
      <c r="G1420" s="6" t="s">
        <v>4540</v>
      </c>
      <c r="H1420" s="6" t="s">
        <v>4541</v>
      </c>
      <c r="I1420" s="6" t="n">
        <v>38</v>
      </c>
      <c r="J1420" s="6"/>
      <c r="K1420" s="6" t="s">
        <v>4542</v>
      </c>
      <c r="L1420" s="7"/>
      <c r="M1420" s="7"/>
    </row>
    <row r="1421" customFormat="false" ht="23.85" hidden="false" customHeight="false" outlineLevel="0" collapsed="false">
      <c r="A1421" s="6" t="s">
        <v>2088</v>
      </c>
      <c r="B1421" s="6" t="s">
        <v>96</v>
      </c>
      <c r="C1421" s="6" t="s">
        <v>1362</v>
      </c>
      <c r="D1421" s="6" t="s">
        <v>1330</v>
      </c>
      <c r="E1421" s="6"/>
      <c r="F1421" s="6" t="s">
        <v>1891</v>
      </c>
      <c r="G1421" s="6" t="s">
        <v>4543</v>
      </c>
      <c r="H1421" s="6" t="s">
        <v>4544</v>
      </c>
      <c r="I1421" s="6" t="n">
        <v>28</v>
      </c>
      <c r="J1421" s="6"/>
      <c r="K1421" s="6" t="s">
        <v>4545</v>
      </c>
      <c r="L1421" s="7"/>
      <c r="M1421" s="7"/>
    </row>
    <row r="1422" customFormat="false" ht="35.05" hidden="false" customHeight="false" outlineLevel="0" collapsed="false">
      <c r="A1422" s="6" t="s">
        <v>2088</v>
      </c>
      <c r="B1422" s="6" t="s">
        <v>96</v>
      </c>
      <c r="C1422" s="6" t="s">
        <v>1362</v>
      </c>
      <c r="D1422" s="6" t="s">
        <v>1330</v>
      </c>
      <c r="E1422" s="6"/>
      <c r="F1422" s="6" t="s">
        <v>1891</v>
      </c>
      <c r="G1422" s="6" t="s">
        <v>4546</v>
      </c>
      <c r="H1422" s="6" t="s">
        <v>4547</v>
      </c>
      <c r="I1422" s="6" t="n">
        <v>46</v>
      </c>
      <c r="J1422" s="6"/>
      <c r="K1422" s="6" t="s">
        <v>4548</v>
      </c>
      <c r="L1422" s="7"/>
      <c r="M1422" s="7"/>
    </row>
    <row r="1423" customFormat="false" ht="35.05" hidden="false" customHeight="false" outlineLevel="0" collapsed="false">
      <c r="A1423" s="6" t="s">
        <v>2090</v>
      </c>
      <c r="B1423" s="6" t="s">
        <v>96</v>
      </c>
      <c r="C1423" s="6" t="s">
        <v>1362</v>
      </c>
      <c r="D1423" s="6" t="s">
        <v>1330</v>
      </c>
      <c r="E1423" s="6"/>
      <c r="F1423" s="6" t="s">
        <v>1894</v>
      </c>
      <c r="G1423" s="6" t="s">
        <v>4537</v>
      </c>
      <c r="H1423" s="6" t="s">
        <v>4563</v>
      </c>
      <c r="I1423" s="6" t="n">
        <v>98</v>
      </c>
      <c r="J1423" s="6" t="s">
        <v>83</v>
      </c>
      <c r="K1423" s="6" t="s">
        <v>4564</v>
      </c>
      <c r="L1423" s="7"/>
      <c r="M1423" s="7"/>
    </row>
    <row r="1424" customFormat="false" ht="23.85" hidden="false" customHeight="false" outlineLevel="0" collapsed="false">
      <c r="A1424" s="6" t="s">
        <v>2090</v>
      </c>
      <c r="B1424" s="6" t="s">
        <v>96</v>
      </c>
      <c r="C1424" s="6" t="s">
        <v>1362</v>
      </c>
      <c r="D1424" s="6" t="s">
        <v>1330</v>
      </c>
      <c r="E1424" s="6"/>
      <c r="F1424" s="6" t="s">
        <v>1894</v>
      </c>
      <c r="G1424" s="6" t="s">
        <v>4540</v>
      </c>
      <c r="H1424" s="6" t="s">
        <v>4541</v>
      </c>
      <c r="I1424" s="6" t="n">
        <v>38</v>
      </c>
      <c r="J1424" s="6"/>
      <c r="K1424" s="6" t="s">
        <v>4542</v>
      </c>
      <c r="L1424" s="7"/>
      <c r="M1424" s="7"/>
    </row>
    <row r="1425" customFormat="false" ht="23.85" hidden="false" customHeight="false" outlineLevel="0" collapsed="false">
      <c r="A1425" s="6" t="s">
        <v>2090</v>
      </c>
      <c r="B1425" s="6" t="s">
        <v>96</v>
      </c>
      <c r="C1425" s="6" t="s">
        <v>1362</v>
      </c>
      <c r="D1425" s="6" t="s">
        <v>1330</v>
      </c>
      <c r="E1425" s="6"/>
      <c r="F1425" s="6" t="s">
        <v>1894</v>
      </c>
      <c r="G1425" s="6" t="s">
        <v>4543</v>
      </c>
      <c r="H1425" s="6" t="s">
        <v>4544</v>
      </c>
      <c r="I1425" s="6" t="n">
        <v>28</v>
      </c>
      <c r="J1425" s="6"/>
      <c r="K1425" s="6" t="s">
        <v>4545</v>
      </c>
      <c r="L1425" s="7"/>
      <c r="M1425" s="7"/>
    </row>
    <row r="1426" customFormat="false" ht="35.05" hidden="false" customHeight="false" outlineLevel="0" collapsed="false">
      <c r="A1426" s="6" t="s">
        <v>2090</v>
      </c>
      <c r="B1426" s="6" t="s">
        <v>96</v>
      </c>
      <c r="C1426" s="6" t="s">
        <v>1362</v>
      </c>
      <c r="D1426" s="6" t="s">
        <v>1330</v>
      </c>
      <c r="E1426" s="6"/>
      <c r="F1426" s="6" t="s">
        <v>1894</v>
      </c>
      <c r="G1426" s="6" t="s">
        <v>4546</v>
      </c>
      <c r="H1426" s="6" t="s">
        <v>4547</v>
      </c>
      <c r="I1426" s="6" t="n">
        <v>46</v>
      </c>
      <c r="J1426" s="6"/>
      <c r="K1426" s="6" t="s">
        <v>4548</v>
      </c>
      <c r="L1426" s="7"/>
      <c r="M1426" s="7"/>
    </row>
    <row r="1427" customFormat="false" ht="35.05" hidden="false" customHeight="false" outlineLevel="0" collapsed="false">
      <c r="A1427" s="6" t="s">
        <v>2092</v>
      </c>
      <c r="B1427" s="6" t="s">
        <v>96</v>
      </c>
      <c r="C1427" s="6" t="s">
        <v>1362</v>
      </c>
      <c r="D1427" s="6" t="s">
        <v>1330</v>
      </c>
      <c r="E1427" s="6"/>
      <c r="F1427" s="6" t="s">
        <v>1897</v>
      </c>
      <c r="G1427" s="6" t="s">
        <v>4537</v>
      </c>
      <c r="H1427" s="6" t="s">
        <v>4563</v>
      </c>
      <c r="I1427" s="6" t="n">
        <v>98</v>
      </c>
      <c r="J1427" s="6" t="s">
        <v>83</v>
      </c>
      <c r="K1427" s="6" t="s">
        <v>4564</v>
      </c>
      <c r="L1427" s="7"/>
      <c r="M1427" s="7"/>
    </row>
    <row r="1428" customFormat="false" ht="23.85" hidden="false" customHeight="false" outlineLevel="0" collapsed="false">
      <c r="A1428" s="6" t="s">
        <v>2092</v>
      </c>
      <c r="B1428" s="6" t="s">
        <v>96</v>
      </c>
      <c r="C1428" s="6" t="s">
        <v>1362</v>
      </c>
      <c r="D1428" s="6" t="s">
        <v>1330</v>
      </c>
      <c r="E1428" s="6"/>
      <c r="F1428" s="6" t="s">
        <v>1897</v>
      </c>
      <c r="G1428" s="6" t="s">
        <v>4540</v>
      </c>
      <c r="H1428" s="6" t="s">
        <v>4541</v>
      </c>
      <c r="I1428" s="6" t="n">
        <v>38</v>
      </c>
      <c r="J1428" s="6"/>
      <c r="K1428" s="6" t="s">
        <v>4542</v>
      </c>
      <c r="L1428" s="7"/>
      <c r="M1428" s="7"/>
    </row>
    <row r="1429" customFormat="false" ht="23.85" hidden="false" customHeight="false" outlineLevel="0" collapsed="false">
      <c r="A1429" s="6" t="s">
        <v>2092</v>
      </c>
      <c r="B1429" s="6" t="s">
        <v>96</v>
      </c>
      <c r="C1429" s="6" t="s">
        <v>1362</v>
      </c>
      <c r="D1429" s="6" t="s">
        <v>1330</v>
      </c>
      <c r="E1429" s="6"/>
      <c r="F1429" s="6" t="s">
        <v>1897</v>
      </c>
      <c r="G1429" s="6" t="s">
        <v>4543</v>
      </c>
      <c r="H1429" s="6" t="s">
        <v>4544</v>
      </c>
      <c r="I1429" s="6" t="n">
        <v>28</v>
      </c>
      <c r="J1429" s="6"/>
      <c r="K1429" s="6" t="s">
        <v>4545</v>
      </c>
      <c r="L1429" s="7"/>
      <c r="M1429" s="7"/>
    </row>
    <row r="1430" customFormat="false" ht="35.05" hidden="false" customHeight="false" outlineLevel="0" collapsed="false">
      <c r="A1430" s="6" t="s">
        <v>2092</v>
      </c>
      <c r="B1430" s="6" t="s">
        <v>96</v>
      </c>
      <c r="C1430" s="6" t="s">
        <v>1362</v>
      </c>
      <c r="D1430" s="6" t="s">
        <v>1330</v>
      </c>
      <c r="E1430" s="6"/>
      <c r="F1430" s="6" t="s">
        <v>1897</v>
      </c>
      <c r="G1430" s="6" t="s">
        <v>4546</v>
      </c>
      <c r="H1430" s="6" t="s">
        <v>4547</v>
      </c>
      <c r="I1430" s="6" t="n">
        <v>46</v>
      </c>
      <c r="J1430" s="6"/>
      <c r="K1430" s="6" t="s">
        <v>4548</v>
      </c>
      <c r="L1430" s="7"/>
      <c r="M1430" s="7"/>
    </row>
    <row r="1431" customFormat="false" ht="35.05" hidden="false" customHeight="false" outlineLevel="0" collapsed="false">
      <c r="A1431" s="6" t="s">
        <v>2094</v>
      </c>
      <c r="B1431" s="6" t="s">
        <v>96</v>
      </c>
      <c r="C1431" s="6" t="s">
        <v>1362</v>
      </c>
      <c r="D1431" s="6" t="s">
        <v>1330</v>
      </c>
      <c r="E1431" s="6"/>
      <c r="F1431" s="6" t="s">
        <v>1900</v>
      </c>
      <c r="G1431" s="6" t="s">
        <v>4537</v>
      </c>
      <c r="H1431" s="6" t="s">
        <v>4563</v>
      </c>
      <c r="I1431" s="6" t="n">
        <v>98</v>
      </c>
      <c r="J1431" s="6" t="s">
        <v>83</v>
      </c>
      <c r="K1431" s="6" t="s">
        <v>4564</v>
      </c>
      <c r="L1431" s="7"/>
      <c r="M1431" s="7"/>
    </row>
    <row r="1432" customFormat="false" ht="23.85" hidden="false" customHeight="false" outlineLevel="0" collapsed="false">
      <c r="A1432" s="6" t="s">
        <v>2094</v>
      </c>
      <c r="B1432" s="6" t="s">
        <v>96</v>
      </c>
      <c r="C1432" s="6" t="s">
        <v>1362</v>
      </c>
      <c r="D1432" s="6" t="s">
        <v>1330</v>
      </c>
      <c r="E1432" s="6"/>
      <c r="F1432" s="6" t="s">
        <v>1900</v>
      </c>
      <c r="G1432" s="6" t="s">
        <v>4540</v>
      </c>
      <c r="H1432" s="6" t="s">
        <v>4541</v>
      </c>
      <c r="I1432" s="6" t="n">
        <v>38</v>
      </c>
      <c r="J1432" s="6"/>
      <c r="K1432" s="6" t="s">
        <v>4542</v>
      </c>
      <c r="L1432" s="7"/>
      <c r="M1432" s="7"/>
    </row>
    <row r="1433" customFormat="false" ht="23.85" hidden="false" customHeight="false" outlineLevel="0" collapsed="false">
      <c r="A1433" s="6" t="s">
        <v>2094</v>
      </c>
      <c r="B1433" s="6" t="s">
        <v>96</v>
      </c>
      <c r="C1433" s="6" t="s">
        <v>1362</v>
      </c>
      <c r="D1433" s="6" t="s">
        <v>1330</v>
      </c>
      <c r="E1433" s="6"/>
      <c r="F1433" s="6" t="s">
        <v>1900</v>
      </c>
      <c r="G1433" s="6" t="s">
        <v>4543</v>
      </c>
      <c r="H1433" s="6" t="s">
        <v>4544</v>
      </c>
      <c r="I1433" s="6" t="n">
        <v>28</v>
      </c>
      <c r="J1433" s="6"/>
      <c r="K1433" s="6" t="s">
        <v>4545</v>
      </c>
      <c r="L1433" s="7"/>
      <c r="M1433" s="7"/>
    </row>
    <row r="1434" customFormat="false" ht="35.05" hidden="false" customHeight="false" outlineLevel="0" collapsed="false">
      <c r="A1434" s="6" t="s">
        <v>2094</v>
      </c>
      <c r="B1434" s="6" t="s">
        <v>96</v>
      </c>
      <c r="C1434" s="6" t="s">
        <v>1362</v>
      </c>
      <c r="D1434" s="6" t="s">
        <v>1330</v>
      </c>
      <c r="E1434" s="6"/>
      <c r="F1434" s="6" t="s">
        <v>1900</v>
      </c>
      <c r="G1434" s="6" t="s">
        <v>4546</v>
      </c>
      <c r="H1434" s="6" t="s">
        <v>4547</v>
      </c>
      <c r="I1434" s="6" t="n">
        <v>46</v>
      </c>
      <c r="J1434" s="6"/>
      <c r="K1434" s="6" t="s">
        <v>4548</v>
      </c>
      <c r="L1434" s="7"/>
      <c r="M1434" s="7"/>
    </row>
    <row r="1435" customFormat="false" ht="35.05" hidden="false" customHeight="false" outlineLevel="0" collapsed="false">
      <c r="A1435" s="6" t="s">
        <v>2096</v>
      </c>
      <c r="B1435" s="6" t="s">
        <v>96</v>
      </c>
      <c r="C1435" s="6" t="s">
        <v>1362</v>
      </c>
      <c r="D1435" s="6" t="s">
        <v>1330</v>
      </c>
      <c r="E1435" s="6"/>
      <c r="F1435" s="6" t="s">
        <v>1903</v>
      </c>
      <c r="G1435" s="6" t="s">
        <v>4537</v>
      </c>
      <c r="H1435" s="6" t="s">
        <v>4563</v>
      </c>
      <c r="I1435" s="6" t="n">
        <v>98</v>
      </c>
      <c r="J1435" s="6" t="s">
        <v>83</v>
      </c>
      <c r="K1435" s="6" t="s">
        <v>4564</v>
      </c>
      <c r="L1435" s="7"/>
      <c r="M1435" s="7"/>
    </row>
    <row r="1436" customFormat="false" ht="23.85" hidden="false" customHeight="false" outlineLevel="0" collapsed="false">
      <c r="A1436" s="6" t="s">
        <v>2096</v>
      </c>
      <c r="B1436" s="6" t="s">
        <v>96</v>
      </c>
      <c r="C1436" s="6" t="s">
        <v>1362</v>
      </c>
      <c r="D1436" s="6" t="s">
        <v>1330</v>
      </c>
      <c r="E1436" s="6"/>
      <c r="F1436" s="6" t="s">
        <v>1903</v>
      </c>
      <c r="G1436" s="6" t="s">
        <v>4540</v>
      </c>
      <c r="H1436" s="6" t="s">
        <v>4541</v>
      </c>
      <c r="I1436" s="6" t="n">
        <v>38</v>
      </c>
      <c r="J1436" s="6"/>
      <c r="K1436" s="6" t="s">
        <v>4542</v>
      </c>
      <c r="L1436" s="7"/>
      <c r="M1436" s="7"/>
    </row>
    <row r="1437" customFormat="false" ht="23.85" hidden="false" customHeight="false" outlineLevel="0" collapsed="false">
      <c r="A1437" s="6" t="s">
        <v>2096</v>
      </c>
      <c r="B1437" s="6" t="s">
        <v>96</v>
      </c>
      <c r="C1437" s="6" t="s">
        <v>1362</v>
      </c>
      <c r="D1437" s="6" t="s">
        <v>1330</v>
      </c>
      <c r="E1437" s="6"/>
      <c r="F1437" s="6" t="s">
        <v>1903</v>
      </c>
      <c r="G1437" s="6" t="s">
        <v>4543</v>
      </c>
      <c r="H1437" s="6" t="s">
        <v>4544</v>
      </c>
      <c r="I1437" s="6" t="n">
        <v>28</v>
      </c>
      <c r="J1437" s="6"/>
      <c r="K1437" s="6" t="s">
        <v>4545</v>
      </c>
      <c r="L1437" s="7"/>
      <c r="M1437" s="7"/>
    </row>
    <row r="1438" customFormat="false" ht="35.05" hidden="false" customHeight="false" outlineLevel="0" collapsed="false">
      <c r="A1438" s="6" t="s">
        <v>2096</v>
      </c>
      <c r="B1438" s="6" t="s">
        <v>96</v>
      </c>
      <c r="C1438" s="6" t="s">
        <v>1362</v>
      </c>
      <c r="D1438" s="6" t="s">
        <v>1330</v>
      </c>
      <c r="E1438" s="6"/>
      <c r="F1438" s="6" t="s">
        <v>1903</v>
      </c>
      <c r="G1438" s="6" t="s">
        <v>4546</v>
      </c>
      <c r="H1438" s="6" t="s">
        <v>4547</v>
      </c>
      <c r="I1438" s="6" t="n">
        <v>46</v>
      </c>
      <c r="J1438" s="6"/>
      <c r="K1438" s="6" t="s">
        <v>4548</v>
      </c>
      <c r="L1438" s="7"/>
      <c r="M1438" s="7"/>
    </row>
    <row r="1439" customFormat="false" ht="35.05" hidden="false" customHeight="false" outlineLevel="0" collapsed="false">
      <c r="A1439" s="6" t="s">
        <v>2098</v>
      </c>
      <c r="B1439" s="6" t="s">
        <v>96</v>
      </c>
      <c r="C1439" s="6" t="s">
        <v>1362</v>
      </c>
      <c r="D1439" s="6" t="s">
        <v>1330</v>
      </c>
      <c r="E1439" s="6"/>
      <c r="F1439" s="6" t="s">
        <v>1906</v>
      </c>
      <c r="G1439" s="6" t="s">
        <v>4537</v>
      </c>
      <c r="H1439" s="6" t="s">
        <v>4563</v>
      </c>
      <c r="I1439" s="6" t="n">
        <v>98</v>
      </c>
      <c r="J1439" s="6" t="s">
        <v>83</v>
      </c>
      <c r="K1439" s="6" t="s">
        <v>4564</v>
      </c>
      <c r="L1439" s="7"/>
      <c r="M1439" s="7"/>
    </row>
    <row r="1440" customFormat="false" ht="23.85" hidden="false" customHeight="false" outlineLevel="0" collapsed="false">
      <c r="A1440" s="6" t="s">
        <v>2098</v>
      </c>
      <c r="B1440" s="6" t="s">
        <v>96</v>
      </c>
      <c r="C1440" s="6" t="s">
        <v>1362</v>
      </c>
      <c r="D1440" s="6" t="s">
        <v>1330</v>
      </c>
      <c r="E1440" s="6"/>
      <c r="F1440" s="6" t="s">
        <v>1906</v>
      </c>
      <c r="G1440" s="6" t="s">
        <v>4540</v>
      </c>
      <c r="H1440" s="6" t="s">
        <v>4541</v>
      </c>
      <c r="I1440" s="6" t="n">
        <v>38</v>
      </c>
      <c r="J1440" s="6"/>
      <c r="K1440" s="6" t="s">
        <v>4542</v>
      </c>
      <c r="L1440" s="7"/>
      <c r="M1440" s="7"/>
    </row>
    <row r="1441" customFormat="false" ht="23.85" hidden="false" customHeight="false" outlineLevel="0" collapsed="false">
      <c r="A1441" s="6" t="s">
        <v>2098</v>
      </c>
      <c r="B1441" s="6" t="s">
        <v>96</v>
      </c>
      <c r="C1441" s="6" t="s">
        <v>1362</v>
      </c>
      <c r="D1441" s="6" t="s">
        <v>1330</v>
      </c>
      <c r="E1441" s="6"/>
      <c r="F1441" s="6" t="s">
        <v>1906</v>
      </c>
      <c r="G1441" s="6" t="s">
        <v>4543</v>
      </c>
      <c r="H1441" s="6" t="s">
        <v>4544</v>
      </c>
      <c r="I1441" s="6" t="n">
        <v>28</v>
      </c>
      <c r="J1441" s="6"/>
      <c r="K1441" s="6" t="s">
        <v>4545</v>
      </c>
      <c r="L1441" s="7"/>
      <c r="M1441" s="7"/>
    </row>
    <row r="1442" customFormat="false" ht="35.05" hidden="false" customHeight="false" outlineLevel="0" collapsed="false">
      <c r="A1442" s="6" t="s">
        <v>2098</v>
      </c>
      <c r="B1442" s="6" t="s">
        <v>96</v>
      </c>
      <c r="C1442" s="6" t="s">
        <v>1362</v>
      </c>
      <c r="D1442" s="6" t="s">
        <v>1330</v>
      </c>
      <c r="E1442" s="6"/>
      <c r="F1442" s="6" t="s">
        <v>1906</v>
      </c>
      <c r="G1442" s="6" t="s">
        <v>4546</v>
      </c>
      <c r="H1442" s="6" t="s">
        <v>4547</v>
      </c>
      <c r="I1442" s="6" t="n">
        <v>46</v>
      </c>
      <c r="J1442" s="6"/>
      <c r="K1442" s="6" t="s">
        <v>4548</v>
      </c>
      <c r="L1442" s="7"/>
      <c r="M1442" s="7"/>
    </row>
    <row r="1443" customFormat="false" ht="35.05" hidden="false" customHeight="false" outlineLevel="0" collapsed="false">
      <c r="A1443" s="6" t="s">
        <v>2100</v>
      </c>
      <c r="B1443" s="6" t="s">
        <v>96</v>
      </c>
      <c r="C1443" s="6" t="s">
        <v>1362</v>
      </c>
      <c r="D1443" s="6" t="s">
        <v>1330</v>
      </c>
      <c r="E1443" s="6"/>
      <c r="F1443" s="6" t="s">
        <v>1909</v>
      </c>
      <c r="G1443" s="6" t="s">
        <v>4537</v>
      </c>
      <c r="H1443" s="6" t="s">
        <v>4563</v>
      </c>
      <c r="I1443" s="6" t="n">
        <v>98</v>
      </c>
      <c r="J1443" s="6" t="s">
        <v>83</v>
      </c>
      <c r="K1443" s="6" t="s">
        <v>4564</v>
      </c>
      <c r="L1443" s="7"/>
      <c r="M1443" s="7"/>
    </row>
    <row r="1444" customFormat="false" ht="23.85" hidden="false" customHeight="false" outlineLevel="0" collapsed="false">
      <c r="A1444" s="6" t="s">
        <v>2100</v>
      </c>
      <c r="B1444" s="6" t="s">
        <v>96</v>
      </c>
      <c r="C1444" s="6" t="s">
        <v>1362</v>
      </c>
      <c r="D1444" s="6" t="s">
        <v>1330</v>
      </c>
      <c r="E1444" s="6"/>
      <c r="F1444" s="6" t="s">
        <v>1909</v>
      </c>
      <c r="G1444" s="6" t="s">
        <v>4540</v>
      </c>
      <c r="H1444" s="6" t="s">
        <v>4541</v>
      </c>
      <c r="I1444" s="6" t="n">
        <v>38</v>
      </c>
      <c r="J1444" s="6"/>
      <c r="K1444" s="6" t="s">
        <v>4542</v>
      </c>
      <c r="L1444" s="7"/>
      <c r="M1444" s="7"/>
    </row>
    <row r="1445" customFormat="false" ht="23.85" hidden="false" customHeight="false" outlineLevel="0" collapsed="false">
      <c r="A1445" s="6" t="s">
        <v>2100</v>
      </c>
      <c r="B1445" s="6" t="s">
        <v>96</v>
      </c>
      <c r="C1445" s="6" t="s">
        <v>1362</v>
      </c>
      <c r="D1445" s="6" t="s">
        <v>1330</v>
      </c>
      <c r="E1445" s="6"/>
      <c r="F1445" s="6" t="s">
        <v>1909</v>
      </c>
      <c r="G1445" s="6" t="s">
        <v>4543</v>
      </c>
      <c r="H1445" s="6" t="s">
        <v>4544</v>
      </c>
      <c r="I1445" s="6" t="n">
        <v>28</v>
      </c>
      <c r="J1445" s="6"/>
      <c r="K1445" s="6" t="s">
        <v>4545</v>
      </c>
      <c r="L1445" s="7"/>
      <c r="M1445" s="7"/>
    </row>
    <row r="1446" customFormat="false" ht="35.05" hidden="false" customHeight="false" outlineLevel="0" collapsed="false">
      <c r="A1446" s="6" t="s">
        <v>2100</v>
      </c>
      <c r="B1446" s="6" t="s">
        <v>96</v>
      </c>
      <c r="C1446" s="6" t="s">
        <v>1362</v>
      </c>
      <c r="D1446" s="6" t="s">
        <v>1330</v>
      </c>
      <c r="E1446" s="6"/>
      <c r="F1446" s="6" t="s">
        <v>1909</v>
      </c>
      <c r="G1446" s="6" t="s">
        <v>4546</v>
      </c>
      <c r="H1446" s="6" t="s">
        <v>4547</v>
      </c>
      <c r="I1446" s="6" t="n">
        <v>46</v>
      </c>
      <c r="J1446" s="6"/>
      <c r="K1446" s="6" t="s">
        <v>4548</v>
      </c>
      <c r="L1446" s="7"/>
      <c r="M1446" s="7"/>
    </row>
    <row r="1447" customFormat="false" ht="35.05" hidden="false" customHeight="false" outlineLevel="0" collapsed="false">
      <c r="A1447" s="6" t="s">
        <v>2102</v>
      </c>
      <c r="B1447" s="6" t="s">
        <v>96</v>
      </c>
      <c r="C1447" s="6" t="s">
        <v>1362</v>
      </c>
      <c r="D1447" s="6" t="s">
        <v>1330</v>
      </c>
      <c r="E1447" s="6"/>
      <c r="F1447" s="6" t="s">
        <v>1879</v>
      </c>
      <c r="G1447" s="6" t="s">
        <v>4537</v>
      </c>
      <c r="H1447" s="6" t="s">
        <v>4565</v>
      </c>
      <c r="I1447" s="6" t="n">
        <v>98</v>
      </c>
      <c r="J1447" s="6" t="s">
        <v>83</v>
      </c>
      <c r="K1447" s="6" t="s">
        <v>4566</v>
      </c>
      <c r="L1447" s="7"/>
      <c r="M1447" s="7"/>
    </row>
    <row r="1448" customFormat="false" ht="23.85" hidden="false" customHeight="false" outlineLevel="0" collapsed="false">
      <c r="A1448" s="6" t="s">
        <v>2102</v>
      </c>
      <c r="B1448" s="6" t="s">
        <v>96</v>
      </c>
      <c r="C1448" s="6" t="s">
        <v>1362</v>
      </c>
      <c r="D1448" s="6" t="s">
        <v>1330</v>
      </c>
      <c r="E1448" s="6"/>
      <c r="F1448" s="6" t="s">
        <v>1879</v>
      </c>
      <c r="G1448" s="6" t="s">
        <v>4540</v>
      </c>
      <c r="H1448" s="6" t="s">
        <v>4541</v>
      </c>
      <c r="I1448" s="6" t="n">
        <v>38</v>
      </c>
      <c r="J1448" s="6"/>
      <c r="K1448" s="6" t="s">
        <v>4542</v>
      </c>
      <c r="L1448" s="7"/>
      <c r="M1448" s="7"/>
    </row>
    <row r="1449" customFormat="false" ht="23.85" hidden="false" customHeight="false" outlineLevel="0" collapsed="false">
      <c r="A1449" s="6" t="s">
        <v>2102</v>
      </c>
      <c r="B1449" s="6" t="s">
        <v>96</v>
      </c>
      <c r="C1449" s="6" t="s">
        <v>1362</v>
      </c>
      <c r="D1449" s="6" t="s">
        <v>1330</v>
      </c>
      <c r="E1449" s="6"/>
      <c r="F1449" s="6" t="s">
        <v>1879</v>
      </c>
      <c r="G1449" s="6" t="s">
        <v>4543</v>
      </c>
      <c r="H1449" s="6" t="s">
        <v>4544</v>
      </c>
      <c r="I1449" s="6" t="n">
        <v>28</v>
      </c>
      <c r="J1449" s="6"/>
      <c r="K1449" s="6" t="s">
        <v>4545</v>
      </c>
      <c r="L1449" s="7"/>
      <c r="M1449" s="7"/>
    </row>
    <row r="1450" customFormat="false" ht="35.05" hidden="false" customHeight="false" outlineLevel="0" collapsed="false">
      <c r="A1450" s="6" t="s">
        <v>2102</v>
      </c>
      <c r="B1450" s="6" t="s">
        <v>96</v>
      </c>
      <c r="C1450" s="6" t="s">
        <v>1362</v>
      </c>
      <c r="D1450" s="6" t="s">
        <v>1330</v>
      </c>
      <c r="E1450" s="6"/>
      <c r="F1450" s="6" t="s">
        <v>1879</v>
      </c>
      <c r="G1450" s="6" t="s">
        <v>4546</v>
      </c>
      <c r="H1450" s="6" t="s">
        <v>4547</v>
      </c>
      <c r="I1450" s="6" t="n">
        <v>46</v>
      </c>
      <c r="J1450" s="6"/>
      <c r="K1450" s="6" t="s">
        <v>4548</v>
      </c>
      <c r="L1450" s="7"/>
      <c r="M1450" s="7"/>
    </row>
    <row r="1451" customFormat="false" ht="35.05" hidden="false" customHeight="false" outlineLevel="0" collapsed="false">
      <c r="A1451" s="6" t="s">
        <v>2108</v>
      </c>
      <c r="B1451" s="6" t="s">
        <v>96</v>
      </c>
      <c r="C1451" s="6" t="s">
        <v>1362</v>
      </c>
      <c r="D1451" s="6" t="s">
        <v>1330</v>
      </c>
      <c r="E1451" s="6"/>
      <c r="F1451" s="6" t="s">
        <v>1885</v>
      </c>
      <c r="G1451" s="6" t="s">
        <v>4537</v>
      </c>
      <c r="H1451" s="6" t="s">
        <v>4565</v>
      </c>
      <c r="I1451" s="6" t="n">
        <v>98</v>
      </c>
      <c r="J1451" s="6" t="s">
        <v>83</v>
      </c>
      <c r="K1451" s="6" t="s">
        <v>4566</v>
      </c>
      <c r="L1451" s="7"/>
      <c r="M1451" s="7"/>
    </row>
    <row r="1452" customFormat="false" ht="23.85" hidden="false" customHeight="false" outlineLevel="0" collapsed="false">
      <c r="A1452" s="6" t="s">
        <v>2108</v>
      </c>
      <c r="B1452" s="6" t="s">
        <v>96</v>
      </c>
      <c r="C1452" s="6" t="s">
        <v>1362</v>
      </c>
      <c r="D1452" s="6" t="s">
        <v>1330</v>
      </c>
      <c r="E1452" s="6"/>
      <c r="F1452" s="6" t="s">
        <v>1885</v>
      </c>
      <c r="G1452" s="6" t="s">
        <v>4540</v>
      </c>
      <c r="H1452" s="6" t="s">
        <v>4541</v>
      </c>
      <c r="I1452" s="6" t="n">
        <v>38</v>
      </c>
      <c r="J1452" s="6"/>
      <c r="K1452" s="6" t="s">
        <v>4542</v>
      </c>
      <c r="L1452" s="7"/>
      <c r="M1452" s="7"/>
    </row>
    <row r="1453" customFormat="false" ht="23.85" hidden="false" customHeight="false" outlineLevel="0" collapsed="false">
      <c r="A1453" s="6" t="s">
        <v>2108</v>
      </c>
      <c r="B1453" s="6" t="s">
        <v>96</v>
      </c>
      <c r="C1453" s="6" t="s">
        <v>1362</v>
      </c>
      <c r="D1453" s="6" t="s">
        <v>1330</v>
      </c>
      <c r="E1453" s="6"/>
      <c r="F1453" s="6" t="s">
        <v>1885</v>
      </c>
      <c r="G1453" s="6" t="s">
        <v>4543</v>
      </c>
      <c r="H1453" s="6" t="s">
        <v>4544</v>
      </c>
      <c r="I1453" s="6" t="n">
        <v>28</v>
      </c>
      <c r="J1453" s="6"/>
      <c r="K1453" s="6" t="s">
        <v>4545</v>
      </c>
      <c r="L1453" s="7"/>
      <c r="M1453" s="7"/>
    </row>
    <row r="1454" customFormat="false" ht="35.05" hidden="false" customHeight="false" outlineLevel="0" collapsed="false">
      <c r="A1454" s="6" t="s">
        <v>2108</v>
      </c>
      <c r="B1454" s="6" t="s">
        <v>96</v>
      </c>
      <c r="C1454" s="6" t="s">
        <v>1362</v>
      </c>
      <c r="D1454" s="6" t="s">
        <v>1330</v>
      </c>
      <c r="E1454" s="6"/>
      <c r="F1454" s="6" t="s">
        <v>1885</v>
      </c>
      <c r="G1454" s="6" t="s">
        <v>4546</v>
      </c>
      <c r="H1454" s="6" t="s">
        <v>4547</v>
      </c>
      <c r="I1454" s="6" t="n">
        <v>46</v>
      </c>
      <c r="J1454" s="6"/>
      <c r="K1454" s="6" t="s">
        <v>4548</v>
      </c>
      <c r="L1454" s="7"/>
      <c r="M1454" s="7"/>
    </row>
    <row r="1455" customFormat="false" ht="35.05" hidden="false" customHeight="false" outlineLevel="0" collapsed="false">
      <c r="A1455" s="6" t="s">
        <v>2110</v>
      </c>
      <c r="B1455" s="6" t="s">
        <v>96</v>
      </c>
      <c r="C1455" s="6" t="s">
        <v>1362</v>
      </c>
      <c r="D1455" s="6" t="s">
        <v>1330</v>
      </c>
      <c r="E1455" s="6"/>
      <c r="F1455" s="6" t="s">
        <v>1888</v>
      </c>
      <c r="G1455" s="6" t="s">
        <v>4537</v>
      </c>
      <c r="H1455" s="6" t="s">
        <v>4565</v>
      </c>
      <c r="I1455" s="6" t="n">
        <v>98</v>
      </c>
      <c r="J1455" s="6" t="s">
        <v>83</v>
      </c>
      <c r="K1455" s="6" t="s">
        <v>4566</v>
      </c>
      <c r="L1455" s="7"/>
      <c r="M1455" s="7"/>
    </row>
    <row r="1456" customFormat="false" ht="23.85" hidden="false" customHeight="false" outlineLevel="0" collapsed="false">
      <c r="A1456" s="6" t="s">
        <v>2110</v>
      </c>
      <c r="B1456" s="6" t="s">
        <v>96</v>
      </c>
      <c r="C1456" s="6" t="s">
        <v>1362</v>
      </c>
      <c r="D1456" s="6" t="s">
        <v>1330</v>
      </c>
      <c r="E1456" s="6"/>
      <c r="F1456" s="6" t="s">
        <v>1888</v>
      </c>
      <c r="G1456" s="6" t="s">
        <v>4540</v>
      </c>
      <c r="H1456" s="6" t="s">
        <v>4541</v>
      </c>
      <c r="I1456" s="6" t="n">
        <v>38</v>
      </c>
      <c r="J1456" s="6"/>
      <c r="K1456" s="6" t="s">
        <v>4542</v>
      </c>
      <c r="L1456" s="7"/>
      <c r="M1456" s="7"/>
    </row>
    <row r="1457" customFormat="false" ht="23.85" hidden="false" customHeight="false" outlineLevel="0" collapsed="false">
      <c r="A1457" s="6" t="s">
        <v>2110</v>
      </c>
      <c r="B1457" s="6" t="s">
        <v>96</v>
      </c>
      <c r="C1457" s="6" t="s">
        <v>1362</v>
      </c>
      <c r="D1457" s="6" t="s">
        <v>1330</v>
      </c>
      <c r="E1457" s="6"/>
      <c r="F1457" s="6" t="s">
        <v>1888</v>
      </c>
      <c r="G1457" s="6" t="s">
        <v>4543</v>
      </c>
      <c r="H1457" s="6" t="s">
        <v>4544</v>
      </c>
      <c r="I1457" s="6" t="n">
        <v>28</v>
      </c>
      <c r="J1457" s="6"/>
      <c r="K1457" s="6" t="s">
        <v>4545</v>
      </c>
      <c r="L1457" s="7"/>
      <c r="M1457" s="7"/>
    </row>
    <row r="1458" customFormat="false" ht="35.05" hidden="false" customHeight="false" outlineLevel="0" collapsed="false">
      <c r="A1458" s="6" t="s">
        <v>2110</v>
      </c>
      <c r="B1458" s="6" t="s">
        <v>96</v>
      </c>
      <c r="C1458" s="6" t="s">
        <v>1362</v>
      </c>
      <c r="D1458" s="6" t="s">
        <v>1330</v>
      </c>
      <c r="E1458" s="6"/>
      <c r="F1458" s="6" t="s">
        <v>1888</v>
      </c>
      <c r="G1458" s="6" t="s">
        <v>4546</v>
      </c>
      <c r="H1458" s="6" t="s">
        <v>4547</v>
      </c>
      <c r="I1458" s="6" t="n">
        <v>46</v>
      </c>
      <c r="J1458" s="6"/>
      <c r="K1458" s="6" t="s">
        <v>4548</v>
      </c>
      <c r="L1458" s="7"/>
      <c r="M1458" s="7"/>
    </row>
    <row r="1459" customFormat="false" ht="35.05" hidden="false" customHeight="false" outlineLevel="0" collapsed="false">
      <c r="A1459" s="6" t="s">
        <v>2112</v>
      </c>
      <c r="B1459" s="6" t="s">
        <v>96</v>
      </c>
      <c r="C1459" s="6" t="s">
        <v>1362</v>
      </c>
      <c r="D1459" s="6" t="s">
        <v>1330</v>
      </c>
      <c r="E1459" s="6"/>
      <c r="F1459" s="6" t="s">
        <v>1891</v>
      </c>
      <c r="G1459" s="6" t="s">
        <v>4537</v>
      </c>
      <c r="H1459" s="6" t="s">
        <v>4565</v>
      </c>
      <c r="I1459" s="6" t="n">
        <v>98</v>
      </c>
      <c r="J1459" s="6" t="s">
        <v>83</v>
      </c>
      <c r="K1459" s="6" t="s">
        <v>4566</v>
      </c>
      <c r="L1459" s="7"/>
      <c r="M1459" s="7"/>
    </row>
    <row r="1460" customFormat="false" ht="23.85" hidden="false" customHeight="false" outlineLevel="0" collapsed="false">
      <c r="A1460" s="6" t="s">
        <v>2112</v>
      </c>
      <c r="B1460" s="6" t="s">
        <v>96</v>
      </c>
      <c r="C1460" s="6" t="s">
        <v>1362</v>
      </c>
      <c r="D1460" s="6" t="s">
        <v>1330</v>
      </c>
      <c r="E1460" s="6"/>
      <c r="F1460" s="6" t="s">
        <v>1891</v>
      </c>
      <c r="G1460" s="6" t="s">
        <v>4540</v>
      </c>
      <c r="H1460" s="6" t="s">
        <v>4541</v>
      </c>
      <c r="I1460" s="6" t="n">
        <v>38</v>
      </c>
      <c r="J1460" s="6"/>
      <c r="K1460" s="6" t="s">
        <v>4542</v>
      </c>
      <c r="L1460" s="7"/>
      <c r="M1460" s="7"/>
    </row>
    <row r="1461" customFormat="false" ht="23.85" hidden="false" customHeight="false" outlineLevel="0" collapsed="false">
      <c r="A1461" s="6" t="s">
        <v>2112</v>
      </c>
      <c r="B1461" s="6" t="s">
        <v>96</v>
      </c>
      <c r="C1461" s="6" t="s">
        <v>1362</v>
      </c>
      <c r="D1461" s="6" t="s">
        <v>1330</v>
      </c>
      <c r="E1461" s="6"/>
      <c r="F1461" s="6" t="s">
        <v>1891</v>
      </c>
      <c r="G1461" s="6" t="s">
        <v>4543</v>
      </c>
      <c r="H1461" s="6" t="s">
        <v>4544</v>
      </c>
      <c r="I1461" s="6" t="n">
        <v>28</v>
      </c>
      <c r="J1461" s="6"/>
      <c r="K1461" s="6" t="s">
        <v>4545</v>
      </c>
      <c r="L1461" s="7"/>
      <c r="M1461" s="7"/>
    </row>
    <row r="1462" customFormat="false" ht="35.05" hidden="false" customHeight="false" outlineLevel="0" collapsed="false">
      <c r="A1462" s="6" t="s">
        <v>2112</v>
      </c>
      <c r="B1462" s="6" t="s">
        <v>96</v>
      </c>
      <c r="C1462" s="6" t="s">
        <v>1362</v>
      </c>
      <c r="D1462" s="6" t="s">
        <v>1330</v>
      </c>
      <c r="E1462" s="6"/>
      <c r="F1462" s="6" t="s">
        <v>1891</v>
      </c>
      <c r="G1462" s="6" t="s">
        <v>4546</v>
      </c>
      <c r="H1462" s="6" t="s">
        <v>4547</v>
      </c>
      <c r="I1462" s="6" t="n">
        <v>46</v>
      </c>
      <c r="J1462" s="6"/>
      <c r="K1462" s="6" t="s">
        <v>4548</v>
      </c>
      <c r="L1462" s="7"/>
      <c r="M1462" s="7"/>
    </row>
    <row r="1463" customFormat="false" ht="35.05" hidden="false" customHeight="false" outlineLevel="0" collapsed="false">
      <c r="A1463" s="6" t="s">
        <v>2114</v>
      </c>
      <c r="B1463" s="6" t="s">
        <v>96</v>
      </c>
      <c r="C1463" s="6" t="s">
        <v>1362</v>
      </c>
      <c r="D1463" s="6" t="s">
        <v>1330</v>
      </c>
      <c r="E1463" s="6"/>
      <c r="F1463" s="6" t="s">
        <v>1894</v>
      </c>
      <c r="G1463" s="6" t="s">
        <v>4537</v>
      </c>
      <c r="H1463" s="6" t="s">
        <v>4565</v>
      </c>
      <c r="I1463" s="6" t="n">
        <v>98</v>
      </c>
      <c r="J1463" s="6" t="s">
        <v>83</v>
      </c>
      <c r="K1463" s="6" t="s">
        <v>4566</v>
      </c>
      <c r="L1463" s="7"/>
      <c r="M1463" s="7"/>
    </row>
    <row r="1464" customFormat="false" ht="23.85" hidden="false" customHeight="false" outlineLevel="0" collapsed="false">
      <c r="A1464" s="6" t="s">
        <v>2114</v>
      </c>
      <c r="B1464" s="6" t="s">
        <v>96</v>
      </c>
      <c r="C1464" s="6" t="s">
        <v>1362</v>
      </c>
      <c r="D1464" s="6" t="s">
        <v>1330</v>
      </c>
      <c r="E1464" s="6"/>
      <c r="F1464" s="6" t="s">
        <v>1894</v>
      </c>
      <c r="G1464" s="6" t="s">
        <v>4540</v>
      </c>
      <c r="H1464" s="6" t="s">
        <v>4541</v>
      </c>
      <c r="I1464" s="6" t="n">
        <v>38</v>
      </c>
      <c r="J1464" s="6"/>
      <c r="K1464" s="6" t="s">
        <v>4542</v>
      </c>
      <c r="L1464" s="7"/>
      <c r="M1464" s="7"/>
    </row>
    <row r="1465" customFormat="false" ht="23.85" hidden="false" customHeight="false" outlineLevel="0" collapsed="false">
      <c r="A1465" s="6" t="s">
        <v>2114</v>
      </c>
      <c r="B1465" s="6" t="s">
        <v>96</v>
      </c>
      <c r="C1465" s="6" t="s">
        <v>1362</v>
      </c>
      <c r="D1465" s="6" t="s">
        <v>1330</v>
      </c>
      <c r="E1465" s="6"/>
      <c r="F1465" s="6" t="s">
        <v>1894</v>
      </c>
      <c r="G1465" s="6" t="s">
        <v>4543</v>
      </c>
      <c r="H1465" s="6" t="s">
        <v>4544</v>
      </c>
      <c r="I1465" s="6" t="n">
        <v>28</v>
      </c>
      <c r="J1465" s="6"/>
      <c r="K1465" s="6" t="s">
        <v>4545</v>
      </c>
      <c r="L1465" s="7"/>
      <c r="M1465" s="7"/>
    </row>
    <row r="1466" customFormat="false" ht="35.05" hidden="false" customHeight="false" outlineLevel="0" collapsed="false">
      <c r="A1466" s="6" t="s">
        <v>2114</v>
      </c>
      <c r="B1466" s="6" t="s">
        <v>96</v>
      </c>
      <c r="C1466" s="6" t="s">
        <v>1362</v>
      </c>
      <c r="D1466" s="6" t="s">
        <v>1330</v>
      </c>
      <c r="E1466" s="6"/>
      <c r="F1466" s="6" t="s">
        <v>1894</v>
      </c>
      <c r="G1466" s="6" t="s">
        <v>4546</v>
      </c>
      <c r="H1466" s="6" t="s">
        <v>4547</v>
      </c>
      <c r="I1466" s="6" t="n">
        <v>46</v>
      </c>
      <c r="J1466" s="6"/>
      <c r="K1466" s="6" t="s">
        <v>4548</v>
      </c>
      <c r="L1466" s="7"/>
      <c r="M1466" s="7"/>
    </row>
    <row r="1467" customFormat="false" ht="35.05" hidden="false" customHeight="false" outlineLevel="0" collapsed="false">
      <c r="A1467" s="6" t="s">
        <v>2116</v>
      </c>
      <c r="B1467" s="6" t="s">
        <v>96</v>
      </c>
      <c r="C1467" s="6" t="s">
        <v>1362</v>
      </c>
      <c r="D1467" s="6" t="s">
        <v>1330</v>
      </c>
      <c r="E1467" s="6"/>
      <c r="F1467" s="6" t="s">
        <v>1897</v>
      </c>
      <c r="G1467" s="6" t="s">
        <v>4537</v>
      </c>
      <c r="H1467" s="6" t="s">
        <v>4565</v>
      </c>
      <c r="I1467" s="6" t="n">
        <v>98</v>
      </c>
      <c r="J1467" s="6" t="s">
        <v>83</v>
      </c>
      <c r="K1467" s="6" t="s">
        <v>4566</v>
      </c>
      <c r="L1467" s="7"/>
      <c r="M1467" s="7"/>
    </row>
    <row r="1468" customFormat="false" ht="23.85" hidden="false" customHeight="false" outlineLevel="0" collapsed="false">
      <c r="A1468" s="6" t="s">
        <v>2116</v>
      </c>
      <c r="B1468" s="6" t="s">
        <v>96</v>
      </c>
      <c r="C1468" s="6" t="s">
        <v>1362</v>
      </c>
      <c r="D1468" s="6" t="s">
        <v>1330</v>
      </c>
      <c r="E1468" s="6"/>
      <c r="F1468" s="6" t="s">
        <v>1897</v>
      </c>
      <c r="G1468" s="6" t="s">
        <v>4540</v>
      </c>
      <c r="H1468" s="6" t="s">
        <v>4541</v>
      </c>
      <c r="I1468" s="6" t="n">
        <v>38</v>
      </c>
      <c r="J1468" s="6"/>
      <c r="K1468" s="6" t="s">
        <v>4542</v>
      </c>
      <c r="L1468" s="7"/>
      <c r="M1468" s="7"/>
    </row>
    <row r="1469" customFormat="false" ht="23.85" hidden="false" customHeight="false" outlineLevel="0" collapsed="false">
      <c r="A1469" s="6" t="s">
        <v>2116</v>
      </c>
      <c r="B1469" s="6" t="s">
        <v>96</v>
      </c>
      <c r="C1469" s="6" t="s">
        <v>1362</v>
      </c>
      <c r="D1469" s="6" t="s">
        <v>1330</v>
      </c>
      <c r="E1469" s="6"/>
      <c r="F1469" s="6" t="s">
        <v>1897</v>
      </c>
      <c r="G1469" s="6" t="s">
        <v>4543</v>
      </c>
      <c r="H1469" s="6" t="s">
        <v>4544</v>
      </c>
      <c r="I1469" s="6" t="n">
        <v>28</v>
      </c>
      <c r="J1469" s="6"/>
      <c r="K1469" s="6" t="s">
        <v>4545</v>
      </c>
      <c r="L1469" s="7"/>
      <c r="M1469" s="7"/>
    </row>
    <row r="1470" customFormat="false" ht="35.05" hidden="false" customHeight="false" outlineLevel="0" collapsed="false">
      <c r="A1470" s="6" t="s">
        <v>2116</v>
      </c>
      <c r="B1470" s="6" t="s">
        <v>96</v>
      </c>
      <c r="C1470" s="6" t="s">
        <v>1362</v>
      </c>
      <c r="D1470" s="6" t="s">
        <v>1330</v>
      </c>
      <c r="E1470" s="6"/>
      <c r="F1470" s="6" t="s">
        <v>1897</v>
      </c>
      <c r="G1470" s="6" t="s">
        <v>4546</v>
      </c>
      <c r="H1470" s="6" t="s">
        <v>4547</v>
      </c>
      <c r="I1470" s="6" t="n">
        <v>46</v>
      </c>
      <c r="J1470" s="6"/>
      <c r="K1470" s="6" t="s">
        <v>4548</v>
      </c>
      <c r="L1470" s="7"/>
      <c r="M1470" s="7"/>
    </row>
    <row r="1471" customFormat="false" ht="35.05" hidden="false" customHeight="false" outlineLevel="0" collapsed="false">
      <c r="A1471" s="6" t="s">
        <v>2118</v>
      </c>
      <c r="B1471" s="6" t="s">
        <v>96</v>
      </c>
      <c r="C1471" s="6" t="s">
        <v>1362</v>
      </c>
      <c r="D1471" s="6" t="s">
        <v>1330</v>
      </c>
      <c r="E1471" s="6"/>
      <c r="F1471" s="6" t="s">
        <v>1900</v>
      </c>
      <c r="G1471" s="6" t="s">
        <v>4537</v>
      </c>
      <c r="H1471" s="6" t="s">
        <v>4565</v>
      </c>
      <c r="I1471" s="6" t="n">
        <v>98</v>
      </c>
      <c r="J1471" s="6" t="s">
        <v>83</v>
      </c>
      <c r="K1471" s="6" t="s">
        <v>4566</v>
      </c>
      <c r="L1471" s="7"/>
      <c r="M1471" s="7"/>
    </row>
    <row r="1472" customFormat="false" ht="23.85" hidden="false" customHeight="false" outlineLevel="0" collapsed="false">
      <c r="A1472" s="6" t="s">
        <v>2118</v>
      </c>
      <c r="B1472" s="6" t="s">
        <v>96</v>
      </c>
      <c r="C1472" s="6" t="s">
        <v>1362</v>
      </c>
      <c r="D1472" s="6" t="s">
        <v>1330</v>
      </c>
      <c r="E1472" s="6"/>
      <c r="F1472" s="6" t="s">
        <v>1900</v>
      </c>
      <c r="G1472" s="6" t="s">
        <v>4540</v>
      </c>
      <c r="H1472" s="6" t="s">
        <v>4541</v>
      </c>
      <c r="I1472" s="6" t="n">
        <v>38</v>
      </c>
      <c r="J1472" s="6"/>
      <c r="K1472" s="6" t="s">
        <v>4542</v>
      </c>
      <c r="L1472" s="7"/>
      <c r="M1472" s="7"/>
    </row>
    <row r="1473" customFormat="false" ht="23.85" hidden="false" customHeight="false" outlineLevel="0" collapsed="false">
      <c r="A1473" s="6" t="s">
        <v>2118</v>
      </c>
      <c r="B1473" s="6" t="s">
        <v>96</v>
      </c>
      <c r="C1473" s="6" t="s">
        <v>1362</v>
      </c>
      <c r="D1473" s="6" t="s">
        <v>1330</v>
      </c>
      <c r="E1473" s="6"/>
      <c r="F1473" s="6" t="s">
        <v>1900</v>
      </c>
      <c r="G1473" s="6" t="s">
        <v>4543</v>
      </c>
      <c r="H1473" s="6" t="s">
        <v>4544</v>
      </c>
      <c r="I1473" s="6" t="n">
        <v>28</v>
      </c>
      <c r="J1473" s="6"/>
      <c r="K1473" s="6" t="s">
        <v>4545</v>
      </c>
      <c r="L1473" s="7"/>
      <c r="M1473" s="7"/>
    </row>
    <row r="1474" customFormat="false" ht="35.05" hidden="false" customHeight="false" outlineLevel="0" collapsed="false">
      <c r="A1474" s="6" t="s">
        <v>2118</v>
      </c>
      <c r="B1474" s="6" t="s">
        <v>96</v>
      </c>
      <c r="C1474" s="6" t="s">
        <v>1362</v>
      </c>
      <c r="D1474" s="6" t="s">
        <v>1330</v>
      </c>
      <c r="E1474" s="6"/>
      <c r="F1474" s="6" t="s">
        <v>1900</v>
      </c>
      <c r="G1474" s="6" t="s">
        <v>4546</v>
      </c>
      <c r="H1474" s="6" t="s">
        <v>4547</v>
      </c>
      <c r="I1474" s="6" t="n">
        <v>46</v>
      </c>
      <c r="J1474" s="6"/>
      <c r="K1474" s="6" t="s">
        <v>4548</v>
      </c>
      <c r="L1474" s="7"/>
      <c r="M1474" s="7"/>
    </row>
    <row r="1475" customFormat="false" ht="35.05" hidden="false" customHeight="false" outlineLevel="0" collapsed="false">
      <c r="A1475" s="6" t="s">
        <v>2120</v>
      </c>
      <c r="B1475" s="6" t="s">
        <v>96</v>
      </c>
      <c r="C1475" s="6" t="s">
        <v>1362</v>
      </c>
      <c r="D1475" s="6" t="s">
        <v>1330</v>
      </c>
      <c r="E1475" s="6"/>
      <c r="F1475" s="6" t="s">
        <v>1903</v>
      </c>
      <c r="G1475" s="6" t="s">
        <v>4537</v>
      </c>
      <c r="H1475" s="6" t="s">
        <v>4565</v>
      </c>
      <c r="I1475" s="6" t="n">
        <v>98</v>
      </c>
      <c r="J1475" s="6" t="s">
        <v>83</v>
      </c>
      <c r="K1475" s="6" t="s">
        <v>4566</v>
      </c>
      <c r="L1475" s="7"/>
      <c r="M1475" s="7"/>
    </row>
    <row r="1476" customFormat="false" ht="23.85" hidden="false" customHeight="false" outlineLevel="0" collapsed="false">
      <c r="A1476" s="6" t="s">
        <v>2120</v>
      </c>
      <c r="B1476" s="6" t="s">
        <v>96</v>
      </c>
      <c r="C1476" s="6" t="s">
        <v>1362</v>
      </c>
      <c r="D1476" s="6" t="s">
        <v>1330</v>
      </c>
      <c r="E1476" s="6"/>
      <c r="F1476" s="6" t="s">
        <v>1903</v>
      </c>
      <c r="G1476" s="6" t="s">
        <v>4540</v>
      </c>
      <c r="H1476" s="6" t="s">
        <v>4541</v>
      </c>
      <c r="I1476" s="6" t="n">
        <v>38</v>
      </c>
      <c r="J1476" s="6"/>
      <c r="K1476" s="6" t="s">
        <v>4542</v>
      </c>
      <c r="L1476" s="7"/>
      <c r="M1476" s="7"/>
    </row>
    <row r="1477" customFormat="false" ht="23.85" hidden="false" customHeight="false" outlineLevel="0" collapsed="false">
      <c r="A1477" s="6" t="s">
        <v>2120</v>
      </c>
      <c r="B1477" s="6" t="s">
        <v>96</v>
      </c>
      <c r="C1477" s="6" t="s">
        <v>1362</v>
      </c>
      <c r="D1477" s="6" t="s">
        <v>1330</v>
      </c>
      <c r="E1477" s="6"/>
      <c r="F1477" s="6" t="s">
        <v>1903</v>
      </c>
      <c r="G1477" s="6" t="s">
        <v>4543</v>
      </c>
      <c r="H1477" s="6" t="s">
        <v>4544</v>
      </c>
      <c r="I1477" s="6" t="n">
        <v>28</v>
      </c>
      <c r="J1477" s="6"/>
      <c r="K1477" s="6" t="s">
        <v>4545</v>
      </c>
      <c r="L1477" s="7"/>
      <c r="M1477" s="7"/>
    </row>
    <row r="1478" customFormat="false" ht="35.05" hidden="false" customHeight="false" outlineLevel="0" collapsed="false">
      <c r="A1478" s="6" t="s">
        <v>2120</v>
      </c>
      <c r="B1478" s="6" t="s">
        <v>96</v>
      </c>
      <c r="C1478" s="6" t="s">
        <v>1362</v>
      </c>
      <c r="D1478" s="6" t="s">
        <v>1330</v>
      </c>
      <c r="E1478" s="6"/>
      <c r="F1478" s="6" t="s">
        <v>1903</v>
      </c>
      <c r="G1478" s="6" t="s">
        <v>4546</v>
      </c>
      <c r="H1478" s="6" t="s">
        <v>4547</v>
      </c>
      <c r="I1478" s="6" t="n">
        <v>46</v>
      </c>
      <c r="J1478" s="6"/>
      <c r="K1478" s="6" t="s">
        <v>4548</v>
      </c>
      <c r="L1478" s="7"/>
      <c r="M1478" s="7"/>
    </row>
    <row r="1479" customFormat="false" ht="35.05" hidden="false" customHeight="false" outlineLevel="0" collapsed="false">
      <c r="A1479" s="6" t="s">
        <v>2122</v>
      </c>
      <c r="B1479" s="6" t="s">
        <v>96</v>
      </c>
      <c r="C1479" s="6" t="s">
        <v>1362</v>
      </c>
      <c r="D1479" s="6" t="s">
        <v>1330</v>
      </c>
      <c r="E1479" s="6"/>
      <c r="F1479" s="6" t="s">
        <v>1906</v>
      </c>
      <c r="G1479" s="6" t="s">
        <v>4537</v>
      </c>
      <c r="H1479" s="6" t="s">
        <v>4565</v>
      </c>
      <c r="I1479" s="6" t="n">
        <v>98</v>
      </c>
      <c r="J1479" s="6" t="s">
        <v>83</v>
      </c>
      <c r="K1479" s="6" t="s">
        <v>4566</v>
      </c>
      <c r="L1479" s="7"/>
      <c r="M1479" s="7"/>
    </row>
    <row r="1480" customFormat="false" ht="23.85" hidden="false" customHeight="false" outlineLevel="0" collapsed="false">
      <c r="A1480" s="6" t="s">
        <v>2122</v>
      </c>
      <c r="B1480" s="6" t="s">
        <v>96</v>
      </c>
      <c r="C1480" s="6" t="s">
        <v>1362</v>
      </c>
      <c r="D1480" s="6" t="s">
        <v>1330</v>
      </c>
      <c r="E1480" s="6"/>
      <c r="F1480" s="6" t="s">
        <v>1906</v>
      </c>
      <c r="G1480" s="6" t="s">
        <v>4540</v>
      </c>
      <c r="H1480" s="6" t="s">
        <v>4541</v>
      </c>
      <c r="I1480" s="6" t="n">
        <v>38</v>
      </c>
      <c r="J1480" s="6"/>
      <c r="K1480" s="6" t="s">
        <v>4542</v>
      </c>
      <c r="L1480" s="7"/>
      <c r="M1480" s="7"/>
    </row>
    <row r="1481" customFormat="false" ht="23.85" hidden="false" customHeight="false" outlineLevel="0" collapsed="false">
      <c r="A1481" s="6" t="s">
        <v>2122</v>
      </c>
      <c r="B1481" s="6" t="s">
        <v>96</v>
      </c>
      <c r="C1481" s="6" t="s">
        <v>1362</v>
      </c>
      <c r="D1481" s="6" t="s">
        <v>1330</v>
      </c>
      <c r="E1481" s="6"/>
      <c r="F1481" s="6" t="s">
        <v>1906</v>
      </c>
      <c r="G1481" s="6" t="s">
        <v>4543</v>
      </c>
      <c r="H1481" s="6" t="s">
        <v>4544</v>
      </c>
      <c r="I1481" s="6" t="n">
        <v>28</v>
      </c>
      <c r="J1481" s="6"/>
      <c r="K1481" s="6" t="s">
        <v>4545</v>
      </c>
      <c r="L1481" s="7"/>
      <c r="M1481" s="7"/>
    </row>
    <row r="1482" customFormat="false" ht="35.05" hidden="false" customHeight="false" outlineLevel="0" collapsed="false">
      <c r="A1482" s="6" t="s">
        <v>2122</v>
      </c>
      <c r="B1482" s="6" t="s">
        <v>96</v>
      </c>
      <c r="C1482" s="6" t="s">
        <v>1362</v>
      </c>
      <c r="D1482" s="6" t="s">
        <v>1330</v>
      </c>
      <c r="E1482" s="6"/>
      <c r="F1482" s="6" t="s">
        <v>1906</v>
      </c>
      <c r="G1482" s="6" t="s">
        <v>4546</v>
      </c>
      <c r="H1482" s="6" t="s">
        <v>4547</v>
      </c>
      <c r="I1482" s="6" t="n">
        <v>46</v>
      </c>
      <c r="J1482" s="6"/>
      <c r="K1482" s="6" t="s">
        <v>4548</v>
      </c>
      <c r="L1482" s="7"/>
      <c r="M1482" s="7"/>
    </row>
    <row r="1483" customFormat="false" ht="35.05" hidden="false" customHeight="false" outlineLevel="0" collapsed="false">
      <c r="A1483" s="6" t="s">
        <v>2124</v>
      </c>
      <c r="B1483" s="6" t="s">
        <v>96</v>
      </c>
      <c r="C1483" s="6" t="s">
        <v>1362</v>
      </c>
      <c r="D1483" s="6" t="s">
        <v>1330</v>
      </c>
      <c r="E1483" s="6"/>
      <c r="F1483" s="6" t="s">
        <v>1909</v>
      </c>
      <c r="G1483" s="6" t="s">
        <v>4537</v>
      </c>
      <c r="H1483" s="6" t="s">
        <v>4565</v>
      </c>
      <c r="I1483" s="6" t="n">
        <v>98</v>
      </c>
      <c r="J1483" s="6" t="s">
        <v>83</v>
      </c>
      <c r="K1483" s="6" t="s">
        <v>4566</v>
      </c>
      <c r="L1483" s="7"/>
      <c r="M1483" s="7"/>
    </row>
    <row r="1484" customFormat="false" ht="23.85" hidden="false" customHeight="false" outlineLevel="0" collapsed="false">
      <c r="A1484" s="6" t="s">
        <v>2124</v>
      </c>
      <c r="B1484" s="6" t="s">
        <v>96</v>
      </c>
      <c r="C1484" s="6" t="s">
        <v>1362</v>
      </c>
      <c r="D1484" s="6" t="s">
        <v>1330</v>
      </c>
      <c r="E1484" s="6"/>
      <c r="F1484" s="6" t="s">
        <v>1909</v>
      </c>
      <c r="G1484" s="6" t="s">
        <v>4540</v>
      </c>
      <c r="H1484" s="6" t="s">
        <v>4541</v>
      </c>
      <c r="I1484" s="6" t="n">
        <v>38</v>
      </c>
      <c r="J1484" s="6"/>
      <c r="K1484" s="6" t="s">
        <v>4542</v>
      </c>
      <c r="L1484" s="7"/>
      <c r="M1484" s="7"/>
    </row>
    <row r="1485" customFormat="false" ht="23.85" hidden="false" customHeight="false" outlineLevel="0" collapsed="false">
      <c r="A1485" s="6" t="s">
        <v>2124</v>
      </c>
      <c r="B1485" s="6" t="s">
        <v>96</v>
      </c>
      <c r="C1485" s="6" t="s">
        <v>1362</v>
      </c>
      <c r="D1485" s="6" t="s">
        <v>1330</v>
      </c>
      <c r="E1485" s="6"/>
      <c r="F1485" s="6" t="s">
        <v>1909</v>
      </c>
      <c r="G1485" s="6" t="s">
        <v>4543</v>
      </c>
      <c r="H1485" s="6" t="s">
        <v>4544</v>
      </c>
      <c r="I1485" s="6" t="n">
        <v>28</v>
      </c>
      <c r="J1485" s="6"/>
      <c r="K1485" s="6" t="s">
        <v>4545</v>
      </c>
      <c r="L1485" s="7"/>
      <c r="M1485" s="7"/>
    </row>
    <row r="1486" customFormat="false" ht="35.05" hidden="false" customHeight="false" outlineLevel="0" collapsed="false">
      <c r="A1486" s="6" t="s">
        <v>2124</v>
      </c>
      <c r="B1486" s="6" t="s">
        <v>96</v>
      </c>
      <c r="C1486" s="6" t="s">
        <v>1362</v>
      </c>
      <c r="D1486" s="6" t="s">
        <v>1330</v>
      </c>
      <c r="E1486" s="6"/>
      <c r="F1486" s="6" t="s">
        <v>1909</v>
      </c>
      <c r="G1486" s="6" t="s">
        <v>4546</v>
      </c>
      <c r="H1486" s="6" t="s">
        <v>4547</v>
      </c>
      <c r="I1486" s="6" t="n">
        <v>46</v>
      </c>
      <c r="J1486" s="6"/>
      <c r="K1486" s="6" t="s">
        <v>4548</v>
      </c>
      <c r="L1486" s="7"/>
      <c r="M1486" s="7"/>
    </row>
    <row r="1487" customFormat="false" ht="23.85" hidden="false" customHeight="false" outlineLevel="0" collapsed="false">
      <c r="A1487" s="6" t="s">
        <v>2126</v>
      </c>
      <c r="B1487" s="6" t="s">
        <v>96</v>
      </c>
      <c r="C1487" s="6" t="s">
        <v>1362</v>
      </c>
      <c r="D1487" s="6" t="s">
        <v>1330</v>
      </c>
      <c r="E1487" s="6"/>
      <c r="F1487" s="6" t="s">
        <v>1879</v>
      </c>
      <c r="G1487" s="6" t="s">
        <v>4537</v>
      </c>
      <c r="H1487" s="6" t="s">
        <v>4567</v>
      </c>
      <c r="I1487" s="6" t="n">
        <v>98</v>
      </c>
      <c r="J1487" s="6" t="s">
        <v>83</v>
      </c>
      <c r="K1487" s="6" t="s">
        <v>4568</v>
      </c>
      <c r="L1487" s="7"/>
      <c r="M1487" s="7"/>
    </row>
    <row r="1488" customFormat="false" ht="23.85" hidden="false" customHeight="false" outlineLevel="0" collapsed="false">
      <c r="A1488" s="6" t="s">
        <v>2126</v>
      </c>
      <c r="B1488" s="6" t="s">
        <v>96</v>
      </c>
      <c r="C1488" s="6" t="s">
        <v>1362</v>
      </c>
      <c r="D1488" s="6" t="s">
        <v>1330</v>
      </c>
      <c r="E1488" s="6"/>
      <c r="F1488" s="6" t="s">
        <v>1879</v>
      </c>
      <c r="G1488" s="6" t="s">
        <v>4540</v>
      </c>
      <c r="H1488" s="6" t="s">
        <v>4541</v>
      </c>
      <c r="I1488" s="6" t="n">
        <v>38</v>
      </c>
      <c r="J1488" s="6"/>
      <c r="K1488" s="6" t="s">
        <v>4542</v>
      </c>
      <c r="L1488" s="7"/>
      <c r="M1488" s="7"/>
    </row>
    <row r="1489" customFormat="false" ht="23.85" hidden="false" customHeight="false" outlineLevel="0" collapsed="false">
      <c r="A1489" s="6" t="s">
        <v>2126</v>
      </c>
      <c r="B1489" s="6" t="s">
        <v>96</v>
      </c>
      <c r="C1489" s="6" t="s">
        <v>1362</v>
      </c>
      <c r="D1489" s="6" t="s">
        <v>1330</v>
      </c>
      <c r="E1489" s="6"/>
      <c r="F1489" s="6" t="s">
        <v>1879</v>
      </c>
      <c r="G1489" s="6" t="s">
        <v>4543</v>
      </c>
      <c r="H1489" s="6" t="s">
        <v>4544</v>
      </c>
      <c r="I1489" s="6" t="n">
        <v>28</v>
      </c>
      <c r="J1489" s="6"/>
      <c r="K1489" s="6" t="s">
        <v>4545</v>
      </c>
      <c r="L1489" s="7"/>
      <c r="M1489" s="7"/>
    </row>
    <row r="1490" customFormat="false" ht="35.05" hidden="false" customHeight="false" outlineLevel="0" collapsed="false">
      <c r="A1490" s="6" t="s">
        <v>2126</v>
      </c>
      <c r="B1490" s="6" t="s">
        <v>96</v>
      </c>
      <c r="C1490" s="6" t="s">
        <v>1362</v>
      </c>
      <c r="D1490" s="6" t="s">
        <v>1330</v>
      </c>
      <c r="E1490" s="6"/>
      <c r="F1490" s="6" t="s">
        <v>1879</v>
      </c>
      <c r="G1490" s="6" t="s">
        <v>4546</v>
      </c>
      <c r="H1490" s="6" t="s">
        <v>4547</v>
      </c>
      <c r="I1490" s="6" t="n">
        <v>46</v>
      </c>
      <c r="J1490" s="6"/>
      <c r="K1490" s="6" t="s">
        <v>4548</v>
      </c>
      <c r="L1490" s="7"/>
      <c r="M1490" s="7"/>
    </row>
    <row r="1491" customFormat="false" ht="23.85" hidden="false" customHeight="false" outlineLevel="0" collapsed="false">
      <c r="A1491" s="6" t="s">
        <v>2132</v>
      </c>
      <c r="B1491" s="6" t="s">
        <v>96</v>
      </c>
      <c r="C1491" s="6" t="s">
        <v>1362</v>
      </c>
      <c r="D1491" s="6" t="s">
        <v>1330</v>
      </c>
      <c r="E1491" s="6"/>
      <c r="F1491" s="6" t="s">
        <v>1885</v>
      </c>
      <c r="G1491" s="6" t="s">
        <v>4537</v>
      </c>
      <c r="H1491" s="6" t="s">
        <v>4567</v>
      </c>
      <c r="I1491" s="6" t="n">
        <v>98</v>
      </c>
      <c r="J1491" s="6" t="s">
        <v>83</v>
      </c>
      <c r="K1491" s="6" t="s">
        <v>4568</v>
      </c>
      <c r="L1491" s="7"/>
      <c r="M1491" s="7"/>
    </row>
    <row r="1492" customFormat="false" ht="23.85" hidden="false" customHeight="false" outlineLevel="0" collapsed="false">
      <c r="A1492" s="6" t="s">
        <v>2132</v>
      </c>
      <c r="B1492" s="6" t="s">
        <v>96</v>
      </c>
      <c r="C1492" s="6" t="s">
        <v>1362</v>
      </c>
      <c r="D1492" s="6" t="s">
        <v>1330</v>
      </c>
      <c r="E1492" s="6"/>
      <c r="F1492" s="6" t="s">
        <v>1885</v>
      </c>
      <c r="G1492" s="6" t="s">
        <v>4540</v>
      </c>
      <c r="H1492" s="6" t="s">
        <v>4541</v>
      </c>
      <c r="I1492" s="6" t="n">
        <v>38</v>
      </c>
      <c r="J1492" s="6"/>
      <c r="K1492" s="6" t="s">
        <v>4542</v>
      </c>
      <c r="L1492" s="7"/>
      <c r="M1492" s="7"/>
    </row>
    <row r="1493" customFormat="false" ht="23.85" hidden="false" customHeight="false" outlineLevel="0" collapsed="false">
      <c r="A1493" s="6" t="s">
        <v>2132</v>
      </c>
      <c r="B1493" s="6" t="s">
        <v>96</v>
      </c>
      <c r="C1493" s="6" t="s">
        <v>1362</v>
      </c>
      <c r="D1493" s="6" t="s">
        <v>1330</v>
      </c>
      <c r="E1493" s="6"/>
      <c r="F1493" s="6" t="s">
        <v>1885</v>
      </c>
      <c r="G1493" s="6" t="s">
        <v>4543</v>
      </c>
      <c r="H1493" s="6" t="s">
        <v>4544</v>
      </c>
      <c r="I1493" s="6" t="n">
        <v>28</v>
      </c>
      <c r="J1493" s="6"/>
      <c r="K1493" s="6" t="s">
        <v>4545</v>
      </c>
      <c r="L1493" s="7"/>
      <c r="M1493" s="7"/>
    </row>
    <row r="1494" customFormat="false" ht="35.05" hidden="false" customHeight="false" outlineLevel="0" collapsed="false">
      <c r="A1494" s="6" t="s">
        <v>2132</v>
      </c>
      <c r="B1494" s="6" t="s">
        <v>96</v>
      </c>
      <c r="C1494" s="6" t="s">
        <v>1362</v>
      </c>
      <c r="D1494" s="6" t="s">
        <v>1330</v>
      </c>
      <c r="E1494" s="6"/>
      <c r="F1494" s="6" t="s">
        <v>1885</v>
      </c>
      <c r="G1494" s="6" t="s">
        <v>4546</v>
      </c>
      <c r="H1494" s="6" t="s">
        <v>4547</v>
      </c>
      <c r="I1494" s="6" t="n">
        <v>46</v>
      </c>
      <c r="J1494" s="6"/>
      <c r="K1494" s="6" t="s">
        <v>4548</v>
      </c>
      <c r="L1494" s="7"/>
      <c r="M1494" s="7"/>
    </row>
    <row r="1495" customFormat="false" ht="23.85" hidden="false" customHeight="false" outlineLevel="0" collapsed="false">
      <c r="A1495" s="6" t="s">
        <v>2134</v>
      </c>
      <c r="B1495" s="6" t="s">
        <v>96</v>
      </c>
      <c r="C1495" s="6" t="s">
        <v>1362</v>
      </c>
      <c r="D1495" s="6" t="s">
        <v>1330</v>
      </c>
      <c r="E1495" s="6"/>
      <c r="F1495" s="6" t="s">
        <v>1888</v>
      </c>
      <c r="G1495" s="6" t="s">
        <v>4537</v>
      </c>
      <c r="H1495" s="6" t="s">
        <v>4567</v>
      </c>
      <c r="I1495" s="6" t="n">
        <v>98</v>
      </c>
      <c r="J1495" s="6" t="s">
        <v>83</v>
      </c>
      <c r="K1495" s="6" t="s">
        <v>4568</v>
      </c>
      <c r="L1495" s="7"/>
      <c r="M1495" s="7"/>
    </row>
    <row r="1496" customFormat="false" ht="23.85" hidden="false" customHeight="false" outlineLevel="0" collapsed="false">
      <c r="A1496" s="6" t="s">
        <v>2134</v>
      </c>
      <c r="B1496" s="6" t="s">
        <v>96</v>
      </c>
      <c r="C1496" s="6" t="s">
        <v>1362</v>
      </c>
      <c r="D1496" s="6" t="s">
        <v>1330</v>
      </c>
      <c r="E1496" s="6"/>
      <c r="F1496" s="6" t="s">
        <v>1888</v>
      </c>
      <c r="G1496" s="6" t="s">
        <v>4540</v>
      </c>
      <c r="H1496" s="6" t="s">
        <v>4541</v>
      </c>
      <c r="I1496" s="6" t="n">
        <v>38</v>
      </c>
      <c r="J1496" s="6"/>
      <c r="K1496" s="6" t="s">
        <v>4542</v>
      </c>
      <c r="L1496" s="7"/>
      <c r="M1496" s="7"/>
    </row>
    <row r="1497" customFormat="false" ht="23.85" hidden="false" customHeight="false" outlineLevel="0" collapsed="false">
      <c r="A1497" s="6" t="s">
        <v>2134</v>
      </c>
      <c r="B1497" s="6" t="s">
        <v>96</v>
      </c>
      <c r="C1497" s="6" t="s">
        <v>1362</v>
      </c>
      <c r="D1497" s="6" t="s">
        <v>1330</v>
      </c>
      <c r="E1497" s="6"/>
      <c r="F1497" s="6" t="s">
        <v>1888</v>
      </c>
      <c r="G1497" s="6" t="s">
        <v>4543</v>
      </c>
      <c r="H1497" s="6" t="s">
        <v>4544</v>
      </c>
      <c r="I1497" s="6" t="n">
        <v>28</v>
      </c>
      <c r="J1497" s="6"/>
      <c r="K1497" s="6" t="s">
        <v>4545</v>
      </c>
      <c r="L1497" s="7"/>
      <c r="M1497" s="7"/>
    </row>
    <row r="1498" customFormat="false" ht="35.05" hidden="false" customHeight="false" outlineLevel="0" collapsed="false">
      <c r="A1498" s="6" t="s">
        <v>2134</v>
      </c>
      <c r="B1498" s="6" t="s">
        <v>96</v>
      </c>
      <c r="C1498" s="6" t="s">
        <v>1362</v>
      </c>
      <c r="D1498" s="6" t="s">
        <v>1330</v>
      </c>
      <c r="E1498" s="6"/>
      <c r="F1498" s="6" t="s">
        <v>1888</v>
      </c>
      <c r="G1498" s="6" t="s">
        <v>4546</v>
      </c>
      <c r="H1498" s="6" t="s">
        <v>4547</v>
      </c>
      <c r="I1498" s="6" t="n">
        <v>46</v>
      </c>
      <c r="J1498" s="6"/>
      <c r="K1498" s="6" t="s">
        <v>4548</v>
      </c>
      <c r="L1498" s="7"/>
      <c r="M1498" s="7"/>
    </row>
    <row r="1499" customFormat="false" ht="23.85" hidden="false" customHeight="false" outlineLevel="0" collapsed="false">
      <c r="A1499" s="6" t="s">
        <v>2136</v>
      </c>
      <c r="B1499" s="6" t="s">
        <v>96</v>
      </c>
      <c r="C1499" s="6" t="s">
        <v>1362</v>
      </c>
      <c r="D1499" s="6" t="s">
        <v>1330</v>
      </c>
      <c r="E1499" s="6"/>
      <c r="F1499" s="6" t="s">
        <v>1891</v>
      </c>
      <c r="G1499" s="6" t="s">
        <v>4537</v>
      </c>
      <c r="H1499" s="6" t="s">
        <v>4567</v>
      </c>
      <c r="I1499" s="6" t="n">
        <v>98</v>
      </c>
      <c r="J1499" s="6" t="s">
        <v>83</v>
      </c>
      <c r="K1499" s="6" t="s">
        <v>4568</v>
      </c>
      <c r="L1499" s="7"/>
      <c r="M1499" s="7"/>
    </row>
    <row r="1500" customFormat="false" ht="23.85" hidden="false" customHeight="false" outlineLevel="0" collapsed="false">
      <c r="A1500" s="6" t="s">
        <v>2136</v>
      </c>
      <c r="B1500" s="6" t="s">
        <v>96</v>
      </c>
      <c r="C1500" s="6" t="s">
        <v>1362</v>
      </c>
      <c r="D1500" s="6" t="s">
        <v>1330</v>
      </c>
      <c r="E1500" s="6"/>
      <c r="F1500" s="6" t="s">
        <v>1891</v>
      </c>
      <c r="G1500" s="6" t="s">
        <v>4540</v>
      </c>
      <c r="H1500" s="6" t="s">
        <v>4541</v>
      </c>
      <c r="I1500" s="6" t="n">
        <v>38</v>
      </c>
      <c r="J1500" s="6"/>
      <c r="K1500" s="6" t="s">
        <v>4542</v>
      </c>
      <c r="L1500" s="7"/>
      <c r="M1500" s="7"/>
    </row>
    <row r="1501" customFormat="false" ht="23.85" hidden="false" customHeight="false" outlineLevel="0" collapsed="false">
      <c r="A1501" s="6" t="s">
        <v>2136</v>
      </c>
      <c r="B1501" s="6" t="s">
        <v>96</v>
      </c>
      <c r="C1501" s="6" t="s">
        <v>1362</v>
      </c>
      <c r="D1501" s="6" t="s">
        <v>1330</v>
      </c>
      <c r="E1501" s="6"/>
      <c r="F1501" s="6" t="s">
        <v>1891</v>
      </c>
      <c r="G1501" s="6" t="s">
        <v>4543</v>
      </c>
      <c r="H1501" s="6" t="s">
        <v>4544</v>
      </c>
      <c r="I1501" s="6" t="n">
        <v>28</v>
      </c>
      <c r="J1501" s="6"/>
      <c r="K1501" s="6" t="s">
        <v>4545</v>
      </c>
      <c r="L1501" s="7"/>
      <c r="M1501" s="7"/>
    </row>
    <row r="1502" customFormat="false" ht="35.05" hidden="false" customHeight="false" outlineLevel="0" collapsed="false">
      <c r="A1502" s="6" t="s">
        <v>2136</v>
      </c>
      <c r="B1502" s="6" t="s">
        <v>96</v>
      </c>
      <c r="C1502" s="6" t="s">
        <v>1362</v>
      </c>
      <c r="D1502" s="6" t="s">
        <v>1330</v>
      </c>
      <c r="E1502" s="6"/>
      <c r="F1502" s="6" t="s">
        <v>1891</v>
      </c>
      <c r="G1502" s="6" t="s">
        <v>4546</v>
      </c>
      <c r="H1502" s="6" t="s">
        <v>4547</v>
      </c>
      <c r="I1502" s="6" t="n">
        <v>46</v>
      </c>
      <c r="J1502" s="6"/>
      <c r="K1502" s="6" t="s">
        <v>4548</v>
      </c>
      <c r="L1502" s="7"/>
      <c r="M1502" s="7"/>
    </row>
    <row r="1503" customFormat="false" ht="23.85" hidden="false" customHeight="false" outlineLevel="0" collapsed="false">
      <c r="A1503" s="6" t="s">
        <v>2138</v>
      </c>
      <c r="B1503" s="6" t="s">
        <v>96</v>
      </c>
      <c r="C1503" s="6" t="s">
        <v>1362</v>
      </c>
      <c r="D1503" s="6" t="s">
        <v>1330</v>
      </c>
      <c r="E1503" s="6"/>
      <c r="F1503" s="6" t="s">
        <v>1894</v>
      </c>
      <c r="G1503" s="6" t="s">
        <v>4537</v>
      </c>
      <c r="H1503" s="6" t="s">
        <v>4567</v>
      </c>
      <c r="I1503" s="6" t="n">
        <v>98</v>
      </c>
      <c r="J1503" s="6" t="s">
        <v>83</v>
      </c>
      <c r="K1503" s="6" t="s">
        <v>4568</v>
      </c>
      <c r="L1503" s="7"/>
      <c r="M1503" s="7"/>
    </row>
    <row r="1504" customFormat="false" ht="23.85" hidden="false" customHeight="false" outlineLevel="0" collapsed="false">
      <c r="A1504" s="6" t="s">
        <v>2138</v>
      </c>
      <c r="B1504" s="6" t="s">
        <v>96</v>
      </c>
      <c r="C1504" s="6" t="s">
        <v>1362</v>
      </c>
      <c r="D1504" s="6" t="s">
        <v>1330</v>
      </c>
      <c r="E1504" s="6"/>
      <c r="F1504" s="6" t="s">
        <v>1894</v>
      </c>
      <c r="G1504" s="6" t="s">
        <v>4540</v>
      </c>
      <c r="H1504" s="6" t="s">
        <v>4541</v>
      </c>
      <c r="I1504" s="6" t="n">
        <v>38</v>
      </c>
      <c r="J1504" s="6"/>
      <c r="K1504" s="6" t="s">
        <v>4542</v>
      </c>
      <c r="L1504" s="7"/>
      <c r="M1504" s="7"/>
    </row>
    <row r="1505" customFormat="false" ht="23.85" hidden="false" customHeight="false" outlineLevel="0" collapsed="false">
      <c r="A1505" s="6" t="s">
        <v>2138</v>
      </c>
      <c r="B1505" s="6" t="s">
        <v>96</v>
      </c>
      <c r="C1505" s="6" t="s">
        <v>1362</v>
      </c>
      <c r="D1505" s="6" t="s">
        <v>1330</v>
      </c>
      <c r="E1505" s="6"/>
      <c r="F1505" s="6" t="s">
        <v>1894</v>
      </c>
      <c r="G1505" s="6" t="s">
        <v>4543</v>
      </c>
      <c r="H1505" s="6" t="s">
        <v>4544</v>
      </c>
      <c r="I1505" s="6" t="n">
        <v>28</v>
      </c>
      <c r="J1505" s="6"/>
      <c r="K1505" s="6" t="s">
        <v>4545</v>
      </c>
      <c r="L1505" s="7"/>
      <c r="M1505" s="7"/>
    </row>
    <row r="1506" customFormat="false" ht="35.05" hidden="false" customHeight="false" outlineLevel="0" collapsed="false">
      <c r="A1506" s="6" t="s">
        <v>2138</v>
      </c>
      <c r="B1506" s="6" t="s">
        <v>96</v>
      </c>
      <c r="C1506" s="6" t="s">
        <v>1362</v>
      </c>
      <c r="D1506" s="6" t="s">
        <v>1330</v>
      </c>
      <c r="E1506" s="6"/>
      <c r="F1506" s="6" t="s">
        <v>1894</v>
      </c>
      <c r="G1506" s="6" t="s">
        <v>4546</v>
      </c>
      <c r="H1506" s="6" t="s">
        <v>4547</v>
      </c>
      <c r="I1506" s="6" t="n">
        <v>46</v>
      </c>
      <c r="J1506" s="6"/>
      <c r="K1506" s="6" t="s">
        <v>4548</v>
      </c>
      <c r="L1506" s="7"/>
      <c r="M1506" s="7"/>
    </row>
    <row r="1507" customFormat="false" ht="23.85" hidden="false" customHeight="false" outlineLevel="0" collapsed="false">
      <c r="A1507" s="6" t="s">
        <v>2140</v>
      </c>
      <c r="B1507" s="6" t="s">
        <v>96</v>
      </c>
      <c r="C1507" s="6" t="s">
        <v>1362</v>
      </c>
      <c r="D1507" s="6" t="s">
        <v>1330</v>
      </c>
      <c r="E1507" s="6"/>
      <c r="F1507" s="6" t="s">
        <v>1897</v>
      </c>
      <c r="G1507" s="6" t="s">
        <v>4537</v>
      </c>
      <c r="H1507" s="6" t="s">
        <v>4567</v>
      </c>
      <c r="I1507" s="6" t="n">
        <v>98</v>
      </c>
      <c r="J1507" s="6" t="s">
        <v>83</v>
      </c>
      <c r="K1507" s="6" t="s">
        <v>4568</v>
      </c>
      <c r="L1507" s="7"/>
      <c r="M1507" s="7"/>
    </row>
    <row r="1508" customFormat="false" ht="23.85" hidden="false" customHeight="false" outlineLevel="0" collapsed="false">
      <c r="A1508" s="6" t="s">
        <v>2140</v>
      </c>
      <c r="B1508" s="6" t="s">
        <v>96</v>
      </c>
      <c r="C1508" s="6" t="s">
        <v>1362</v>
      </c>
      <c r="D1508" s="6" t="s">
        <v>1330</v>
      </c>
      <c r="E1508" s="6"/>
      <c r="F1508" s="6" t="s">
        <v>1897</v>
      </c>
      <c r="G1508" s="6" t="s">
        <v>4540</v>
      </c>
      <c r="H1508" s="6" t="s">
        <v>4541</v>
      </c>
      <c r="I1508" s="6" t="n">
        <v>38</v>
      </c>
      <c r="J1508" s="6"/>
      <c r="K1508" s="6" t="s">
        <v>4542</v>
      </c>
      <c r="L1508" s="7"/>
      <c r="M1508" s="7"/>
    </row>
    <row r="1509" customFormat="false" ht="23.85" hidden="false" customHeight="false" outlineLevel="0" collapsed="false">
      <c r="A1509" s="6" t="s">
        <v>2140</v>
      </c>
      <c r="B1509" s="6" t="s">
        <v>96</v>
      </c>
      <c r="C1509" s="6" t="s">
        <v>1362</v>
      </c>
      <c r="D1509" s="6" t="s">
        <v>1330</v>
      </c>
      <c r="E1509" s="6"/>
      <c r="F1509" s="6" t="s">
        <v>1897</v>
      </c>
      <c r="G1509" s="6" t="s">
        <v>4543</v>
      </c>
      <c r="H1509" s="6" t="s">
        <v>4544</v>
      </c>
      <c r="I1509" s="6" t="n">
        <v>28</v>
      </c>
      <c r="J1509" s="6"/>
      <c r="K1509" s="6" t="s">
        <v>4545</v>
      </c>
      <c r="L1509" s="7"/>
      <c r="M1509" s="7"/>
    </row>
    <row r="1510" customFormat="false" ht="35.05" hidden="false" customHeight="false" outlineLevel="0" collapsed="false">
      <c r="A1510" s="6" t="s">
        <v>2140</v>
      </c>
      <c r="B1510" s="6" t="s">
        <v>96</v>
      </c>
      <c r="C1510" s="6" t="s">
        <v>1362</v>
      </c>
      <c r="D1510" s="6" t="s">
        <v>1330</v>
      </c>
      <c r="E1510" s="6"/>
      <c r="F1510" s="6" t="s">
        <v>1897</v>
      </c>
      <c r="G1510" s="6" t="s">
        <v>4546</v>
      </c>
      <c r="H1510" s="6" t="s">
        <v>4547</v>
      </c>
      <c r="I1510" s="6" t="n">
        <v>46</v>
      </c>
      <c r="J1510" s="6"/>
      <c r="K1510" s="6" t="s">
        <v>4548</v>
      </c>
      <c r="L1510" s="7"/>
      <c r="M1510" s="7"/>
    </row>
    <row r="1511" customFormat="false" ht="23.85" hidden="false" customHeight="false" outlineLevel="0" collapsed="false">
      <c r="A1511" s="6" t="s">
        <v>2142</v>
      </c>
      <c r="B1511" s="6" t="s">
        <v>96</v>
      </c>
      <c r="C1511" s="6" t="s">
        <v>1362</v>
      </c>
      <c r="D1511" s="6" t="s">
        <v>1330</v>
      </c>
      <c r="E1511" s="6"/>
      <c r="F1511" s="6" t="s">
        <v>1900</v>
      </c>
      <c r="G1511" s="6" t="s">
        <v>4537</v>
      </c>
      <c r="H1511" s="6" t="s">
        <v>4567</v>
      </c>
      <c r="I1511" s="6" t="n">
        <v>98</v>
      </c>
      <c r="J1511" s="6" t="s">
        <v>83</v>
      </c>
      <c r="K1511" s="6" t="s">
        <v>4568</v>
      </c>
      <c r="L1511" s="7"/>
      <c r="M1511" s="7"/>
    </row>
    <row r="1512" customFormat="false" ht="23.85" hidden="false" customHeight="false" outlineLevel="0" collapsed="false">
      <c r="A1512" s="6" t="s">
        <v>2142</v>
      </c>
      <c r="B1512" s="6" t="s">
        <v>96</v>
      </c>
      <c r="C1512" s="6" t="s">
        <v>1362</v>
      </c>
      <c r="D1512" s="6" t="s">
        <v>1330</v>
      </c>
      <c r="E1512" s="6"/>
      <c r="F1512" s="6" t="s">
        <v>1900</v>
      </c>
      <c r="G1512" s="6" t="s">
        <v>4540</v>
      </c>
      <c r="H1512" s="6" t="s">
        <v>4541</v>
      </c>
      <c r="I1512" s="6" t="n">
        <v>38</v>
      </c>
      <c r="J1512" s="6"/>
      <c r="K1512" s="6" t="s">
        <v>4542</v>
      </c>
      <c r="L1512" s="7"/>
      <c r="M1512" s="7"/>
    </row>
    <row r="1513" customFormat="false" ht="23.85" hidden="false" customHeight="false" outlineLevel="0" collapsed="false">
      <c r="A1513" s="6" t="s">
        <v>2142</v>
      </c>
      <c r="B1513" s="6" t="s">
        <v>96</v>
      </c>
      <c r="C1513" s="6" t="s">
        <v>1362</v>
      </c>
      <c r="D1513" s="6" t="s">
        <v>1330</v>
      </c>
      <c r="E1513" s="6"/>
      <c r="F1513" s="6" t="s">
        <v>1900</v>
      </c>
      <c r="G1513" s="6" t="s">
        <v>4543</v>
      </c>
      <c r="H1513" s="6" t="s">
        <v>4544</v>
      </c>
      <c r="I1513" s="6" t="n">
        <v>28</v>
      </c>
      <c r="J1513" s="6"/>
      <c r="K1513" s="6" t="s">
        <v>4545</v>
      </c>
      <c r="L1513" s="7"/>
      <c r="M1513" s="7"/>
    </row>
    <row r="1514" customFormat="false" ht="35.05" hidden="false" customHeight="false" outlineLevel="0" collapsed="false">
      <c r="A1514" s="6" t="s">
        <v>2142</v>
      </c>
      <c r="B1514" s="6" t="s">
        <v>96</v>
      </c>
      <c r="C1514" s="6" t="s">
        <v>1362</v>
      </c>
      <c r="D1514" s="6" t="s">
        <v>1330</v>
      </c>
      <c r="E1514" s="6"/>
      <c r="F1514" s="6" t="s">
        <v>1900</v>
      </c>
      <c r="G1514" s="6" t="s">
        <v>4546</v>
      </c>
      <c r="H1514" s="6" t="s">
        <v>4547</v>
      </c>
      <c r="I1514" s="6" t="n">
        <v>46</v>
      </c>
      <c r="J1514" s="6"/>
      <c r="K1514" s="6" t="s">
        <v>4548</v>
      </c>
      <c r="L1514" s="7"/>
      <c r="M1514" s="7"/>
    </row>
    <row r="1515" customFormat="false" ht="23.85" hidden="false" customHeight="false" outlineLevel="0" collapsed="false">
      <c r="A1515" s="6" t="s">
        <v>2144</v>
      </c>
      <c r="B1515" s="6" t="s">
        <v>96</v>
      </c>
      <c r="C1515" s="6" t="s">
        <v>1362</v>
      </c>
      <c r="D1515" s="6" t="s">
        <v>1330</v>
      </c>
      <c r="E1515" s="6"/>
      <c r="F1515" s="6" t="s">
        <v>1903</v>
      </c>
      <c r="G1515" s="6" t="s">
        <v>4537</v>
      </c>
      <c r="H1515" s="6" t="s">
        <v>4567</v>
      </c>
      <c r="I1515" s="6" t="n">
        <v>98</v>
      </c>
      <c r="J1515" s="6" t="s">
        <v>83</v>
      </c>
      <c r="K1515" s="6" t="s">
        <v>4568</v>
      </c>
      <c r="L1515" s="7"/>
      <c r="M1515" s="7"/>
    </row>
    <row r="1516" customFormat="false" ht="23.85" hidden="false" customHeight="false" outlineLevel="0" collapsed="false">
      <c r="A1516" s="6" t="s">
        <v>2144</v>
      </c>
      <c r="B1516" s="6" t="s">
        <v>96</v>
      </c>
      <c r="C1516" s="6" t="s">
        <v>1362</v>
      </c>
      <c r="D1516" s="6" t="s">
        <v>1330</v>
      </c>
      <c r="E1516" s="6"/>
      <c r="F1516" s="6" t="s">
        <v>1903</v>
      </c>
      <c r="G1516" s="6" t="s">
        <v>4540</v>
      </c>
      <c r="H1516" s="6" t="s">
        <v>4541</v>
      </c>
      <c r="I1516" s="6" t="n">
        <v>38</v>
      </c>
      <c r="J1516" s="6"/>
      <c r="K1516" s="6" t="s">
        <v>4542</v>
      </c>
      <c r="L1516" s="7"/>
      <c r="M1516" s="7"/>
    </row>
    <row r="1517" customFormat="false" ht="23.85" hidden="false" customHeight="false" outlineLevel="0" collapsed="false">
      <c r="A1517" s="6" t="s">
        <v>2144</v>
      </c>
      <c r="B1517" s="6" t="s">
        <v>96</v>
      </c>
      <c r="C1517" s="6" t="s">
        <v>1362</v>
      </c>
      <c r="D1517" s="6" t="s">
        <v>1330</v>
      </c>
      <c r="E1517" s="6"/>
      <c r="F1517" s="6" t="s">
        <v>1903</v>
      </c>
      <c r="G1517" s="6" t="s">
        <v>4543</v>
      </c>
      <c r="H1517" s="6" t="s">
        <v>4544</v>
      </c>
      <c r="I1517" s="6" t="n">
        <v>28</v>
      </c>
      <c r="J1517" s="6"/>
      <c r="K1517" s="6" t="s">
        <v>4545</v>
      </c>
      <c r="L1517" s="7"/>
      <c r="M1517" s="7"/>
    </row>
    <row r="1518" customFormat="false" ht="35.05" hidden="false" customHeight="false" outlineLevel="0" collapsed="false">
      <c r="A1518" s="6" t="s">
        <v>2144</v>
      </c>
      <c r="B1518" s="6" t="s">
        <v>96</v>
      </c>
      <c r="C1518" s="6" t="s">
        <v>1362</v>
      </c>
      <c r="D1518" s="6" t="s">
        <v>1330</v>
      </c>
      <c r="E1518" s="6"/>
      <c r="F1518" s="6" t="s">
        <v>1903</v>
      </c>
      <c r="G1518" s="6" t="s">
        <v>4546</v>
      </c>
      <c r="H1518" s="6" t="s">
        <v>4547</v>
      </c>
      <c r="I1518" s="6" t="n">
        <v>46</v>
      </c>
      <c r="J1518" s="6"/>
      <c r="K1518" s="6" t="s">
        <v>4548</v>
      </c>
      <c r="L1518" s="7"/>
      <c r="M1518" s="7"/>
    </row>
    <row r="1519" customFormat="false" ht="23.85" hidden="false" customHeight="false" outlineLevel="0" collapsed="false">
      <c r="A1519" s="6" t="s">
        <v>2146</v>
      </c>
      <c r="B1519" s="6" t="s">
        <v>96</v>
      </c>
      <c r="C1519" s="6" t="s">
        <v>1362</v>
      </c>
      <c r="D1519" s="6" t="s">
        <v>1330</v>
      </c>
      <c r="E1519" s="6"/>
      <c r="F1519" s="6" t="s">
        <v>1906</v>
      </c>
      <c r="G1519" s="6" t="s">
        <v>4537</v>
      </c>
      <c r="H1519" s="6" t="s">
        <v>4567</v>
      </c>
      <c r="I1519" s="6" t="n">
        <v>98</v>
      </c>
      <c r="J1519" s="6" t="s">
        <v>83</v>
      </c>
      <c r="K1519" s="6" t="s">
        <v>4568</v>
      </c>
      <c r="L1519" s="7"/>
      <c r="M1519" s="7"/>
    </row>
    <row r="1520" customFormat="false" ht="23.85" hidden="false" customHeight="false" outlineLevel="0" collapsed="false">
      <c r="A1520" s="6" t="s">
        <v>2146</v>
      </c>
      <c r="B1520" s="6" t="s">
        <v>96</v>
      </c>
      <c r="C1520" s="6" t="s">
        <v>1362</v>
      </c>
      <c r="D1520" s="6" t="s">
        <v>1330</v>
      </c>
      <c r="E1520" s="6"/>
      <c r="F1520" s="6" t="s">
        <v>1906</v>
      </c>
      <c r="G1520" s="6" t="s">
        <v>4540</v>
      </c>
      <c r="H1520" s="6" t="s">
        <v>4541</v>
      </c>
      <c r="I1520" s="6" t="n">
        <v>38</v>
      </c>
      <c r="J1520" s="6"/>
      <c r="K1520" s="6" t="s">
        <v>4542</v>
      </c>
      <c r="L1520" s="7"/>
      <c r="M1520" s="7"/>
    </row>
    <row r="1521" customFormat="false" ht="23.85" hidden="false" customHeight="false" outlineLevel="0" collapsed="false">
      <c r="A1521" s="6" t="s">
        <v>2146</v>
      </c>
      <c r="B1521" s="6" t="s">
        <v>96</v>
      </c>
      <c r="C1521" s="6" t="s">
        <v>1362</v>
      </c>
      <c r="D1521" s="6" t="s">
        <v>1330</v>
      </c>
      <c r="E1521" s="6"/>
      <c r="F1521" s="6" t="s">
        <v>1906</v>
      </c>
      <c r="G1521" s="6" t="s">
        <v>4543</v>
      </c>
      <c r="H1521" s="6" t="s">
        <v>4544</v>
      </c>
      <c r="I1521" s="6" t="n">
        <v>28</v>
      </c>
      <c r="J1521" s="6"/>
      <c r="K1521" s="6" t="s">
        <v>4545</v>
      </c>
      <c r="L1521" s="7"/>
      <c r="M1521" s="7"/>
    </row>
    <row r="1522" customFormat="false" ht="35.05" hidden="false" customHeight="false" outlineLevel="0" collapsed="false">
      <c r="A1522" s="6" t="s">
        <v>2146</v>
      </c>
      <c r="B1522" s="6" t="s">
        <v>96</v>
      </c>
      <c r="C1522" s="6" t="s">
        <v>1362</v>
      </c>
      <c r="D1522" s="6" t="s">
        <v>1330</v>
      </c>
      <c r="E1522" s="6"/>
      <c r="F1522" s="6" t="s">
        <v>1906</v>
      </c>
      <c r="G1522" s="6" t="s">
        <v>4546</v>
      </c>
      <c r="H1522" s="6" t="s">
        <v>4547</v>
      </c>
      <c r="I1522" s="6" t="n">
        <v>46</v>
      </c>
      <c r="J1522" s="6"/>
      <c r="K1522" s="6" t="s">
        <v>4548</v>
      </c>
      <c r="L1522" s="7"/>
      <c r="M1522" s="7"/>
    </row>
    <row r="1523" customFormat="false" ht="23.85" hidden="false" customHeight="false" outlineLevel="0" collapsed="false">
      <c r="A1523" s="6" t="s">
        <v>2148</v>
      </c>
      <c r="B1523" s="6" t="s">
        <v>96</v>
      </c>
      <c r="C1523" s="6" t="s">
        <v>1362</v>
      </c>
      <c r="D1523" s="6" t="s">
        <v>1330</v>
      </c>
      <c r="E1523" s="6"/>
      <c r="F1523" s="6" t="s">
        <v>1909</v>
      </c>
      <c r="G1523" s="6" t="s">
        <v>4537</v>
      </c>
      <c r="H1523" s="6" t="s">
        <v>4567</v>
      </c>
      <c r="I1523" s="6" t="n">
        <v>98</v>
      </c>
      <c r="J1523" s="6" t="s">
        <v>83</v>
      </c>
      <c r="K1523" s="6" t="s">
        <v>4568</v>
      </c>
      <c r="L1523" s="7"/>
      <c r="M1523" s="7"/>
    </row>
    <row r="1524" customFormat="false" ht="23.85" hidden="false" customHeight="false" outlineLevel="0" collapsed="false">
      <c r="A1524" s="6" t="s">
        <v>2148</v>
      </c>
      <c r="B1524" s="6" t="s">
        <v>96</v>
      </c>
      <c r="C1524" s="6" t="s">
        <v>1362</v>
      </c>
      <c r="D1524" s="6" t="s">
        <v>1330</v>
      </c>
      <c r="E1524" s="6"/>
      <c r="F1524" s="6" t="s">
        <v>1909</v>
      </c>
      <c r="G1524" s="6" t="s">
        <v>4540</v>
      </c>
      <c r="H1524" s="6" t="s">
        <v>4541</v>
      </c>
      <c r="I1524" s="6" t="n">
        <v>38</v>
      </c>
      <c r="J1524" s="6"/>
      <c r="K1524" s="6" t="s">
        <v>4542</v>
      </c>
      <c r="L1524" s="7"/>
      <c r="M1524" s="7"/>
    </row>
    <row r="1525" customFormat="false" ht="23.85" hidden="false" customHeight="false" outlineLevel="0" collapsed="false">
      <c r="A1525" s="6" t="s">
        <v>2148</v>
      </c>
      <c r="B1525" s="6" t="s">
        <v>96</v>
      </c>
      <c r="C1525" s="6" t="s">
        <v>1362</v>
      </c>
      <c r="D1525" s="6" t="s">
        <v>1330</v>
      </c>
      <c r="E1525" s="6"/>
      <c r="F1525" s="6" t="s">
        <v>1909</v>
      </c>
      <c r="G1525" s="6" t="s">
        <v>4543</v>
      </c>
      <c r="H1525" s="6" t="s">
        <v>4544</v>
      </c>
      <c r="I1525" s="6" t="n">
        <v>28</v>
      </c>
      <c r="J1525" s="6"/>
      <c r="K1525" s="6" t="s">
        <v>4545</v>
      </c>
      <c r="L1525" s="7"/>
      <c r="M1525" s="7"/>
    </row>
    <row r="1526" customFormat="false" ht="35.05" hidden="false" customHeight="false" outlineLevel="0" collapsed="false">
      <c r="A1526" s="6" t="s">
        <v>2148</v>
      </c>
      <c r="B1526" s="6" t="s">
        <v>96</v>
      </c>
      <c r="C1526" s="6" t="s">
        <v>1362</v>
      </c>
      <c r="D1526" s="6" t="s">
        <v>1330</v>
      </c>
      <c r="E1526" s="6"/>
      <c r="F1526" s="6" t="s">
        <v>1909</v>
      </c>
      <c r="G1526" s="6" t="s">
        <v>4546</v>
      </c>
      <c r="H1526" s="6" t="s">
        <v>4547</v>
      </c>
      <c r="I1526" s="6" t="n">
        <v>46</v>
      </c>
      <c r="J1526" s="6"/>
      <c r="K1526" s="6" t="s">
        <v>4548</v>
      </c>
      <c r="L1526" s="7"/>
      <c r="M1526" s="7"/>
    </row>
    <row r="1527" customFormat="false" ht="35.05" hidden="false" customHeight="false" outlineLevel="0" collapsed="false">
      <c r="A1527" s="6" t="s">
        <v>2150</v>
      </c>
      <c r="B1527" s="6" t="s">
        <v>96</v>
      </c>
      <c r="C1527" s="6" t="s">
        <v>1362</v>
      </c>
      <c r="D1527" s="6" t="s">
        <v>1330</v>
      </c>
      <c r="E1527" s="6"/>
      <c r="F1527" s="6" t="s">
        <v>1879</v>
      </c>
      <c r="G1527" s="6" t="s">
        <v>4537</v>
      </c>
      <c r="H1527" s="6" t="s">
        <v>4569</v>
      </c>
      <c r="I1527" s="6" t="n">
        <v>98</v>
      </c>
      <c r="J1527" s="6" t="s">
        <v>83</v>
      </c>
      <c r="K1527" s="6" t="s">
        <v>4570</v>
      </c>
      <c r="L1527" s="7"/>
      <c r="M1527" s="7"/>
    </row>
    <row r="1528" customFormat="false" ht="23.85" hidden="false" customHeight="false" outlineLevel="0" collapsed="false">
      <c r="A1528" s="6" t="s">
        <v>2150</v>
      </c>
      <c r="B1528" s="6" t="s">
        <v>96</v>
      </c>
      <c r="C1528" s="6" t="s">
        <v>1362</v>
      </c>
      <c r="D1528" s="6" t="s">
        <v>1330</v>
      </c>
      <c r="E1528" s="6"/>
      <c r="F1528" s="6" t="s">
        <v>1879</v>
      </c>
      <c r="G1528" s="6" t="s">
        <v>4540</v>
      </c>
      <c r="H1528" s="6" t="s">
        <v>4541</v>
      </c>
      <c r="I1528" s="6" t="n">
        <v>38</v>
      </c>
      <c r="J1528" s="6"/>
      <c r="K1528" s="6" t="s">
        <v>4542</v>
      </c>
      <c r="L1528" s="7"/>
      <c r="M1528" s="7"/>
    </row>
    <row r="1529" customFormat="false" ht="23.85" hidden="false" customHeight="false" outlineLevel="0" collapsed="false">
      <c r="A1529" s="6" t="s">
        <v>2150</v>
      </c>
      <c r="B1529" s="6" t="s">
        <v>96</v>
      </c>
      <c r="C1529" s="6" t="s">
        <v>1362</v>
      </c>
      <c r="D1529" s="6" t="s">
        <v>1330</v>
      </c>
      <c r="E1529" s="6"/>
      <c r="F1529" s="6" t="s">
        <v>1879</v>
      </c>
      <c r="G1529" s="6" t="s">
        <v>4543</v>
      </c>
      <c r="H1529" s="6" t="s">
        <v>4544</v>
      </c>
      <c r="I1529" s="6" t="n">
        <v>28</v>
      </c>
      <c r="J1529" s="6"/>
      <c r="K1529" s="6" t="s">
        <v>4545</v>
      </c>
      <c r="L1529" s="7"/>
      <c r="M1529" s="7"/>
    </row>
    <row r="1530" customFormat="false" ht="35.05" hidden="false" customHeight="false" outlineLevel="0" collapsed="false">
      <c r="A1530" s="6" t="s">
        <v>2150</v>
      </c>
      <c r="B1530" s="6" t="s">
        <v>96</v>
      </c>
      <c r="C1530" s="6" t="s">
        <v>1362</v>
      </c>
      <c r="D1530" s="6" t="s">
        <v>1330</v>
      </c>
      <c r="E1530" s="6"/>
      <c r="F1530" s="6" t="s">
        <v>1879</v>
      </c>
      <c r="G1530" s="6" t="s">
        <v>4546</v>
      </c>
      <c r="H1530" s="6" t="s">
        <v>4547</v>
      </c>
      <c r="I1530" s="6" t="n">
        <v>46</v>
      </c>
      <c r="J1530" s="6"/>
      <c r="K1530" s="6" t="s">
        <v>4548</v>
      </c>
      <c r="L1530" s="7"/>
      <c r="M1530" s="7"/>
    </row>
    <row r="1531" customFormat="false" ht="35.05" hidden="false" customHeight="false" outlineLevel="0" collapsed="false">
      <c r="A1531" s="6" t="s">
        <v>2156</v>
      </c>
      <c r="B1531" s="6" t="s">
        <v>96</v>
      </c>
      <c r="C1531" s="6" t="s">
        <v>1362</v>
      </c>
      <c r="D1531" s="6" t="s">
        <v>1330</v>
      </c>
      <c r="E1531" s="6"/>
      <c r="F1531" s="6" t="s">
        <v>1885</v>
      </c>
      <c r="G1531" s="6" t="s">
        <v>4537</v>
      </c>
      <c r="H1531" s="6" t="s">
        <v>4569</v>
      </c>
      <c r="I1531" s="6" t="n">
        <v>98</v>
      </c>
      <c r="J1531" s="6" t="s">
        <v>83</v>
      </c>
      <c r="K1531" s="6" t="s">
        <v>4570</v>
      </c>
      <c r="L1531" s="7"/>
      <c r="M1531" s="7"/>
    </row>
    <row r="1532" customFormat="false" ht="23.85" hidden="false" customHeight="false" outlineLevel="0" collapsed="false">
      <c r="A1532" s="6" t="s">
        <v>2156</v>
      </c>
      <c r="B1532" s="6" t="s">
        <v>96</v>
      </c>
      <c r="C1532" s="6" t="s">
        <v>1362</v>
      </c>
      <c r="D1532" s="6" t="s">
        <v>1330</v>
      </c>
      <c r="E1532" s="6"/>
      <c r="F1532" s="6" t="s">
        <v>1885</v>
      </c>
      <c r="G1532" s="6" t="s">
        <v>4540</v>
      </c>
      <c r="H1532" s="6" t="s">
        <v>4541</v>
      </c>
      <c r="I1532" s="6" t="n">
        <v>38</v>
      </c>
      <c r="J1532" s="6"/>
      <c r="K1532" s="6" t="s">
        <v>4542</v>
      </c>
      <c r="L1532" s="7"/>
      <c r="M1532" s="7"/>
    </row>
    <row r="1533" customFormat="false" ht="23.85" hidden="false" customHeight="false" outlineLevel="0" collapsed="false">
      <c r="A1533" s="6" t="s">
        <v>2156</v>
      </c>
      <c r="B1533" s="6" t="s">
        <v>96</v>
      </c>
      <c r="C1533" s="6" t="s">
        <v>1362</v>
      </c>
      <c r="D1533" s="6" t="s">
        <v>1330</v>
      </c>
      <c r="E1533" s="6"/>
      <c r="F1533" s="6" t="s">
        <v>1885</v>
      </c>
      <c r="G1533" s="6" t="s">
        <v>4543</v>
      </c>
      <c r="H1533" s="6" t="s">
        <v>4544</v>
      </c>
      <c r="I1533" s="6" t="n">
        <v>28</v>
      </c>
      <c r="J1533" s="6"/>
      <c r="K1533" s="6" t="s">
        <v>4545</v>
      </c>
      <c r="L1533" s="7"/>
      <c r="M1533" s="7"/>
    </row>
    <row r="1534" customFormat="false" ht="35.05" hidden="false" customHeight="false" outlineLevel="0" collapsed="false">
      <c r="A1534" s="6" t="s">
        <v>2156</v>
      </c>
      <c r="B1534" s="6" t="s">
        <v>96</v>
      </c>
      <c r="C1534" s="6" t="s">
        <v>1362</v>
      </c>
      <c r="D1534" s="6" t="s">
        <v>1330</v>
      </c>
      <c r="E1534" s="6"/>
      <c r="F1534" s="6" t="s">
        <v>1885</v>
      </c>
      <c r="G1534" s="6" t="s">
        <v>4546</v>
      </c>
      <c r="H1534" s="6" t="s">
        <v>4547</v>
      </c>
      <c r="I1534" s="6" t="n">
        <v>46</v>
      </c>
      <c r="J1534" s="6"/>
      <c r="K1534" s="6" t="s">
        <v>4548</v>
      </c>
      <c r="L1534" s="7"/>
      <c r="M1534" s="7"/>
    </row>
    <row r="1535" customFormat="false" ht="35.05" hidden="false" customHeight="false" outlineLevel="0" collapsed="false">
      <c r="A1535" s="6" t="s">
        <v>2158</v>
      </c>
      <c r="B1535" s="6" t="s">
        <v>96</v>
      </c>
      <c r="C1535" s="6" t="s">
        <v>1362</v>
      </c>
      <c r="D1535" s="6" t="s">
        <v>1330</v>
      </c>
      <c r="E1535" s="6"/>
      <c r="F1535" s="6" t="s">
        <v>1888</v>
      </c>
      <c r="G1535" s="6" t="s">
        <v>4537</v>
      </c>
      <c r="H1535" s="6" t="s">
        <v>4569</v>
      </c>
      <c r="I1535" s="6" t="n">
        <v>98</v>
      </c>
      <c r="J1535" s="6" t="s">
        <v>83</v>
      </c>
      <c r="K1535" s="6" t="s">
        <v>4570</v>
      </c>
      <c r="L1535" s="7"/>
      <c r="M1535" s="7"/>
    </row>
    <row r="1536" customFormat="false" ht="23.85" hidden="false" customHeight="false" outlineLevel="0" collapsed="false">
      <c r="A1536" s="6" t="s">
        <v>2158</v>
      </c>
      <c r="B1536" s="6" t="s">
        <v>96</v>
      </c>
      <c r="C1536" s="6" t="s">
        <v>1362</v>
      </c>
      <c r="D1536" s="6" t="s">
        <v>1330</v>
      </c>
      <c r="E1536" s="6"/>
      <c r="F1536" s="6" t="s">
        <v>1888</v>
      </c>
      <c r="G1536" s="6" t="s">
        <v>4540</v>
      </c>
      <c r="H1536" s="6" t="s">
        <v>4541</v>
      </c>
      <c r="I1536" s="6" t="n">
        <v>38</v>
      </c>
      <c r="J1536" s="6"/>
      <c r="K1536" s="6" t="s">
        <v>4542</v>
      </c>
      <c r="L1536" s="7"/>
      <c r="M1536" s="7"/>
    </row>
    <row r="1537" customFormat="false" ht="23.85" hidden="false" customHeight="false" outlineLevel="0" collapsed="false">
      <c r="A1537" s="6" t="s">
        <v>2158</v>
      </c>
      <c r="B1537" s="6" t="s">
        <v>96</v>
      </c>
      <c r="C1537" s="6" t="s">
        <v>1362</v>
      </c>
      <c r="D1537" s="6" t="s">
        <v>1330</v>
      </c>
      <c r="E1537" s="6"/>
      <c r="F1537" s="6" t="s">
        <v>1888</v>
      </c>
      <c r="G1537" s="6" t="s">
        <v>4543</v>
      </c>
      <c r="H1537" s="6" t="s">
        <v>4544</v>
      </c>
      <c r="I1537" s="6" t="n">
        <v>28</v>
      </c>
      <c r="J1537" s="6"/>
      <c r="K1537" s="6" t="s">
        <v>4545</v>
      </c>
      <c r="L1537" s="7"/>
      <c r="M1537" s="7"/>
    </row>
    <row r="1538" customFormat="false" ht="35.05" hidden="false" customHeight="false" outlineLevel="0" collapsed="false">
      <c r="A1538" s="6" t="s">
        <v>2158</v>
      </c>
      <c r="B1538" s="6" t="s">
        <v>96</v>
      </c>
      <c r="C1538" s="6" t="s">
        <v>1362</v>
      </c>
      <c r="D1538" s="6" t="s">
        <v>1330</v>
      </c>
      <c r="E1538" s="6"/>
      <c r="F1538" s="6" t="s">
        <v>1888</v>
      </c>
      <c r="G1538" s="6" t="s">
        <v>4546</v>
      </c>
      <c r="H1538" s="6" t="s">
        <v>4547</v>
      </c>
      <c r="I1538" s="6" t="n">
        <v>46</v>
      </c>
      <c r="J1538" s="6"/>
      <c r="K1538" s="6" t="s">
        <v>4548</v>
      </c>
      <c r="L1538" s="7"/>
      <c r="M1538" s="7"/>
    </row>
    <row r="1539" customFormat="false" ht="35.05" hidden="false" customHeight="false" outlineLevel="0" collapsed="false">
      <c r="A1539" s="6" t="s">
        <v>2160</v>
      </c>
      <c r="B1539" s="6" t="s">
        <v>96</v>
      </c>
      <c r="C1539" s="6" t="s">
        <v>1362</v>
      </c>
      <c r="D1539" s="6" t="s">
        <v>1330</v>
      </c>
      <c r="E1539" s="6"/>
      <c r="F1539" s="6" t="s">
        <v>1891</v>
      </c>
      <c r="G1539" s="6" t="s">
        <v>4537</v>
      </c>
      <c r="H1539" s="6" t="s">
        <v>4569</v>
      </c>
      <c r="I1539" s="6" t="n">
        <v>98</v>
      </c>
      <c r="J1539" s="6" t="s">
        <v>83</v>
      </c>
      <c r="K1539" s="6" t="s">
        <v>4570</v>
      </c>
      <c r="L1539" s="7"/>
      <c r="M1539" s="7"/>
    </row>
    <row r="1540" customFormat="false" ht="23.85" hidden="false" customHeight="false" outlineLevel="0" collapsed="false">
      <c r="A1540" s="6" t="s">
        <v>2160</v>
      </c>
      <c r="B1540" s="6" t="s">
        <v>96</v>
      </c>
      <c r="C1540" s="6" t="s">
        <v>1362</v>
      </c>
      <c r="D1540" s="6" t="s">
        <v>1330</v>
      </c>
      <c r="E1540" s="6"/>
      <c r="F1540" s="6" t="s">
        <v>1891</v>
      </c>
      <c r="G1540" s="6" t="s">
        <v>4540</v>
      </c>
      <c r="H1540" s="6" t="s">
        <v>4541</v>
      </c>
      <c r="I1540" s="6" t="n">
        <v>38</v>
      </c>
      <c r="J1540" s="6"/>
      <c r="K1540" s="6" t="s">
        <v>4542</v>
      </c>
      <c r="L1540" s="7"/>
      <c r="M1540" s="7"/>
    </row>
    <row r="1541" customFormat="false" ht="23.85" hidden="false" customHeight="false" outlineLevel="0" collapsed="false">
      <c r="A1541" s="6" t="s">
        <v>2160</v>
      </c>
      <c r="B1541" s="6" t="s">
        <v>96</v>
      </c>
      <c r="C1541" s="6" t="s">
        <v>1362</v>
      </c>
      <c r="D1541" s="6" t="s">
        <v>1330</v>
      </c>
      <c r="E1541" s="6"/>
      <c r="F1541" s="6" t="s">
        <v>1891</v>
      </c>
      <c r="G1541" s="6" t="s">
        <v>4543</v>
      </c>
      <c r="H1541" s="6" t="s">
        <v>4544</v>
      </c>
      <c r="I1541" s="6" t="n">
        <v>28</v>
      </c>
      <c r="J1541" s="6"/>
      <c r="K1541" s="6" t="s">
        <v>4545</v>
      </c>
      <c r="L1541" s="7"/>
      <c r="M1541" s="7"/>
    </row>
    <row r="1542" customFormat="false" ht="35.05" hidden="false" customHeight="false" outlineLevel="0" collapsed="false">
      <c r="A1542" s="6" t="s">
        <v>2160</v>
      </c>
      <c r="B1542" s="6" t="s">
        <v>96</v>
      </c>
      <c r="C1542" s="6" t="s">
        <v>1362</v>
      </c>
      <c r="D1542" s="6" t="s">
        <v>1330</v>
      </c>
      <c r="E1542" s="6"/>
      <c r="F1542" s="6" t="s">
        <v>1891</v>
      </c>
      <c r="G1542" s="6" t="s">
        <v>4546</v>
      </c>
      <c r="H1542" s="6" t="s">
        <v>4547</v>
      </c>
      <c r="I1542" s="6" t="n">
        <v>46</v>
      </c>
      <c r="J1542" s="6"/>
      <c r="K1542" s="6" t="s">
        <v>4548</v>
      </c>
      <c r="L1542" s="7"/>
      <c r="M1542" s="7"/>
    </row>
    <row r="1543" customFormat="false" ht="35.05" hidden="false" customHeight="false" outlineLevel="0" collapsed="false">
      <c r="A1543" s="6" t="s">
        <v>2162</v>
      </c>
      <c r="B1543" s="6" t="s">
        <v>96</v>
      </c>
      <c r="C1543" s="6" t="s">
        <v>1362</v>
      </c>
      <c r="D1543" s="6" t="s">
        <v>1330</v>
      </c>
      <c r="E1543" s="6"/>
      <c r="F1543" s="6" t="s">
        <v>1894</v>
      </c>
      <c r="G1543" s="6" t="s">
        <v>4537</v>
      </c>
      <c r="H1543" s="6" t="s">
        <v>4569</v>
      </c>
      <c r="I1543" s="6" t="n">
        <v>98</v>
      </c>
      <c r="J1543" s="6" t="s">
        <v>83</v>
      </c>
      <c r="K1543" s="6" t="s">
        <v>4570</v>
      </c>
      <c r="L1543" s="7"/>
      <c r="M1543" s="7"/>
    </row>
    <row r="1544" customFormat="false" ht="23.85" hidden="false" customHeight="false" outlineLevel="0" collapsed="false">
      <c r="A1544" s="6" t="s">
        <v>2162</v>
      </c>
      <c r="B1544" s="6" t="s">
        <v>96</v>
      </c>
      <c r="C1544" s="6" t="s">
        <v>1362</v>
      </c>
      <c r="D1544" s="6" t="s">
        <v>1330</v>
      </c>
      <c r="E1544" s="6"/>
      <c r="F1544" s="6" t="s">
        <v>1894</v>
      </c>
      <c r="G1544" s="6" t="s">
        <v>4540</v>
      </c>
      <c r="H1544" s="6" t="s">
        <v>4541</v>
      </c>
      <c r="I1544" s="6" t="n">
        <v>38</v>
      </c>
      <c r="J1544" s="6"/>
      <c r="K1544" s="6" t="s">
        <v>4542</v>
      </c>
      <c r="L1544" s="7"/>
      <c r="M1544" s="7"/>
    </row>
    <row r="1545" customFormat="false" ht="23.85" hidden="false" customHeight="false" outlineLevel="0" collapsed="false">
      <c r="A1545" s="6" t="s">
        <v>2162</v>
      </c>
      <c r="B1545" s="6" t="s">
        <v>96</v>
      </c>
      <c r="C1545" s="6" t="s">
        <v>1362</v>
      </c>
      <c r="D1545" s="6" t="s">
        <v>1330</v>
      </c>
      <c r="E1545" s="6"/>
      <c r="F1545" s="6" t="s">
        <v>1894</v>
      </c>
      <c r="G1545" s="6" t="s">
        <v>4543</v>
      </c>
      <c r="H1545" s="6" t="s">
        <v>4544</v>
      </c>
      <c r="I1545" s="6" t="n">
        <v>28</v>
      </c>
      <c r="J1545" s="6"/>
      <c r="K1545" s="6" t="s">
        <v>4545</v>
      </c>
      <c r="L1545" s="7"/>
      <c r="M1545" s="7"/>
    </row>
    <row r="1546" customFormat="false" ht="35.05" hidden="false" customHeight="false" outlineLevel="0" collapsed="false">
      <c r="A1546" s="6" t="s">
        <v>2162</v>
      </c>
      <c r="B1546" s="6" t="s">
        <v>96</v>
      </c>
      <c r="C1546" s="6" t="s">
        <v>1362</v>
      </c>
      <c r="D1546" s="6" t="s">
        <v>1330</v>
      </c>
      <c r="E1546" s="6"/>
      <c r="F1546" s="6" t="s">
        <v>1894</v>
      </c>
      <c r="G1546" s="6" t="s">
        <v>4546</v>
      </c>
      <c r="H1546" s="6" t="s">
        <v>4547</v>
      </c>
      <c r="I1546" s="6" t="n">
        <v>46</v>
      </c>
      <c r="J1546" s="6"/>
      <c r="K1546" s="6" t="s">
        <v>4548</v>
      </c>
      <c r="L1546" s="7"/>
      <c r="M1546" s="7"/>
    </row>
    <row r="1547" customFormat="false" ht="35.05" hidden="false" customHeight="false" outlineLevel="0" collapsed="false">
      <c r="A1547" s="6" t="s">
        <v>2164</v>
      </c>
      <c r="B1547" s="6" t="s">
        <v>96</v>
      </c>
      <c r="C1547" s="6" t="s">
        <v>1362</v>
      </c>
      <c r="D1547" s="6" t="s">
        <v>1330</v>
      </c>
      <c r="E1547" s="6"/>
      <c r="F1547" s="6" t="s">
        <v>1897</v>
      </c>
      <c r="G1547" s="6" t="s">
        <v>4537</v>
      </c>
      <c r="H1547" s="6" t="s">
        <v>4569</v>
      </c>
      <c r="I1547" s="6" t="n">
        <v>98</v>
      </c>
      <c r="J1547" s="6" t="s">
        <v>83</v>
      </c>
      <c r="K1547" s="6" t="s">
        <v>4570</v>
      </c>
      <c r="L1547" s="7"/>
      <c r="M1547" s="7"/>
    </row>
    <row r="1548" customFormat="false" ht="23.85" hidden="false" customHeight="false" outlineLevel="0" collapsed="false">
      <c r="A1548" s="6" t="s">
        <v>2164</v>
      </c>
      <c r="B1548" s="6" t="s">
        <v>96</v>
      </c>
      <c r="C1548" s="6" t="s">
        <v>1362</v>
      </c>
      <c r="D1548" s="6" t="s">
        <v>1330</v>
      </c>
      <c r="E1548" s="6"/>
      <c r="F1548" s="6" t="s">
        <v>1897</v>
      </c>
      <c r="G1548" s="6" t="s">
        <v>4540</v>
      </c>
      <c r="H1548" s="6" t="s">
        <v>4541</v>
      </c>
      <c r="I1548" s="6" t="n">
        <v>38</v>
      </c>
      <c r="J1548" s="6"/>
      <c r="K1548" s="6" t="s">
        <v>4542</v>
      </c>
      <c r="L1548" s="7"/>
      <c r="M1548" s="7"/>
    </row>
    <row r="1549" customFormat="false" ht="23.85" hidden="false" customHeight="false" outlineLevel="0" collapsed="false">
      <c r="A1549" s="6" t="s">
        <v>2164</v>
      </c>
      <c r="B1549" s="6" t="s">
        <v>96</v>
      </c>
      <c r="C1549" s="6" t="s">
        <v>1362</v>
      </c>
      <c r="D1549" s="6" t="s">
        <v>1330</v>
      </c>
      <c r="E1549" s="6"/>
      <c r="F1549" s="6" t="s">
        <v>1897</v>
      </c>
      <c r="G1549" s="6" t="s">
        <v>4543</v>
      </c>
      <c r="H1549" s="6" t="s">
        <v>4544</v>
      </c>
      <c r="I1549" s="6" t="n">
        <v>28</v>
      </c>
      <c r="J1549" s="6"/>
      <c r="K1549" s="6" t="s">
        <v>4545</v>
      </c>
      <c r="L1549" s="7"/>
      <c r="M1549" s="7"/>
    </row>
    <row r="1550" customFormat="false" ht="35.05" hidden="false" customHeight="false" outlineLevel="0" collapsed="false">
      <c r="A1550" s="6" t="s">
        <v>2164</v>
      </c>
      <c r="B1550" s="6" t="s">
        <v>96</v>
      </c>
      <c r="C1550" s="6" t="s">
        <v>1362</v>
      </c>
      <c r="D1550" s="6" t="s">
        <v>1330</v>
      </c>
      <c r="E1550" s="6"/>
      <c r="F1550" s="6" t="s">
        <v>1897</v>
      </c>
      <c r="G1550" s="6" t="s">
        <v>4546</v>
      </c>
      <c r="H1550" s="6" t="s">
        <v>4547</v>
      </c>
      <c r="I1550" s="6" t="n">
        <v>46</v>
      </c>
      <c r="J1550" s="6"/>
      <c r="K1550" s="6" t="s">
        <v>4548</v>
      </c>
      <c r="L1550" s="7"/>
      <c r="M1550" s="7"/>
    </row>
    <row r="1551" customFormat="false" ht="35.05" hidden="false" customHeight="false" outlineLevel="0" collapsed="false">
      <c r="A1551" s="6" t="s">
        <v>2166</v>
      </c>
      <c r="B1551" s="6" t="s">
        <v>96</v>
      </c>
      <c r="C1551" s="6" t="s">
        <v>1362</v>
      </c>
      <c r="D1551" s="6" t="s">
        <v>1330</v>
      </c>
      <c r="E1551" s="6"/>
      <c r="F1551" s="6" t="s">
        <v>1900</v>
      </c>
      <c r="G1551" s="6" t="s">
        <v>4537</v>
      </c>
      <c r="H1551" s="6" t="s">
        <v>4569</v>
      </c>
      <c r="I1551" s="6" t="n">
        <v>98</v>
      </c>
      <c r="J1551" s="6" t="s">
        <v>83</v>
      </c>
      <c r="K1551" s="6" t="s">
        <v>4570</v>
      </c>
      <c r="L1551" s="7"/>
      <c r="M1551" s="7"/>
    </row>
    <row r="1552" customFormat="false" ht="23.85" hidden="false" customHeight="false" outlineLevel="0" collapsed="false">
      <c r="A1552" s="6" t="s">
        <v>2166</v>
      </c>
      <c r="B1552" s="6" t="s">
        <v>96</v>
      </c>
      <c r="C1552" s="6" t="s">
        <v>1362</v>
      </c>
      <c r="D1552" s="6" t="s">
        <v>1330</v>
      </c>
      <c r="E1552" s="6"/>
      <c r="F1552" s="6" t="s">
        <v>1900</v>
      </c>
      <c r="G1552" s="6" t="s">
        <v>4540</v>
      </c>
      <c r="H1552" s="6" t="s">
        <v>4541</v>
      </c>
      <c r="I1552" s="6" t="n">
        <v>38</v>
      </c>
      <c r="J1552" s="6"/>
      <c r="K1552" s="6" t="s">
        <v>4542</v>
      </c>
      <c r="L1552" s="7"/>
      <c r="M1552" s="7"/>
    </row>
    <row r="1553" customFormat="false" ht="23.85" hidden="false" customHeight="false" outlineLevel="0" collapsed="false">
      <c r="A1553" s="6" t="s">
        <v>2166</v>
      </c>
      <c r="B1553" s="6" t="s">
        <v>96</v>
      </c>
      <c r="C1553" s="6" t="s">
        <v>1362</v>
      </c>
      <c r="D1553" s="6" t="s">
        <v>1330</v>
      </c>
      <c r="E1553" s="6"/>
      <c r="F1553" s="6" t="s">
        <v>1900</v>
      </c>
      <c r="G1553" s="6" t="s">
        <v>4543</v>
      </c>
      <c r="H1553" s="6" t="s">
        <v>4544</v>
      </c>
      <c r="I1553" s="6" t="n">
        <v>28</v>
      </c>
      <c r="J1553" s="6"/>
      <c r="K1553" s="6" t="s">
        <v>4545</v>
      </c>
      <c r="L1553" s="7"/>
      <c r="M1553" s="7"/>
    </row>
    <row r="1554" customFormat="false" ht="35.05" hidden="false" customHeight="false" outlineLevel="0" collapsed="false">
      <c r="A1554" s="6" t="s">
        <v>2166</v>
      </c>
      <c r="B1554" s="6" t="s">
        <v>96</v>
      </c>
      <c r="C1554" s="6" t="s">
        <v>1362</v>
      </c>
      <c r="D1554" s="6" t="s">
        <v>1330</v>
      </c>
      <c r="E1554" s="6"/>
      <c r="F1554" s="6" t="s">
        <v>1900</v>
      </c>
      <c r="G1554" s="6" t="s">
        <v>4546</v>
      </c>
      <c r="H1554" s="6" t="s">
        <v>4547</v>
      </c>
      <c r="I1554" s="6" t="n">
        <v>46</v>
      </c>
      <c r="J1554" s="6"/>
      <c r="K1554" s="6" t="s">
        <v>4548</v>
      </c>
      <c r="L1554" s="7"/>
      <c r="M1554" s="7"/>
    </row>
    <row r="1555" customFormat="false" ht="35.05" hidden="false" customHeight="false" outlineLevel="0" collapsed="false">
      <c r="A1555" s="6" t="s">
        <v>2168</v>
      </c>
      <c r="B1555" s="6" t="s">
        <v>96</v>
      </c>
      <c r="C1555" s="6" t="s">
        <v>1362</v>
      </c>
      <c r="D1555" s="6" t="s">
        <v>1330</v>
      </c>
      <c r="E1555" s="6"/>
      <c r="F1555" s="6" t="s">
        <v>1903</v>
      </c>
      <c r="G1555" s="6" t="s">
        <v>4537</v>
      </c>
      <c r="H1555" s="6" t="s">
        <v>4569</v>
      </c>
      <c r="I1555" s="6" t="n">
        <v>98</v>
      </c>
      <c r="J1555" s="6" t="s">
        <v>83</v>
      </c>
      <c r="K1555" s="6" t="s">
        <v>4570</v>
      </c>
      <c r="L1555" s="7"/>
      <c r="M1555" s="7"/>
    </row>
    <row r="1556" customFormat="false" ht="23.85" hidden="false" customHeight="false" outlineLevel="0" collapsed="false">
      <c r="A1556" s="6" t="s">
        <v>2168</v>
      </c>
      <c r="B1556" s="6" t="s">
        <v>96</v>
      </c>
      <c r="C1556" s="6" t="s">
        <v>1362</v>
      </c>
      <c r="D1556" s="6" t="s">
        <v>1330</v>
      </c>
      <c r="E1556" s="6"/>
      <c r="F1556" s="6" t="s">
        <v>1903</v>
      </c>
      <c r="G1556" s="6" t="s">
        <v>4540</v>
      </c>
      <c r="H1556" s="6" t="s">
        <v>4541</v>
      </c>
      <c r="I1556" s="6" t="n">
        <v>38</v>
      </c>
      <c r="J1556" s="6"/>
      <c r="K1556" s="6" t="s">
        <v>4542</v>
      </c>
      <c r="L1556" s="7"/>
      <c r="M1556" s="7"/>
    </row>
    <row r="1557" customFormat="false" ht="23.85" hidden="false" customHeight="false" outlineLevel="0" collapsed="false">
      <c r="A1557" s="6" t="s">
        <v>2168</v>
      </c>
      <c r="B1557" s="6" t="s">
        <v>96</v>
      </c>
      <c r="C1557" s="6" t="s">
        <v>1362</v>
      </c>
      <c r="D1557" s="6" t="s">
        <v>1330</v>
      </c>
      <c r="E1557" s="6"/>
      <c r="F1557" s="6" t="s">
        <v>1903</v>
      </c>
      <c r="G1557" s="6" t="s">
        <v>4543</v>
      </c>
      <c r="H1557" s="6" t="s">
        <v>4544</v>
      </c>
      <c r="I1557" s="6" t="n">
        <v>28</v>
      </c>
      <c r="J1557" s="6"/>
      <c r="K1557" s="6" t="s">
        <v>4545</v>
      </c>
      <c r="L1557" s="7"/>
      <c r="M1557" s="7"/>
    </row>
    <row r="1558" customFormat="false" ht="35.05" hidden="false" customHeight="false" outlineLevel="0" collapsed="false">
      <c r="A1558" s="6" t="s">
        <v>2168</v>
      </c>
      <c r="B1558" s="6" t="s">
        <v>96</v>
      </c>
      <c r="C1558" s="6" t="s">
        <v>1362</v>
      </c>
      <c r="D1558" s="6" t="s">
        <v>1330</v>
      </c>
      <c r="E1558" s="6"/>
      <c r="F1558" s="6" t="s">
        <v>1903</v>
      </c>
      <c r="G1558" s="6" t="s">
        <v>4546</v>
      </c>
      <c r="H1558" s="6" t="s">
        <v>4547</v>
      </c>
      <c r="I1558" s="6" t="n">
        <v>46</v>
      </c>
      <c r="J1558" s="6"/>
      <c r="K1558" s="6" t="s">
        <v>4548</v>
      </c>
      <c r="L1558" s="7"/>
      <c r="M1558" s="7"/>
    </row>
    <row r="1559" customFormat="false" ht="35.05" hidden="false" customHeight="false" outlineLevel="0" collapsed="false">
      <c r="A1559" s="6" t="s">
        <v>2170</v>
      </c>
      <c r="B1559" s="6" t="s">
        <v>96</v>
      </c>
      <c r="C1559" s="6" t="s">
        <v>1362</v>
      </c>
      <c r="D1559" s="6" t="s">
        <v>1330</v>
      </c>
      <c r="E1559" s="6"/>
      <c r="F1559" s="6" t="s">
        <v>1906</v>
      </c>
      <c r="G1559" s="6" t="s">
        <v>4537</v>
      </c>
      <c r="H1559" s="6" t="s">
        <v>4569</v>
      </c>
      <c r="I1559" s="6" t="n">
        <v>98</v>
      </c>
      <c r="J1559" s="6" t="s">
        <v>83</v>
      </c>
      <c r="K1559" s="6" t="s">
        <v>4570</v>
      </c>
      <c r="L1559" s="7"/>
      <c r="M1559" s="7"/>
    </row>
    <row r="1560" customFormat="false" ht="23.85" hidden="false" customHeight="false" outlineLevel="0" collapsed="false">
      <c r="A1560" s="6" t="s">
        <v>2170</v>
      </c>
      <c r="B1560" s="6" t="s">
        <v>96</v>
      </c>
      <c r="C1560" s="6" t="s">
        <v>1362</v>
      </c>
      <c r="D1560" s="6" t="s">
        <v>1330</v>
      </c>
      <c r="E1560" s="6"/>
      <c r="F1560" s="6" t="s">
        <v>1906</v>
      </c>
      <c r="G1560" s="6" t="s">
        <v>4540</v>
      </c>
      <c r="H1560" s="6" t="s">
        <v>4541</v>
      </c>
      <c r="I1560" s="6" t="n">
        <v>38</v>
      </c>
      <c r="J1560" s="6"/>
      <c r="K1560" s="6" t="s">
        <v>4542</v>
      </c>
      <c r="L1560" s="7"/>
      <c r="M1560" s="7"/>
    </row>
    <row r="1561" customFormat="false" ht="23.85" hidden="false" customHeight="false" outlineLevel="0" collapsed="false">
      <c r="A1561" s="6" t="s">
        <v>2170</v>
      </c>
      <c r="B1561" s="6" t="s">
        <v>96</v>
      </c>
      <c r="C1561" s="6" t="s">
        <v>1362</v>
      </c>
      <c r="D1561" s="6" t="s">
        <v>1330</v>
      </c>
      <c r="E1561" s="6"/>
      <c r="F1561" s="6" t="s">
        <v>1906</v>
      </c>
      <c r="G1561" s="6" t="s">
        <v>4543</v>
      </c>
      <c r="H1561" s="6" t="s">
        <v>4544</v>
      </c>
      <c r="I1561" s="6" t="n">
        <v>28</v>
      </c>
      <c r="J1561" s="6"/>
      <c r="K1561" s="6" t="s">
        <v>4545</v>
      </c>
      <c r="L1561" s="7"/>
      <c r="M1561" s="7"/>
    </row>
    <row r="1562" customFormat="false" ht="35.05" hidden="false" customHeight="false" outlineLevel="0" collapsed="false">
      <c r="A1562" s="6" t="s">
        <v>2170</v>
      </c>
      <c r="B1562" s="6" t="s">
        <v>96</v>
      </c>
      <c r="C1562" s="6" t="s">
        <v>1362</v>
      </c>
      <c r="D1562" s="6" t="s">
        <v>1330</v>
      </c>
      <c r="E1562" s="6"/>
      <c r="F1562" s="6" t="s">
        <v>1906</v>
      </c>
      <c r="G1562" s="6" t="s">
        <v>4546</v>
      </c>
      <c r="H1562" s="6" t="s">
        <v>4547</v>
      </c>
      <c r="I1562" s="6" t="n">
        <v>46</v>
      </c>
      <c r="J1562" s="6"/>
      <c r="K1562" s="6" t="s">
        <v>4548</v>
      </c>
      <c r="L1562" s="7"/>
      <c r="M1562" s="7"/>
    </row>
    <row r="1563" customFormat="false" ht="35.05" hidden="false" customHeight="false" outlineLevel="0" collapsed="false">
      <c r="A1563" s="6" t="s">
        <v>2172</v>
      </c>
      <c r="B1563" s="6" t="s">
        <v>96</v>
      </c>
      <c r="C1563" s="6" t="s">
        <v>1362</v>
      </c>
      <c r="D1563" s="6" t="s">
        <v>1330</v>
      </c>
      <c r="E1563" s="6"/>
      <c r="F1563" s="6" t="s">
        <v>1909</v>
      </c>
      <c r="G1563" s="6" t="s">
        <v>4537</v>
      </c>
      <c r="H1563" s="6" t="s">
        <v>4569</v>
      </c>
      <c r="I1563" s="6" t="n">
        <v>98</v>
      </c>
      <c r="J1563" s="6" t="s">
        <v>83</v>
      </c>
      <c r="K1563" s="6" t="s">
        <v>4570</v>
      </c>
      <c r="L1563" s="7"/>
      <c r="M1563" s="7"/>
    </row>
    <row r="1564" customFormat="false" ht="23.85" hidden="false" customHeight="false" outlineLevel="0" collapsed="false">
      <c r="A1564" s="6" t="s">
        <v>2172</v>
      </c>
      <c r="B1564" s="6" t="s">
        <v>96</v>
      </c>
      <c r="C1564" s="6" t="s">
        <v>1362</v>
      </c>
      <c r="D1564" s="6" t="s">
        <v>1330</v>
      </c>
      <c r="E1564" s="6"/>
      <c r="F1564" s="6" t="s">
        <v>1909</v>
      </c>
      <c r="G1564" s="6" t="s">
        <v>4540</v>
      </c>
      <c r="H1564" s="6" t="s">
        <v>4541</v>
      </c>
      <c r="I1564" s="6" t="n">
        <v>38</v>
      </c>
      <c r="J1564" s="6"/>
      <c r="K1564" s="6" t="s">
        <v>4542</v>
      </c>
      <c r="L1564" s="7"/>
      <c r="M1564" s="7"/>
    </row>
    <row r="1565" customFormat="false" ht="23.85" hidden="false" customHeight="false" outlineLevel="0" collapsed="false">
      <c r="A1565" s="6" t="s">
        <v>2172</v>
      </c>
      <c r="B1565" s="6" t="s">
        <v>96</v>
      </c>
      <c r="C1565" s="6" t="s">
        <v>1362</v>
      </c>
      <c r="D1565" s="6" t="s">
        <v>1330</v>
      </c>
      <c r="E1565" s="6"/>
      <c r="F1565" s="6" t="s">
        <v>1909</v>
      </c>
      <c r="G1565" s="6" t="s">
        <v>4543</v>
      </c>
      <c r="H1565" s="6" t="s">
        <v>4544</v>
      </c>
      <c r="I1565" s="6" t="n">
        <v>28</v>
      </c>
      <c r="J1565" s="6"/>
      <c r="K1565" s="6" t="s">
        <v>4545</v>
      </c>
      <c r="L1565" s="7"/>
      <c r="M1565" s="7"/>
    </row>
    <row r="1566" customFormat="false" ht="35.05" hidden="false" customHeight="false" outlineLevel="0" collapsed="false">
      <c r="A1566" s="6" t="s">
        <v>2172</v>
      </c>
      <c r="B1566" s="6" t="s">
        <v>96</v>
      </c>
      <c r="C1566" s="6" t="s">
        <v>1362</v>
      </c>
      <c r="D1566" s="6" t="s">
        <v>1330</v>
      </c>
      <c r="E1566" s="6"/>
      <c r="F1566" s="6" t="s">
        <v>1909</v>
      </c>
      <c r="G1566" s="6" t="s">
        <v>4546</v>
      </c>
      <c r="H1566" s="6" t="s">
        <v>4547</v>
      </c>
      <c r="I1566" s="6" t="n">
        <v>46</v>
      </c>
      <c r="J1566" s="6"/>
      <c r="K1566" s="6" t="s">
        <v>4548</v>
      </c>
      <c r="L1566" s="7"/>
      <c r="M1566" s="7"/>
    </row>
    <row r="1567" customFormat="false" ht="23.85" hidden="false" customHeight="false" outlineLevel="0" collapsed="false">
      <c r="A1567" s="6" t="s">
        <v>2174</v>
      </c>
      <c r="B1567" s="6" t="s">
        <v>110</v>
      </c>
      <c r="C1567" s="6" t="s">
        <v>1362</v>
      </c>
      <c r="D1567" s="6" t="s">
        <v>1330</v>
      </c>
      <c r="E1567" s="6"/>
      <c r="F1567" s="6" t="s">
        <v>1879</v>
      </c>
      <c r="G1567" s="6" t="s">
        <v>4537</v>
      </c>
      <c r="H1567" s="6" t="s">
        <v>4571</v>
      </c>
      <c r="I1567" s="6" t="n">
        <v>98</v>
      </c>
      <c r="J1567" s="6" t="s">
        <v>83</v>
      </c>
      <c r="K1567" s="6" t="s">
        <v>4572</v>
      </c>
      <c r="L1567" s="7"/>
      <c r="M1567" s="7"/>
    </row>
    <row r="1568" customFormat="false" ht="23.85" hidden="false" customHeight="false" outlineLevel="0" collapsed="false">
      <c r="A1568" s="6" t="s">
        <v>2174</v>
      </c>
      <c r="B1568" s="6" t="s">
        <v>110</v>
      </c>
      <c r="C1568" s="6" t="s">
        <v>1362</v>
      </c>
      <c r="D1568" s="6" t="s">
        <v>1330</v>
      </c>
      <c r="E1568" s="6"/>
      <c r="F1568" s="6" t="s">
        <v>1879</v>
      </c>
      <c r="G1568" s="6" t="s">
        <v>4540</v>
      </c>
      <c r="H1568" s="6" t="s">
        <v>4541</v>
      </c>
      <c r="I1568" s="6" t="n">
        <v>38</v>
      </c>
      <c r="J1568" s="6"/>
      <c r="K1568" s="6" t="s">
        <v>4542</v>
      </c>
      <c r="L1568" s="7"/>
      <c r="M1568" s="7"/>
    </row>
    <row r="1569" customFormat="false" ht="23.85" hidden="false" customHeight="false" outlineLevel="0" collapsed="false">
      <c r="A1569" s="6" t="s">
        <v>2174</v>
      </c>
      <c r="B1569" s="6" t="s">
        <v>110</v>
      </c>
      <c r="C1569" s="6" t="s">
        <v>1362</v>
      </c>
      <c r="D1569" s="6" t="s">
        <v>1330</v>
      </c>
      <c r="E1569" s="6"/>
      <c r="F1569" s="6" t="s">
        <v>1879</v>
      </c>
      <c r="G1569" s="6" t="s">
        <v>4543</v>
      </c>
      <c r="H1569" s="6" t="s">
        <v>4544</v>
      </c>
      <c r="I1569" s="6" t="n">
        <v>28</v>
      </c>
      <c r="J1569" s="6"/>
      <c r="K1569" s="6" t="s">
        <v>4545</v>
      </c>
      <c r="L1569" s="7"/>
      <c r="M1569" s="7"/>
    </row>
    <row r="1570" customFormat="false" ht="35.05" hidden="false" customHeight="false" outlineLevel="0" collapsed="false">
      <c r="A1570" s="6" t="s">
        <v>2174</v>
      </c>
      <c r="B1570" s="6" t="s">
        <v>110</v>
      </c>
      <c r="C1570" s="6" t="s">
        <v>1362</v>
      </c>
      <c r="D1570" s="6" t="s">
        <v>1330</v>
      </c>
      <c r="E1570" s="6"/>
      <c r="F1570" s="6" t="s">
        <v>1879</v>
      </c>
      <c r="G1570" s="6" t="s">
        <v>4546</v>
      </c>
      <c r="H1570" s="6" t="s">
        <v>4547</v>
      </c>
      <c r="I1570" s="6" t="n">
        <v>46</v>
      </c>
      <c r="J1570" s="6"/>
      <c r="K1570" s="6" t="s">
        <v>4548</v>
      </c>
      <c r="L1570" s="7"/>
      <c r="M1570" s="7"/>
    </row>
    <row r="1571" customFormat="false" ht="23.85" hidden="false" customHeight="false" outlineLevel="0" collapsed="false">
      <c r="A1571" s="6" t="s">
        <v>2180</v>
      </c>
      <c r="B1571" s="6" t="s">
        <v>110</v>
      </c>
      <c r="C1571" s="6" t="s">
        <v>1362</v>
      </c>
      <c r="D1571" s="6" t="s">
        <v>1330</v>
      </c>
      <c r="E1571" s="6"/>
      <c r="F1571" s="6" t="s">
        <v>1885</v>
      </c>
      <c r="G1571" s="6" t="s">
        <v>4537</v>
      </c>
      <c r="H1571" s="6" t="s">
        <v>4571</v>
      </c>
      <c r="I1571" s="6" t="n">
        <v>98</v>
      </c>
      <c r="J1571" s="6" t="s">
        <v>83</v>
      </c>
      <c r="K1571" s="6" t="s">
        <v>4572</v>
      </c>
      <c r="L1571" s="7"/>
      <c r="M1571" s="7"/>
    </row>
    <row r="1572" customFormat="false" ht="23.85" hidden="false" customHeight="false" outlineLevel="0" collapsed="false">
      <c r="A1572" s="6" t="s">
        <v>2180</v>
      </c>
      <c r="B1572" s="6" t="s">
        <v>110</v>
      </c>
      <c r="C1572" s="6" t="s">
        <v>1362</v>
      </c>
      <c r="D1572" s="6" t="s">
        <v>1330</v>
      </c>
      <c r="E1572" s="6"/>
      <c r="F1572" s="6" t="s">
        <v>1885</v>
      </c>
      <c r="G1572" s="6" t="s">
        <v>4540</v>
      </c>
      <c r="H1572" s="6" t="s">
        <v>4541</v>
      </c>
      <c r="I1572" s="6" t="n">
        <v>38</v>
      </c>
      <c r="J1572" s="6"/>
      <c r="K1572" s="6" t="s">
        <v>4542</v>
      </c>
      <c r="L1572" s="7"/>
      <c r="M1572" s="7"/>
    </row>
    <row r="1573" customFormat="false" ht="23.85" hidden="false" customHeight="false" outlineLevel="0" collapsed="false">
      <c r="A1573" s="6" t="s">
        <v>2180</v>
      </c>
      <c r="B1573" s="6" t="s">
        <v>110</v>
      </c>
      <c r="C1573" s="6" t="s">
        <v>1362</v>
      </c>
      <c r="D1573" s="6" t="s">
        <v>1330</v>
      </c>
      <c r="E1573" s="6"/>
      <c r="F1573" s="6" t="s">
        <v>1885</v>
      </c>
      <c r="G1573" s="6" t="s">
        <v>4543</v>
      </c>
      <c r="H1573" s="6" t="s">
        <v>4544</v>
      </c>
      <c r="I1573" s="6" t="n">
        <v>28</v>
      </c>
      <c r="J1573" s="6"/>
      <c r="K1573" s="6" t="s">
        <v>4545</v>
      </c>
      <c r="L1573" s="7"/>
      <c r="M1573" s="7"/>
    </row>
    <row r="1574" customFormat="false" ht="35.05" hidden="false" customHeight="false" outlineLevel="0" collapsed="false">
      <c r="A1574" s="6" t="s">
        <v>2180</v>
      </c>
      <c r="B1574" s="6" t="s">
        <v>110</v>
      </c>
      <c r="C1574" s="6" t="s">
        <v>1362</v>
      </c>
      <c r="D1574" s="6" t="s">
        <v>1330</v>
      </c>
      <c r="E1574" s="6"/>
      <c r="F1574" s="6" t="s">
        <v>1885</v>
      </c>
      <c r="G1574" s="6" t="s">
        <v>4546</v>
      </c>
      <c r="H1574" s="6" t="s">
        <v>4547</v>
      </c>
      <c r="I1574" s="6" t="n">
        <v>46</v>
      </c>
      <c r="J1574" s="6"/>
      <c r="K1574" s="6" t="s">
        <v>4548</v>
      </c>
      <c r="L1574" s="7"/>
      <c r="M1574" s="7"/>
    </row>
    <row r="1575" customFormat="false" ht="23.85" hidden="false" customHeight="false" outlineLevel="0" collapsed="false">
      <c r="A1575" s="6" t="s">
        <v>2182</v>
      </c>
      <c r="B1575" s="6" t="s">
        <v>110</v>
      </c>
      <c r="C1575" s="6" t="s">
        <v>1362</v>
      </c>
      <c r="D1575" s="6" t="s">
        <v>1330</v>
      </c>
      <c r="E1575" s="6"/>
      <c r="F1575" s="6" t="s">
        <v>1888</v>
      </c>
      <c r="G1575" s="6" t="s">
        <v>4537</v>
      </c>
      <c r="H1575" s="6" t="s">
        <v>4571</v>
      </c>
      <c r="I1575" s="6" t="n">
        <v>98</v>
      </c>
      <c r="J1575" s="6" t="s">
        <v>83</v>
      </c>
      <c r="K1575" s="6" t="s">
        <v>4572</v>
      </c>
      <c r="L1575" s="7"/>
      <c r="M1575" s="7"/>
    </row>
    <row r="1576" customFormat="false" ht="23.85" hidden="false" customHeight="false" outlineLevel="0" collapsed="false">
      <c r="A1576" s="6" t="s">
        <v>2182</v>
      </c>
      <c r="B1576" s="6" t="s">
        <v>110</v>
      </c>
      <c r="C1576" s="6" t="s">
        <v>1362</v>
      </c>
      <c r="D1576" s="6" t="s">
        <v>1330</v>
      </c>
      <c r="E1576" s="6"/>
      <c r="F1576" s="6" t="s">
        <v>1888</v>
      </c>
      <c r="G1576" s="6" t="s">
        <v>4540</v>
      </c>
      <c r="H1576" s="6" t="s">
        <v>4541</v>
      </c>
      <c r="I1576" s="6" t="n">
        <v>38</v>
      </c>
      <c r="J1576" s="6"/>
      <c r="K1576" s="6" t="s">
        <v>4542</v>
      </c>
      <c r="L1576" s="7"/>
      <c r="M1576" s="7"/>
    </row>
    <row r="1577" customFormat="false" ht="23.85" hidden="false" customHeight="false" outlineLevel="0" collapsed="false">
      <c r="A1577" s="6" t="s">
        <v>2182</v>
      </c>
      <c r="B1577" s="6" t="s">
        <v>110</v>
      </c>
      <c r="C1577" s="6" t="s">
        <v>1362</v>
      </c>
      <c r="D1577" s="6" t="s">
        <v>1330</v>
      </c>
      <c r="E1577" s="6"/>
      <c r="F1577" s="6" t="s">
        <v>1888</v>
      </c>
      <c r="G1577" s="6" t="s">
        <v>4543</v>
      </c>
      <c r="H1577" s="6" t="s">
        <v>4544</v>
      </c>
      <c r="I1577" s="6" t="n">
        <v>28</v>
      </c>
      <c r="J1577" s="6"/>
      <c r="K1577" s="6" t="s">
        <v>4545</v>
      </c>
      <c r="L1577" s="7"/>
      <c r="M1577" s="7"/>
    </row>
    <row r="1578" customFormat="false" ht="35.05" hidden="false" customHeight="false" outlineLevel="0" collapsed="false">
      <c r="A1578" s="6" t="s">
        <v>2182</v>
      </c>
      <c r="B1578" s="6" t="s">
        <v>110</v>
      </c>
      <c r="C1578" s="6" t="s">
        <v>1362</v>
      </c>
      <c r="D1578" s="6" t="s">
        <v>1330</v>
      </c>
      <c r="E1578" s="6"/>
      <c r="F1578" s="6" t="s">
        <v>1888</v>
      </c>
      <c r="G1578" s="6" t="s">
        <v>4546</v>
      </c>
      <c r="H1578" s="6" t="s">
        <v>4547</v>
      </c>
      <c r="I1578" s="6" t="n">
        <v>46</v>
      </c>
      <c r="J1578" s="6"/>
      <c r="K1578" s="6" t="s">
        <v>4548</v>
      </c>
      <c r="L1578" s="7"/>
      <c r="M1578" s="7"/>
    </row>
    <row r="1579" customFormat="false" ht="23.85" hidden="false" customHeight="false" outlineLevel="0" collapsed="false">
      <c r="A1579" s="6" t="s">
        <v>2184</v>
      </c>
      <c r="B1579" s="6" t="s">
        <v>110</v>
      </c>
      <c r="C1579" s="6" t="s">
        <v>1362</v>
      </c>
      <c r="D1579" s="6" t="s">
        <v>1330</v>
      </c>
      <c r="E1579" s="6"/>
      <c r="F1579" s="6" t="s">
        <v>1891</v>
      </c>
      <c r="G1579" s="6" t="s">
        <v>4537</v>
      </c>
      <c r="H1579" s="6" t="s">
        <v>4571</v>
      </c>
      <c r="I1579" s="6" t="n">
        <v>98</v>
      </c>
      <c r="J1579" s="6" t="s">
        <v>83</v>
      </c>
      <c r="K1579" s="6" t="s">
        <v>4572</v>
      </c>
      <c r="L1579" s="7"/>
      <c r="M1579" s="7"/>
    </row>
    <row r="1580" customFormat="false" ht="23.85" hidden="false" customHeight="false" outlineLevel="0" collapsed="false">
      <c r="A1580" s="6" t="s">
        <v>2184</v>
      </c>
      <c r="B1580" s="6" t="s">
        <v>110</v>
      </c>
      <c r="C1580" s="6" t="s">
        <v>1362</v>
      </c>
      <c r="D1580" s="6" t="s">
        <v>1330</v>
      </c>
      <c r="E1580" s="6"/>
      <c r="F1580" s="6" t="s">
        <v>1891</v>
      </c>
      <c r="G1580" s="6" t="s">
        <v>4540</v>
      </c>
      <c r="H1580" s="6" t="s">
        <v>4541</v>
      </c>
      <c r="I1580" s="6" t="n">
        <v>38</v>
      </c>
      <c r="J1580" s="6"/>
      <c r="K1580" s="6" t="s">
        <v>4542</v>
      </c>
      <c r="L1580" s="7"/>
      <c r="M1580" s="7"/>
    </row>
    <row r="1581" customFormat="false" ht="23.85" hidden="false" customHeight="false" outlineLevel="0" collapsed="false">
      <c r="A1581" s="6" t="s">
        <v>2184</v>
      </c>
      <c r="B1581" s="6" t="s">
        <v>110</v>
      </c>
      <c r="C1581" s="6" t="s">
        <v>1362</v>
      </c>
      <c r="D1581" s="6" t="s">
        <v>1330</v>
      </c>
      <c r="E1581" s="6"/>
      <c r="F1581" s="6" t="s">
        <v>1891</v>
      </c>
      <c r="G1581" s="6" t="s">
        <v>4543</v>
      </c>
      <c r="H1581" s="6" t="s">
        <v>4544</v>
      </c>
      <c r="I1581" s="6" t="n">
        <v>28</v>
      </c>
      <c r="J1581" s="6"/>
      <c r="K1581" s="6" t="s">
        <v>4545</v>
      </c>
      <c r="L1581" s="7"/>
      <c r="M1581" s="7"/>
    </row>
    <row r="1582" customFormat="false" ht="35.05" hidden="false" customHeight="false" outlineLevel="0" collapsed="false">
      <c r="A1582" s="6" t="s">
        <v>2184</v>
      </c>
      <c r="B1582" s="6" t="s">
        <v>110</v>
      </c>
      <c r="C1582" s="6" t="s">
        <v>1362</v>
      </c>
      <c r="D1582" s="6" t="s">
        <v>1330</v>
      </c>
      <c r="E1582" s="6"/>
      <c r="F1582" s="6" t="s">
        <v>1891</v>
      </c>
      <c r="G1582" s="6" t="s">
        <v>4546</v>
      </c>
      <c r="H1582" s="6" t="s">
        <v>4547</v>
      </c>
      <c r="I1582" s="6" t="n">
        <v>46</v>
      </c>
      <c r="J1582" s="6"/>
      <c r="K1582" s="6" t="s">
        <v>4548</v>
      </c>
      <c r="L1582" s="7"/>
      <c r="M1582" s="7"/>
    </row>
    <row r="1583" customFormat="false" ht="23.85" hidden="false" customHeight="false" outlineLevel="0" collapsed="false">
      <c r="A1583" s="6" t="s">
        <v>2186</v>
      </c>
      <c r="B1583" s="6" t="s">
        <v>110</v>
      </c>
      <c r="C1583" s="6" t="s">
        <v>1362</v>
      </c>
      <c r="D1583" s="6" t="s">
        <v>1330</v>
      </c>
      <c r="E1583" s="6"/>
      <c r="F1583" s="6" t="s">
        <v>1894</v>
      </c>
      <c r="G1583" s="6" t="s">
        <v>4537</v>
      </c>
      <c r="H1583" s="6" t="s">
        <v>4571</v>
      </c>
      <c r="I1583" s="6" t="n">
        <v>98</v>
      </c>
      <c r="J1583" s="6" t="s">
        <v>83</v>
      </c>
      <c r="K1583" s="6" t="s">
        <v>4572</v>
      </c>
      <c r="L1583" s="7"/>
      <c r="M1583" s="7"/>
    </row>
    <row r="1584" customFormat="false" ht="23.85" hidden="false" customHeight="false" outlineLevel="0" collapsed="false">
      <c r="A1584" s="6" t="s">
        <v>2186</v>
      </c>
      <c r="B1584" s="6" t="s">
        <v>110</v>
      </c>
      <c r="C1584" s="6" t="s">
        <v>1362</v>
      </c>
      <c r="D1584" s="6" t="s">
        <v>1330</v>
      </c>
      <c r="E1584" s="6"/>
      <c r="F1584" s="6" t="s">
        <v>1894</v>
      </c>
      <c r="G1584" s="6" t="s">
        <v>4540</v>
      </c>
      <c r="H1584" s="6" t="s">
        <v>4541</v>
      </c>
      <c r="I1584" s="6" t="n">
        <v>38</v>
      </c>
      <c r="J1584" s="6"/>
      <c r="K1584" s="6" t="s">
        <v>4542</v>
      </c>
      <c r="L1584" s="7"/>
      <c r="M1584" s="7"/>
    </row>
    <row r="1585" customFormat="false" ht="23.85" hidden="false" customHeight="false" outlineLevel="0" collapsed="false">
      <c r="A1585" s="6" t="s">
        <v>2186</v>
      </c>
      <c r="B1585" s="6" t="s">
        <v>110</v>
      </c>
      <c r="C1585" s="6" t="s">
        <v>1362</v>
      </c>
      <c r="D1585" s="6" t="s">
        <v>1330</v>
      </c>
      <c r="E1585" s="6"/>
      <c r="F1585" s="6" t="s">
        <v>1894</v>
      </c>
      <c r="G1585" s="6" t="s">
        <v>4543</v>
      </c>
      <c r="H1585" s="6" t="s">
        <v>4544</v>
      </c>
      <c r="I1585" s="6" t="n">
        <v>28</v>
      </c>
      <c r="J1585" s="6"/>
      <c r="K1585" s="6" t="s">
        <v>4545</v>
      </c>
      <c r="L1585" s="7"/>
      <c r="M1585" s="7"/>
    </row>
    <row r="1586" customFormat="false" ht="35.05" hidden="false" customHeight="false" outlineLevel="0" collapsed="false">
      <c r="A1586" s="6" t="s">
        <v>2186</v>
      </c>
      <c r="B1586" s="6" t="s">
        <v>110</v>
      </c>
      <c r="C1586" s="6" t="s">
        <v>1362</v>
      </c>
      <c r="D1586" s="6" t="s">
        <v>1330</v>
      </c>
      <c r="E1586" s="6"/>
      <c r="F1586" s="6" t="s">
        <v>1894</v>
      </c>
      <c r="G1586" s="6" t="s">
        <v>4546</v>
      </c>
      <c r="H1586" s="6" t="s">
        <v>4547</v>
      </c>
      <c r="I1586" s="6" t="n">
        <v>46</v>
      </c>
      <c r="J1586" s="6"/>
      <c r="K1586" s="6" t="s">
        <v>4548</v>
      </c>
      <c r="L1586" s="7"/>
      <c r="M1586" s="7"/>
    </row>
    <row r="1587" customFormat="false" ht="23.85" hidden="false" customHeight="false" outlineLevel="0" collapsed="false">
      <c r="A1587" s="6" t="s">
        <v>2188</v>
      </c>
      <c r="B1587" s="6" t="s">
        <v>110</v>
      </c>
      <c r="C1587" s="6" t="s">
        <v>1362</v>
      </c>
      <c r="D1587" s="6" t="s">
        <v>1330</v>
      </c>
      <c r="E1587" s="6"/>
      <c r="F1587" s="6" t="s">
        <v>1897</v>
      </c>
      <c r="G1587" s="6" t="s">
        <v>4537</v>
      </c>
      <c r="H1587" s="6" t="s">
        <v>4571</v>
      </c>
      <c r="I1587" s="6" t="n">
        <v>98</v>
      </c>
      <c r="J1587" s="6" t="s">
        <v>83</v>
      </c>
      <c r="K1587" s="6" t="s">
        <v>4572</v>
      </c>
      <c r="L1587" s="7"/>
      <c r="M1587" s="7"/>
    </row>
    <row r="1588" customFormat="false" ht="23.85" hidden="false" customHeight="false" outlineLevel="0" collapsed="false">
      <c r="A1588" s="6" t="s">
        <v>2188</v>
      </c>
      <c r="B1588" s="6" t="s">
        <v>110</v>
      </c>
      <c r="C1588" s="6" t="s">
        <v>1362</v>
      </c>
      <c r="D1588" s="6" t="s">
        <v>1330</v>
      </c>
      <c r="E1588" s="6"/>
      <c r="F1588" s="6" t="s">
        <v>1897</v>
      </c>
      <c r="G1588" s="6" t="s">
        <v>4540</v>
      </c>
      <c r="H1588" s="6" t="s">
        <v>4541</v>
      </c>
      <c r="I1588" s="6" t="n">
        <v>38</v>
      </c>
      <c r="J1588" s="6"/>
      <c r="K1588" s="6" t="s">
        <v>4542</v>
      </c>
      <c r="L1588" s="7"/>
      <c r="M1588" s="7"/>
    </row>
    <row r="1589" customFormat="false" ht="23.85" hidden="false" customHeight="false" outlineLevel="0" collapsed="false">
      <c r="A1589" s="6" t="s">
        <v>2188</v>
      </c>
      <c r="B1589" s="6" t="s">
        <v>110</v>
      </c>
      <c r="C1589" s="6" t="s">
        <v>1362</v>
      </c>
      <c r="D1589" s="6" t="s">
        <v>1330</v>
      </c>
      <c r="E1589" s="6"/>
      <c r="F1589" s="6" t="s">
        <v>1897</v>
      </c>
      <c r="G1589" s="6" t="s">
        <v>4543</v>
      </c>
      <c r="H1589" s="6" t="s">
        <v>4544</v>
      </c>
      <c r="I1589" s="6" t="n">
        <v>28</v>
      </c>
      <c r="J1589" s="6"/>
      <c r="K1589" s="6" t="s">
        <v>4545</v>
      </c>
      <c r="L1589" s="7"/>
      <c r="M1589" s="7"/>
    </row>
    <row r="1590" customFormat="false" ht="35.05" hidden="false" customHeight="false" outlineLevel="0" collapsed="false">
      <c r="A1590" s="6" t="s">
        <v>2188</v>
      </c>
      <c r="B1590" s="6" t="s">
        <v>110</v>
      </c>
      <c r="C1590" s="6" t="s">
        <v>1362</v>
      </c>
      <c r="D1590" s="6" t="s">
        <v>1330</v>
      </c>
      <c r="E1590" s="6"/>
      <c r="F1590" s="6" t="s">
        <v>1897</v>
      </c>
      <c r="G1590" s="6" t="s">
        <v>4546</v>
      </c>
      <c r="H1590" s="6" t="s">
        <v>4547</v>
      </c>
      <c r="I1590" s="6" t="n">
        <v>46</v>
      </c>
      <c r="J1590" s="6"/>
      <c r="K1590" s="6" t="s">
        <v>4548</v>
      </c>
      <c r="L1590" s="7"/>
      <c r="M1590" s="7"/>
    </row>
    <row r="1591" customFormat="false" ht="23.85" hidden="false" customHeight="false" outlineLevel="0" collapsed="false">
      <c r="A1591" s="6" t="s">
        <v>2190</v>
      </c>
      <c r="B1591" s="6" t="s">
        <v>110</v>
      </c>
      <c r="C1591" s="6" t="s">
        <v>1362</v>
      </c>
      <c r="D1591" s="6" t="s">
        <v>1330</v>
      </c>
      <c r="E1591" s="6"/>
      <c r="F1591" s="6" t="s">
        <v>1900</v>
      </c>
      <c r="G1591" s="6" t="s">
        <v>4537</v>
      </c>
      <c r="H1591" s="6" t="s">
        <v>4571</v>
      </c>
      <c r="I1591" s="6" t="n">
        <v>98</v>
      </c>
      <c r="J1591" s="6" t="s">
        <v>83</v>
      </c>
      <c r="K1591" s="6" t="s">
        <v>4572</v>
      </c>
      <c r="L1591" s="7"/>
      <c r="M1591" s="7"/>
    </row>
    <row r="1592" customFormat="false" ht="23.85" hidden="false" customHeight="false" outlineLevel="0" collapsed="false">
      <c r="A1592" s="6" t="s">
        <v>2190</v>
      </c>
      <c r="B1592" s="6" t="s">
        <v>110</v>
      </c>
      <c r="C1592" s="6" t="s">
        <v>1362</v>
      </c>
      <c r="D1592" s="6" t="s">
        <v>1330</v>
      </c>
      <c r="E1592" s="6"/>
      <c r="F1592" s="6" t="s">
        <v>1900</v>
      </c>
      <c r="G1592" s="6" t="s">
        <v>4540</v>
      </c>
      <c r="H1592" s="6" t="s">
        <v>4541</v>
      </c>
      <c r="I1592" s="6" t="n">
        <v>38</v>
      </c>
      <c r="J1592" s="6"/>
      <c r="K1592" s="6" t="s">
        <v>4542</v>
      </c>
      <c r="L1592" s="7"/>
      <c r="M1592" s="7"/>
    </row>
    <row r="1593" customFormat="false" ht="23.85" hidden="false" customHeight="false" outlineLevel="0" collapsed="false">
      <c r="A1593" s="6" t="s">
        <v>2190</v>
      </c>
      <c r="B1593" s="6" t="s">
        <v>110</v>
      </c>
      <c r="C1593" s="6" t="s">
        <v>1362</v>
      </c>
      <c r="D1593" s="6" t="s">
        <v>1330</v>
      </c>
      <c r="E1593" s="6"/>
      <c r="F1593" s="6" t="s">
        <v>1900</v>
      </c>
      <c r="G1593" s="6" t="s">
        <v>4543</v>
      </c>
      <c r="H1593" s="6" t="s">
        <v>4544</v>
      </c>
      <c r="I1593" s="6" t="n">
        <v>28</v>
      </c>
      <c r="J1593" s="6"/>
      <c r="K1593" s="6" t="s">
        <v>4545</v>
      </c>
      <c r="L1593" s="7"/>
      <c r="M1593" s="7"/>
    </row>
    <row r="1594" customFormat="false" ht="35.05" hidden="false" customHeight="false" outlineLevel="0" collapsed="false">
      <c r="A1594" s="6" t="s">
        <v>2190</v>
      </c>
      <c r="B1594" s="6" t="s">
        <v>110</v>
      </c>
      <c r="C1594" s="6" t="s">
        <v>1362</v>
      </c>
      <c r="D1594" s="6" t="s">
        <v>1330</v>
      </c>
      <c r="E1594" s="6"/>
      <c r="F1594" s="6" t="s">
        <v>1900</v>
      </c>
      <c r="G1594" s="6" t="s">
        <v>4546</v>
      </c>
      <c r="H1594" s="6" t="s">
        <v>4547</v>
      </c>
      <c r="I1594" s="6" t="n">
        <v>46</v>
      </c>
      <c r="J1594" s="6"/>
      <c r="K1594" s="6" t="s">
        <v>4548</v>
      </c>
      <c r="L1594" s="7"/>
      <c r="M1594" s="7"/>
    </row>
    <row r="1595" customFormat="false" ht="23.85" hidden="false" customHeight="false" outlineLevel="0" collapsed="false">
      <c r="A1595" s="6" t="s">
        <v>2192</v>
      </c>
      <c r="B1595" s="6" t="s">
        <v>110</v>
      </c>
      <c r="C1595" s="6" t="s">
        <v>1362</v>
      </c>
      <c r="D1595" s="6" t="s">
        <v>1330</v>
      </c>
      <c r="E1595" s="6"/>
      <c r="F1595" s="6" t="s">
        <v>1903</v>
      </c>
      <c r="G1595" s="6" t="s">
        <v>4537</v>
      </c>
      <c r="H1595" s="6" t="s">
        <v>4571</v>
      </c>
      <c r="I1595" s="6" t="n">
        <v>98</v>
      </c>
      <c r="J1595" s="6" t="s">
        <v>83</v>
      </c>
      <c r="K1595" s="6" t="s">
        <v>4572</v>
      </c>
      <c r="L1595" s="7"/>
      <c r="M1595" s="7"/>
    </row>
    <row r="1596" customFormat="false" ht="23.85" hidden="false" customHeight="false" outlineLevel="0" collapsed="false">
      <c r="A1596" s="6" t="s">
        <v>2192</v>
      </c>
      <c r="B1596" s="6" t="s">
        <v>110</v>
      </c>
      <c r="C1596" s="6" t="s">
        <v>1362</v>
      </c>
      <c r="D1596" s="6" t="s">
        <v>1330</v>
      </c>
      <c r="E1596" s="6"/>
      <c r="F1596" s="6" t="s">
        <v>1903</v>
      </c>
      <c r="G1596" s="6" t="s">
        <v>4540</v>
      </c>
      <c r="H1596" s="6" t="s">
        <v>4541</v>
      </c>
      <c r="I1596" s="6" t="n">
        <v>38</v>
      </c>
      <c r="J1596" s="6"/>
      <c r="K1596" s="6" t="s">
        <v>4542</v>
      </c>
      <c r="L1596" s="7"/>
      <c r="M1596" s="7"/>
    </row>
    <row r="1597" customFormat="false" ht="23.85" hidden="false" customHeight="false" outlineLevel="0" collapsed="false">
      <c r="A1597" s="6" t="s">
        <v>2192</v>
      </c>
      <c r="B1597" s="6" t="s">
        <v>110</v>
      </c>
      <c r="C1597" s="6" t="s">
        <v>1362</v>
      </c>
      <c r="D1597" s="6" t="s">
        <v>1330</v>
      </c>
      <c r="E1597" s="6"/>
      <c r="F1597" s="6" t="s">
        <v>1903</v>
      </c>
      <c r="G1597" s="6" t="s">
        <v>4543</v>
      </c>
      <c r="H1597" s="6" t="s">
        <v>4544</v>
      </c>
      <c r="I1597" s="6" t="n">
        <v>28</v>
      </c>
      <c r="J1597" s="6"/>
      <c r="K1597" s="6" t="s">
        <v>4545</v>
      </c>
      <c r="L1597" s="7"/>
      <c r="M1597" s="7"/>
    </row>
    <row r="1598" customFormat="false" ht="35.05" hidden="false" customHeight="false" outlineLevel="0" collapsed="false">
      <c r="A1598" s="6" t="s">
        <v>2192</v>
      </c>
      <c r="B1598" s="6" t="s">
        <v>110</v>
      </c>
      <c r="C1598" s="6" t="s">
        <v>1362</v>
      </c>
      <c r="D1598" s="6" t="s">
        <v>1330</v>
      </c>
      <c r="E1598" s="6"/>
      <c r="F1598" s="6" t="s">
        <v>1903</v>
      </c>
      <c r="G1598" s="6" t="s">
        <v>4546</v>
      </c>
      <c r="H1598" s="6" t="s">
        <v>4547</v>
      </c>
      <c r="I1598" s="6" t="n">
        <v>46</v>
      </c>
      <c r="J1598" s="6"/>
      <c r="K1598" s="6" t="s">
        <v>4548</v>
      </c>
      <c r="L1598" s="7"/>
      <c r="M1598" s="7"/>
    </row>
    <row r="1599" customFormat="false" ht="23.85" hidden="false" customHeight="false" outlineLevel="0" collapsed="false">
      <c r="A1599" s="6" t="s">
        <v>2194</v>
      </c>
      <c r="B1599" s="6" t="s">
        <v>110</v>
      </c>
      <c r="C1599" s="6" t="s">
        <v>1362</v>
      </c>
      <c r="D1599" s="6" t="s">
        <v>1330</v>
      </c>
      <c r="E1599" s="6"/>
      <c r="F1599" s="6" t="s">
        <v>1906</v>
      </c>
      <c r="G1599" s="6" t="s">
        <v>4537</v>
      </c>
      <c r="H1599" s="6" t="s">
        <v>4571</v>
      </c>
      <c r="I1599" s="6" t="n">
        <v>98</v>
      </c>
      <c r="J1599" s="6" t="s">
        <v>83</v>
      </c>
      <c r="K1599" s="6" t="s">
        <v>4572</v>
      </c>
      <c r="L1599" s="7"/>
      <c r="M1599" s="7"/>
    </row>
    <row r="1600" customFormat="false" ht="23.85" hidden="false" customHeight="false" outlineLevel="0" collapsed="false">
      <c r="A1600" s="6" t="s">
        <v>2194</v>
      </c>
      <c r="B1600" s="6" t="s">
        <v>110</v>
      </c>
      <c r="C1600" s="6" t="s">
        <v>1362</v>
      </c>
      <c r="D1600" s="6" t="s">
        <v>1330</v>
      </c>
      <c r="E1600" s="6"/>
      <c r="F1600" s="6" t="s">
        <v>1906</v>
      </c>
      <c r="G1600" s="6" t="s">
        <v>4540</v>
      </c>
      <c r="H1600" s="6" t="s">
        <v>4541</v>
      </c>
      <c r="I1600" s="6" t="n">
        <v>38</v>
      </c>
      <c r="J1600" s="6"/>
      <c r="K1600" s="6" t="s">
        <v>4542</v>
      </c>
      <c r="L1600" s="7"/>
      <c r="M1600" s="7"/>
    </row>
    <row r="1601" customFormat="false" ht="23.85" hidden="false" customHeight="false" outlineLevel="0" collapsed="false">
      <c r="A1601" s="6" t="s">
        <v>2194</v>
      </c>
      <c r="B1601" s="6" t="s">
        <v>110</v>
      </c>
      <c r="C1601" s="6" t="s">
        <v>1362</v>
      </c>
      <c r="D1601" s="6" t="s">
        <v>1330</v>
      </c>
      <c r="E1601" s="6"/>
      <c r="F1601" s="6" t="s">
        <v>1906</v>
      </c>
      <c r="G1601" s="6" t="s">
        <v>4543</v>
      </c>
      <c r="H1601" s="6" t="s">
        <v>4544</v>
      </c>
      <c r="I1601" s="6" t="n">
        <v>28</v>
      </c>
      <c r="J1601" s="6"/>
      <c r="K1601" s="6" t="s">
        <v>4545</v>
      </c>
      <c r="L1601" s="7"/>
      <c r="M1601" s="7"/>
    </row>
    <row r="1602" customFormat="false" ht="35.05" hidden="false" customHeight="false" outlineLevel="0" collapsed="false">
      <c r="A1602" s="6" t="s">
        <v>2194</v>
      </c>
      <c r="B1602" s="6" t="s">
        <v>110</v>
      </c>
      <c r="C1602" s="6" t="s">
        <v>1362</v>
      </c>
      <c r="D1602" s="6" t="s">
        <v>1330</v>
      </c>
      <c r="E1602" s="6"/>
      <c r="F1602" s="6" t="s">
        <v>1906</v>
      </c>
      <c r="G1602" s="6" t="s">
        <v>4546</v>
      </c>
      <c r="H1602" s="6" t="s">
        <v>4547</v>
      </c>
      <c r="I1602" s="6" t="n">
        <v>46</v>
      </c>
      <c r="J1602" s="6"/>
      <c r="K1602" s="6" t="s">
        <v>4548</v>
      </c>
      <c r="L1602" s="7"/>
      <c r="M1602" s="7"/>
    </row>
    <row r="1603" customFormat="false" ht="23.85" hidden="false" customHeight="false" outlineLevel="0" collapsed="false">
      <c r="A1603" s="6" t="s">
        <v>2196</v>
      </c>
      <c r="B1603" s="6" t="s">
        <v>110</v>
      </c>
      <c r="C1603" s="6" t="s">
        <v>1362</v>
      </c>
      <c r="D1603" s="6" t="s">
        <v>1330</v>
      </c>
      <c r="E1603" s="6"/>
      <c r="F1603" s="6" t="s">
        <v>1909</v>
      </c>
      <c r="G1603" s="6" t="s">
        <v>4537</v>
      </c>
      <c r="H1603" s="6" t="s">
        <v>4571</v>
      </c>
      <c r="I1603" s="6" t="n">
        <v>98</v>
      </c>
      <c r="J1603" s="6" t="s">
        <v>83</v>
      </c>
      <c r="K1603" s="6" t="s">
        <v>4572</v>
      </c>
      <c r="L1603" s="7"/>
      <c r="M1603" s="7"/>
    </row>
    <row r="1604" customFormat="false" ht="23.85" hidden="false" customHeight="false" outlineLevel="0" collapsed="false">
      <c r="A1604" s="6" t="s">
        <v>2196</v>
      </c>
      <c r="B1604" s="6" t="s">
        <v>110</v>
      </c>
      <c r="C1604" s="6" t="s">
        <v>1362</v>
      </c>
      <c r="D1604" s="6" t="s">
        <v>1330</v>
      </c>
      <c r="E1604" s="6"/>
      <c r="F1604" s="6" t="s">
        <v>1909</v>
      </c>
      <c r="G1604" s="6" t="s">
        <v>4540</v>
      </c>
      <c r="H1604" s="6" t="s">
        <v>4541</v>
      </c>
      <c r="I1604" s="6" t="n">
        <v>38</v>
      </c>
      <c r="J1604" s="6"/>
      <c r="K1604" s="6" t="s">
        <v>4542</v>
      </c>
      <c r="L1604" s="7"/>
      <c r="M1604" s="7"/>
    </row>
    <row r="1605" customFormat="false" ht="23.85" hidden="false" customHeight="false" outlineLevel="0" collapsed="false">
      <c r="A1605" s="6" t="s">
        <v>2196</v>
      </c>
      <c r="B1605" s="6" t="s">
        <v>110</v>
      </c>
      <c r="C1605" s="6" t="s">
        <v>1362</v>
      </c>
      <c r="D1605" s="6" t="s">
        <v>1330</v>
      </c>
      <c r="E1605" s="6"/>
      <c r="F1605" s="6" t="s">
        <v>1909</v>
      </c>
      <c r="G1605" s="6" t="s">
        <v>4543</v>
      </c>
      <c r="H1605" s="6" t="s">
        <v>4544</v>
      </c>
      <c r="I1605" s="6" t="n">
        <v>28</v>
      </c>
      <c r="J1605" s="6"/>
      <c r="K1605" s="6" t="s">
        <v>4545</v>
      </c>
      <c r="L1605" s="7"/>
      <c r="M1605" s="7"/>
    </row>
    <row r="1606" customFormat="false" ht="35.05" hidden="false" customHeight="false" outlineLevel="0" collapsed="false">
      <c r="A1606" s="6" t="s">
        <v>2196</v>
      </c>
      <c r="B1606" s="6" t="s">
        <v>110</v>
      </c>
      <c r="C1606" s="6" t="s">
        <v>1362</v>
      </c>
      <c r="D1606" s="6" t="s">
        <v>1330</v>
      </c>
      <c r="E1606" s="6"/>
      <c r="F1606" s="6" t="s">
        <v>1909</v>
      </c>
      <c r="G1606" s="6" t="s">
        <v>4546</v>
      </c>
      <c r="H1606" s="6" t="s">
        <v>4547</v>
      </c>
      <c r="I1606" s="6" t="n">
        <v>46</v>
      </c>
      <c r="J1606" s="6"/>
      <c r="K1606" s="6" t="s">
        <v>4548</v>
      </c>
      <c r="L1606" s="7"/>
      <c r="M1606" s="7"/>
    </row>
    <row r="1607" customFormat="false" ht="23.85" hidden="false" customHeight="false" outlineLevel="0" collapsed="false">
      <c r="A1607" s="6" t="s">
        <v>2198</v>
      </c>
      <c r="B1607" s="6" t="s">
        <v>110</v>
      </c>
      <c r="C1607" s="6" t="s">
        <v>1362</v>
      </c>
      <c r="D1607" s="6" t="s">
        <v>1330</v>
      </c>
      <c r="E1607" s="6"/>
      <c r="F1607" s="6" t="s">
        <v>1879</v>
      </c>
      <c r="G1607" s="6" t="s">
        <v>4537</v>
      </c>
      <c r="H1607" s="6" t="s">
        <v>4573</v>
      </c>
      <c r="I1607" s="6" t="n">
        <v>98</v>
      </c>
      <c r="J1607" s="6" t="s">
        <v>83</v>
      </c>
      <c r="K1607" s="6" t="s">
        <v>4574</v>
      </c>
      <c r="L1607" s="7"/>
      <c r="M1607" s="7"/>
    </row>
    <row r="1608" customFormat="false" ht="23.85" hidden="false" customHeight="false" outlineLevel="0" collapsed="false">
      <c r="A1608" s="6" t="s">
        <v>2198</v>
      </c>
      <c r="B1608" s="6" t="s">
        <v>110</v>
      </c>
      <c r="C1608" s="6" t="s">
        <v>1362</v>
      </c>
      <c r="D1608" s="6" t="s">
        <v>1330</v>
      </c>
      <c r="E1608" s="6"/>
      <c r="F1608" s="6" t="s">
        <v>1879</v>
      </c>
      <c r="G1608" s="6" t="s">
        <v>4540</v>
      </c>
      <c r="H1608" s="6" t="s">
        <v>4541</v>
      </c>
      <c r="I1608" s="6" t="n">
        <v>38</v>
      </c>
      <c r="J1608" s="6"/>
      <c r="K1608" s="6" t="s">
        <v>4542</v>
      </c>
      <c r="L1608" s="7"/>
      <c r="M1608" s="7"/>
    </row>
    <row r="1609" customFormat="false" ht="23.85" hidden="false" customHeight="false" outlineLevel="0" collapsed="false">
      <c r="A1609" s="6" t="s">
        <v>2198</v>
      </c>
      <c r="B1609" s="6" t="s">
        <v>110</v>
      </c>
      <c r="C1609" s="6" t="s">
        <v>1362</v>
      </c>
      <c r="D1609" s="6" t="s">
        <v>1330</v>
      </c>
      <c r="E1609" s="6"/>
      <c r="F1609" s="6" t="s">
        <v>1879</v>
      </c>
      <c r="G1609" s="6" t="s">
        <v>4543</v>
      </c>
      <c r="H1609" s="6" t="s">
        <v>4544</v>
      </c>
      <c r="I1609" s="6" t="n">
        <v>28</v>
      </c>
      <c r="J1609" s="6"/>
      <c r="K1609" s="6" t="s">
        <v>4545</v>
      </c>
      <c r="L1609" s="7"/>
      <c r="M1609" s="7"/>
    </row>
    <row r="1610" customFormat="false" ht="35.05" hidden="false" customHeight="false" outlineLevel="0" collapsed="false">
      <c r="A1610" s="6" t="s">
        <v>2198</v>
      </c>
      <c r="B1610" s="6" t="s">
        <v>110</v>
      </c>
      <c r="C1610" s="6" t="s">
        <v>1362</v>
      </c>
      <c r="D1610" s="6" t="s">
        <v>1330</v>
      </c>
      <c r="E1610" s="6"/>
      <c r="F1610" s="6" t="s">
        <v>1879</v>
      </c>
      <c r="G1610" s="6" t="s">
        <v>4546</v>
      </c>
      <c r="H1610" s="6" t="s">
        <v>4547</v>
      </c>
      <c r="I1610" s="6" t="n">
        <v>46</v>
      </c>
      <c r="J1610" s="6"/>
      <c r="K1610" s="6" t="s">
        <v>4548</v>
      </c>
      <c r="L1610" s="7"/>
      <c r="M1610" s="7"/>
    </row>
    <row r="1611" customFormat="false" ht="23.85" hidden="false" customHeight="false" outlineLevel="0" collapsed="false">
      <c r="A1611" s="6" t="s">
        <v>2204</v>
      </c>
      <c r="B1611" s="6" t="s">
        <v>110</v>
      </c>
      <c r="C1611" s="6" t="s">
        <v>1362</v>
      </c>
      <c r="D1611" s="6" t="s">
        <v>1330</v>
      </c>
      <c r="E1611" s="6"/>
      <c r="F1611" s="6" t="s">
        <v>1885</v>
      </c>
      <c r="G1611" s="6" t="s">
        <v>4537</v>
      </c>
      <c r="H1611" s="6" t="s">
        <v>4573</v>
      </c>
      <c r="I1611" s="6" t="n">
        <v>98</v>
      </c>
      <c r="J1611" s="6" t="s">
        <v>83</v>
      </c>
      <c r="K1611" s="6" t="s">
        <v>4574</v>
      </c>
      <c r="L1611" s="7"/>
      <c r="M1611" s="7"/>
    </row>
    <row r="1612" customFormat="false" ht="23.85" hidden="false" customHeight="false" outlineLevel="0" collapsed="false">
      <c r="A1612" s="6" t="s">
        <v>2204</v>
      </c>
      <c r="B1612" s="6" t="s">
        <v>110</v>
      </c>
      <c r="C1612" s="6" t="s">
        <v>1362</v>
      </c>
      <c r="D1612" s="6" t="s">
        <v>1330</v>
      </c>
      <c r="E1612" s="6"/>
      <c r="F1612" s="6" t="s">
        <v>1885</v>
      </c>
      <c r="G1612" s="6" t="s">
        <v>4540</v>
      </c>
      <c r="H1612" s="6" t="s">
        <v>4541</v>
      </c>
      <c r="I1612" s="6" t="n">
        <v>38</v>
      </c>
      <c r="J1612" s="6"/>
      <c r="K1612" s="6" t="s">
        <v>4542</v>
      </c>
      <c r="L1612" s="7"/>
      <c r="M1612" s="7"/>
    </row>
    <row r="1613" customFormat="false" ht="23.85" hidden="false" customHeight="false" outlineLevel="0" collapsed="false">
      <c r="A1613" s="6" t="s">
        <v>2204</v>
      </c>
      <c r="B1613" s="6" t="s">
        <v>110</v>
      </c>
      <c r="C1613" s="6" t="s">
        <v>1362</v>
      </c>
      <c r="D1613" s="6" t="s">
        <v>1330</v>
      </c>
      <c r="E1613" s="6"/>
      <c r="F1613" s="6" t="s">
        <v>1885</v>
      </c>
      <c r="G1613" s="6" t="s">
        <v>4543</v>
      </c>
      <c r="H1613" s="6" t="s">
        <v>4544</v>
      </c>
      <c r="I1613" s="6" t="n">
        <v>28</v>
      </c>
      <c r="J1613" s="6"/>
      <c r="K1613" s="6" t="s">
        <v>4545</v>
      </c>
      <c r="L1613" s="7"/>
      <c r="M1613" s="7"/>
    </row>
    <row r="1614" customFormat="false" ht="35.05" hidden="false" customHeight="false" outlineLevel="0" collapsed="false">
      <c r="A1614" s="6" t="s">
        <v>2204</v>
      </c>
      <c r="B1614" s="6" t="s">
        <v>110</v>
      </c>
      <c r="C1614" s="6" t="s">
        <v>1362</v>
      </c>
      <c r="D1614" s="6" t="s">
        <v>1330</v>
      </c>
      <c r="E1614" s="6"/>
      <c r="F1614" s="6" t="s">
        <v>1885</v>
      </c>
      <c r="G1614" s="6" t="s">
        <v>4546</v>
      </c>
      <c r="H1614" s="6" t="s">
        <v>4547</v>
      </c>
      <c r="I1614" s="6" t="n">
        <v>46</v>
      </c>
      <c r="J1614" s="6"/>
      <c r="K1614" s="6" t="s">
        <v>4548</v>
      </c>
      <c r="L1614" s="7"/>
      <c r="M1614" s="7"/>
    </row>
    <row r="1615" customFormat="false" ht="23.85" hidden="false" customHeight="false" outlineLevel="0" collapsed="false">
      <c r="A1615" s="6" t="s">
        <v>2206</v>
      </c>
      <c r="B1615" s="6" t="s">
        <v>110</v>
      </c>
      <c r="C1615" s="6" t="s">
        <v>1362</v>
      </c>
      <c r="D1615" s="6" t="s">
        <v>1330</v>
      </c>
      <c r="E1615" s="6"/>
      <c r="F1615" s="6" t="s">
        <v>1888</v>
      </c>
      <c r="G1615" s="6" t="s">
        <v>4537</v>
      </c>
      <c r="H1615" s="6" t="s">
        <v>4573</v>
      </c>
      <c r="I1615" s="6" t="n">
        <v>98</v>
      </c>
      <c r="J1615" s="6" t="s">
        <v>83</v>
      </c>
      <c r="K1615" s="6" t="s">
        <v>4574</v>
      </c>
      <c r="L1615" s="7"/>
      <c r="M1615" s="7"/>
    </row>
    <row r="1616" customFormat="false" ht="23.85" hidden="false" customHeight="false" outlineLevel="0" collapsed="false">
      <c r="A1616" s="6" t="s">
        <v>2206</v>
      </c>
      <c r="B1616" s="6" t="s">
        <v>110</v>
      </c>
      <c r="C1616" s="6" t="s">
        <v>1362</v>
      </c>
      <c r="D1616" s="6" t="s">
        <v>1330</v>
      </c>
      <c r="E1616" s="6"/>
      <c r="F1616" s="6" t="s">
        <v>1888</v>
      </c>
      <c r="G1616" s="6" t="s">
        <v>4540</v>
      </c>
      <c r="H1616" s="6" t="s">
        <v>4541</v>
      </c>
      <c r="I1616" s="6" t="n">
        <v>38</v>
      </c>
      <c r="J1616" s="6"/>
      <c r="K1616" s="6" t="s">
        <v>4542</v>
      </c>
      <c r="L1616" s="7"/>
      <c r="M1616" s="7"/>
    </row>
    <row r="1617" customFormat="false" ht="23.85" hidden="false" customHeight="false" outlineLevel="0" collapsed="false">
      <c r="A1617" s="6" t="s">
        <v>2206</v>
      </c>
      <c r="B1617" s="6" t="s">
        <v>110</v>
      </c>
      <c r="C1617" s="6" t="s">
        <v>1362</v>
      </c>
      <c r="D1617" s="6" t="s">
        <v>1330</v>
      </c>
      <c r="E1617" s="6"/>
      <c r="F1617" s="6" t="s">
        <v>1888</v>
      </c>
      <c r="G1617" s="6" t="s">
        <v>4543</v>
      </c>
      <c r="H1617" s="6" t="s">
        <v>4544</v>
      </c>
      <c r="I1617" s="6" t="n">
        <v>28</v>
      </c>
      <c r="J1617" s="6"/>
      <c r="K1617" s="6" t="s">
        <v>4545</v>
      </c>
      <c r="L1617" s="7"/>
      <c r="M1617" s="7"/>
    </row>
    <row r="1618" customFormat="false" ht="35.05" hidden="false" customHeight="false" outlineLevel="0" collapsed="false">
      <c r="A1618" s="6" t="s">
        <v>2206</v>
      </c>
      <c r="B1618" s="6" t="s">
        <v>110</v>
      </c>
      <c r="C1618" s="6" t="s">
        <v>1362</v>
      </c>
      <c r="D1618" s="6" t="s">
        <v>1330</v>
      </c>
      <c r="E1618" s="6"/>
      <c r="F1618" s="6" t="s">
        <v>1888</v>
      </c>
      <c r="G1618" s="6" t="s">
        <v>4546</v>
      </c>
      <c r="H1618" s="6" t="s">
        <v>4547</v>
      </c>
      <c r="I1618" s="6" t="n">
        <v>46</v>
      </c>
      <c r="J1618" s="6"/>
      <c r="K1618" s="6" t="s">
        <v>4548</v>
      </c>
      <c r="L1618" s="7"/>
      <c r="M1618" s="7"/>
    </row>
    <row r="1619" customFormat="false" ht="23.85" hidden="false" customHeight="false" outlineLevel="0" collapsed="false">
      <c r="A1619" s="6" t="s">
        <v>2208</v>
      </c>
      <c r="B1619" s="6" t="s">
        <v>110</v>
      </c>
      <c r="C1619" s="6" t="s">
        <v>1362</v>
      </c>
      <c r="D1619" s="6" t="s">
        <v>1330</v>
      </c>
      <c r="E1619" s="6"/>
      <c r="F1619" s="6" t="s">
        <v>1891</v>
      </c>
      <c r="G1619" s="6" t="s">
        <v>4537</v>
      </c>
      <c r="H1619" s="6" t="s">
        <v>4573</v>
      </c>
      <c r="I1619" s="6" t="n">
        <v>98</v>
      </c>
      <c r="J1619" s="6" t="s">
        <v>83</v>
      </c>
      <c r="K1619" s="6" t="s">
        <v>4574</v>
      </c>
      <c r="L1619" s="7"/>
      <c r="M1619" s="7"/>
    </row>
    <row r="1620" customFormat="false" ht="23.85" hidden="false" customHeight="false" outlineLevel="0" collapsed="false">
      <c r="A1620" s="6" t="s">
        <v>2208</v>
      </c>
      <c r="B1620" s="6" t="s">
        <v>110</v>
      </c>
      <c r="C1620" s="6" t="s">
        <v>1362</v>
      </c>
      <c r="D1620" s="6" t="s">
        <v>1330</v>
      </c>
      <c r="E1620" s="6"/>
      <c r="F1620" s="6" t="s">
        <v>1891</v>
      </c>
      <c r="G1620" s="6" t="s">
        <v>4540</v>
      </c>
      <c r="H1620" s="6" t="s">
        <v>4541</v>
      </c>
      <c r="I1620" s="6" t="n">
        <v>38</v>
      </c>
      <c r="J1620" s="6"/>
      <c r="K1620" s="6" t="s">
        <v>4542</v>
      </c>
      <c r="L1620" s="7"/>
      <c r="M1620" s="7"/>
    </row>
    <row r="1621" customFormat="false" ht="23.85" hidden="false" customHeight="false" outlineLevel="0" collapsed="false">
      <c r="A1621" s="6" t="s">
        <v>2208</v>
      </c>
      <c r="B1621" s="6" t="s">
        <v>110</v>
      </c>
      <c r="C1621" s="6" t="s">
        <v>1362</v>
      </c>
      <c r="D1621" s="6" t="s">
        <v>1330</v>
      </c>
      <c r="E1621" s="6"/>
      <c r="F1621" s="6" t="s">
        <v>1891</v>
      </c>
      <c r="G1621" s="6" t="s">
        <v>4543</v>
      </c>
      <c r="H1621" s="6" t="s">
        <v>4544</v>
      </c>
      <c r="I1621" s="6" t="n">
        <v>28</v>
      </c>
      <c r="J1621" s="6"/>
      <c r="K1621" s="6" t="s">
        <v>4545</v>
      </c>
      <c r="L1621" s="7"/>
      <c r="M1621" s="7"/>
    </row>
    <row r="1622" customFormat="false" ht="35.05" hidden="false" customHeight="false" outlineLevel="0" collapsed="false">
      <c r="A1622" s="6" t="s">
        <v>2208</v>
      </c>
      <c r="B1622" s="6" t="s">
        <v>110</v>
      </c>
      <c r="C1622" s="6" t="s">
        <v>1362</v>
      </c>
      <c r="D1622" s="6" t="s">
        <v>1330</v>
      </c>
      <c r="E1622" s="6"/>
      <c r="F1622" s="6" t="s">
        <v>1891</v>
      </c>
      <c r="G1622" s="6" t="s">
        <v>4546</v>
      </c>
      <c r="H1622" s="6" t="s">
        <v>4547</v>
      </c>
      <c r="I1622" s="6" t="n">
        <v>46</v>
      </c>
      <c r="J1622" s="6"/>
      <c r="K1622" s="6" t="s">
        <v>4548</v>
      </c>
      <c r="L1622" s="7"/>
      <c r="M1622" s="7"/>
    </row>
    <row r="1623" customFormat="false" ht="23.85" hidden="false" customHeight="false" outlineLevel="0" collapsed="false">
      <c r="A1623" s="6" t="s">
        <v>2210</v>
      </c>
      <c r="B1623" s="6" t="s">
        <v>110</v>
      </c>
      <c r="C1623" s="6" t="s">
        <v>1362</v>
      </c>
      <c r="D1623" s="6" t="s">
        <v>1330</v>
      </c>
      <c r="E1623" s="6"/>
      <c r="F1623" s="6" t="s">
        <v>1894</v>
      </c>
      <c r="G1623" s="6" t="s">
        <v>4537</v>
      </c>
      <c r="H1623" s="6" t="s">
        <v>4573</v>
      </c>
      <c r="I1623" s="6" t="n">
        <v>98</v>
      </c>
      <c r="J1623" s="6" t="s">
        <v>83</v>
      </c>
      <c r="K1623" s="6" t="s">
        <v>4574</v>
      </c>
      <c r="L1623" s="7"/>
      <c r="M1623" s="7"/>
    </row>
    <row r="1624" customFormat="false" ht="23.85" hidden="false" customHeight="false" outlineLevel="0" collapsed="false">
      <c r="A1624" s="6" t="s">
        <v>2210</v>
      </c>
      <c r="B1624" s="6" t="s">
        <v>110</v>
      </c>
      <c r="C1624" s="6" t="s">
        <v>1362</v>
      </c>
      <c r="D1624" s="6" t="s">
        <v>1330</v>
      </c>
      <c r="E1624" s="6"/>
      <c r="F1624" s="6" t="s">
        <v>1894</v>
      </c>
      <c r="G1624" s="6" t="s">
        <v>4540</v>
      </c>
      <c r="H1624" s="6" t="s">
        <v>4541</v>
      </c>
      <c r="I1624" s="6" t="n">
        <v>38</v>
      </c>
      <c r="J1624" s="6"/>
      <c r="K1624" s="6" t="s">
        <v>4542</v>
      </c>
      <c r="L1624" s="7"/>
      <c r="M1624" s="7"/>
    </row>
    <row r="1625" customFormat="false" ht="23.85" hidden="false" customHeight="false" outlineLevel="0" collapsed="false">
      <c r="A1625" s="6" t="s">
        <v>2210</v>
      </c>
      <c r="B1625" s="6" t="s">
        <v>110</v>
      </c>
      <c r="C1625" s="6" t="s">
        <v>1362</v>
      </c>
      <c r="D1625" s="6" t="s">
        <v>1330</v>
      </c>
      <c r="E1625" s="6"/>
      <c r="F1625" s="6" t="s">
        <v>1894</v>
      </c>
      <c r="G1625" s="6" t="s">
        <v>4543</v>
      </c>
      <c r="H1625" s="6" t="s">
        <v>4544</v>
      </c>
      <c r="I1625" s="6" t="n">
        <v>28</v>
      </c>
      <c r="J1625" s="6"/>
      <c r="K1625" s="6" t="s">
        <v>4545</v>
      </c>
      <c r="L1625" s="7"/>
      <c r="M1625" s="7"/>
    </row>
    <row r="1626" customFormat="false" ht="35.05" hidden="false" customHeight="false" outlineLevel="0" collapsed="false">
      <c r="A1626" s="6" t="s">
        <v>2210</v>
      </c>
      <c r="B1626" s="6" t="s">
        <v>110</v>
      </c>
      <c r="C1626" s="6" t="s">
        <v>1362</v>
      </c>
      <c r="D1626" s="6" t="s">
        <v>1330</v>
      </c>
      <c r="E1626" s="6"/>
      <c r="F1626" s="6" t="s">
        <v>1894</v>
      </c>
      <c r="G1626" s="6" t="s">
        <v>4546</v>
      </c>
      <c r="H1626" s="6" t="s">
        <v>4547</v>
      </c>
      <c r="I1626" s="6" t="n">
        <v>46</v>
      </c>
      <c r="J1626" s="6"/>
      <c r="K1626" s="6" t="s">
        <v>4548</v>
      </c>
      <c r="L1626" s="7"/>
      <c r="M1626" s="7"/>
    </row>
    <row r="1627" customFormat="false" ht="23.85" hidden="false" customHeight="false" outlineLevel="0" collapsed="false">
      <c r="A1627" s="6" t="s">
        <v>2212</v>
      </c>
      <c r="B1627" s="6" t="s">
        <v>110</v>
      </c>
      <c r="C1627" s="6" t="s">
        <v>1362</v>
      </c>
      <c r="D1627" s="6" t="s">
        <v>1330</v>
      </c>
      <c r="E1627" s="6"/>
      <c r="F1627" s="6" t="s">
        <v>1897</v>
      </c>
      <c r="G1627" s="6" t="s">
        <v>4537</v>
      </c>
      <c r="H1627" s="6" t="s">
        <v>4573</v>
      </c>
      <c r="I1627" s="6" t="n">
        <v>98</v>
      </c>
      <c r="J1627" s="6" t="s">
        <v>83</v>
      </c>
      <c r="K1627" s="6" t="s">
        <v>4574</v>
      </c>
      <c r="L1627" s="7"/>
      <c r="M1627" s="7"/>
    </row>
    <row r="1628" customFormat="false" ht="23.85" hidden="false" customHeight="false" outlineLevel="0" collapsed="false">
      <c r="A1628" s="6" t="s">
        <v>2212</v>
      </c>
      <c r="B1628" s="6" t="s">
        <v>110</v>
      </c>
      <c r="C1628" s="6" t="s">
        <v>1362</v>
      </c>
      <c r="D1628" s="6" t="s">
        <v>1330</v>
      </c>
      <c r="E1628" s="6"/>
      <c r="F1628" s="6" t="s">
        <v>1897</v>
      </c>
      <c r="G1628" s="6" t="s">
        <v>4540</v>
      </c>
      <c r="H1628" s="6" t="s">
        <v>4541</v>
      </c>
      <c r="I1628" s="6" t="n">
        <v>38</v>
      </c>
      <c r="J1628" s="6"/>
      <c r="K1628" s="6" t="s">
        <v>4542</v>
      </c>
      <c r="L1628" s="7"/>
      <c r="M1628" s="7"/>
    </row>
    <row r="1629" customFormat="false" ht="23.85" hidden="false" customHeight="false" outlineLevel="0" collapsed="false">
      <c r="A1629" s="6" t="s">
        <v>2212</v>
      </c>
      <c r="B1629" s="6" t="s">
        <v>110</v>
      </c>
      <c r="C1629" s="6" t="s">
        <v>1362</v>
      </c>
      <c r="D1629" s="6" t="s">
        <v>1330</v>
      </c>
      <c r="E1629" s="6"/>
      <c r="F1629" s="6" t="s">
        <v>1897</v>
      </c>
      <c r="G1629" s="6" t="s">
        <v>4543</v>
      </c>
      <c r="H1629" s="6" t="s">
        <v>4544</v>
      </c>
      <c r="I1629" s="6" t="n">
        <v>28</v>
      </c>
      <c r="J1629" s="6"/>
      <c r="K1629" s="6" t="s">
        <v>4545</v>
      </c>
      <c r="L1629" s="7"/>
      <c r="M1629" s="7"/>
    </row>
    <row r="1630" customFormat="false" ht="35.05" hidden="false" customHeight="false" outlineLevel="0" collapsed="false">
      <c r="A1630" s="6" t="s">
        <v>2212</v>
      </c>
      <c r="B1630" s="6" t="s">
        <v>110</v>
      </c>
      <c r="C1630" s="6" t="s">
        <v>1362</v>
      </c>
      <c r="D1630" s="6" t="s">
        <v>1330</v>
      </c>
      <c r="E1630" s="6"/>
      <c r="F1630" s="6" t="s">
        <v>1897</v>
      </c>
      <c r="G1630" s="6" t="s">
        <v>4546</v>
      </c>
      <c r="H1630" s="6" t="s">
        <v>4547</v>
      </c>
      <c r="I1630" s="6" t="n">
        <v>46</v>
      </c>
      <c r="J1630" s="6"/>
      <c r="K1630" s="6" t="s">
        <v>4548</v>
      </c>
      <c r="L1630" s="7"/>
      <c r="M1630" s="7"/>
    </row>
    <row r="1631" customFormat="false" ht="23.85" hidden="false" customHeight="false" outlineLevel="0" collapsed="false">
      <c r="A1631" s="6" t="s">
        <v>2214</v>
      </c>
      <c r="B1631" s="6" t="s">
        <v>110</v>
      </c>
      <c r="C1631" s="6" t="s">
        <v>1362</v>
      </c>
      <c r="D1631" s="6" t="s">
        <v>1330</v>
      </c>
      <c r="E1631" s="6"/>
      <c r="F1631" s="6" t="s">
        <v>1900</v>
      </c>
      <c r="G1631" s="6" t="s">
        <v>4537</v>
      </c>
      <c r="H1631" s="6" t="s">
        <v>4573</v>
      </c>
      <c r="I1631" s="6" t="n">
        <v>98</v>
      </c>
      <c r="J1631" s="6" t="s">
        <v>83</v>
      </c>
      <c r="K1631" s="6" t="s">
        <v>4574</v>
      </c>
      <c r="L1631" s="7"/>
      <c r="M1631" s="7"/>
    </row>
    <row r="1632" customFormat="false" ht="23.85" hidden="false" customHeight="false" outlineLevel="0" collapsed="false">
      <c r="A1632" s="6" t="s">
        <v>2214</v>
      </c>
      <c r="B1632" s="6" t="s">
        <v>110</v>
      </c>
      <c r="C1632" s="6" t="s">
        <v>1362</v>
      </c>
      <c r="D1632" s="6" t="s">
        <v>1330</v>
      </c>
      <c r="E1632" s="6"/>
      <c r="F1632" s="6" t="s">
        <v>1900</v>
      </c>
      <c r="G1632" s="6" t="s">
        <v>4540</v>
      </c>
      <c r="H1632" s="6" t="s">
        <v>4541</v>
      </c>
      <c r="I1632" s="6" t="n">
        <v>38</v>
      </c>
      <c r="J1632" s="6"/>
      <c r="K1632" s="6" t="s">
        <v>4542</v>
      </c>
      <c r="L1632" s="7"/>
      <c r="M1632" s="7"/>
    </row>
    <row r="1633" customFormat="false" ht="23.85" hidden="false" customHeight="false" outlineLevel="0" collapsed="false">
      <c r="A1633" s="6" t="s">
        <v>2214</v>
      </c>
      <c r="B1633" s="6" t="s">
        <v>110</v>
      </c>
      <c r="C1633" s="6" t="s">
        <v>1362</v>
      </c>
      <c r="D1633" s="6" t="s">
        <v>1330</v>
      </c>
      <c r="E1633" s="6"/>
      <c r="F1633" s="6" t="s">
        <v>1900</v>
      </c>
      <c r="G1633" s="6" t="s">
        <v>4543</v>
      </c>
      <c r="H1633" s="6" t="s">
        <v>4544</v>
      </c>
      <c r="I1633" s="6" t="n">
        <v>28</v>
      </c>
      <c r="J1633" s="6"/>
      <c r="K1633" s="6" t="s">
        <v>4545</v>
      </c>
      <c r="L1633" s="7"/>
      <c r="M1633" s="7"/>
    </row>
    <row r="1634" customFormat="false" ht="35.05" hidden="false" customHeight="false" outlineLevel="0" collapsed="false">
      <c r="A1634" s="6" t="s">
        <v>2214</v>
      </c>
      <c r="B1634" s="6" t="s">
        <v>110</v>
      </c>
      <c r="C1634" s="6" t="s">
        <v>1362</v>
      </c>
      <c r="D1634" s="6" t="s">
        <v>1330</v>
      </c>
      <c r="E1634" s="6"/>
      <c r="F1634" s="6" t="s">
        <v>1900</v>
      </c>
      <c r="G1634" s="6" t="s">
        <v>4546</v>
      </c>
      <c r="H1634" s="6" t="s">
        <v>4547</v>
      </c>
      <c r="I1634" s="6" t="n">
        <v>46</v>
      </c>
      <c r="J1634" s="6"/>
      <c r="K1634" s="6" t="s">
        <v>4548</v>
      </c>
      <c r="L1634" s="7"/>
      <c r="M1634" s="7"/>
    </row>
    <row r="1635" customFormat="false" ht="23.85" hidden="false" customHeight="false" outlineLevel="0" collapsed="false">
      <c r="A1635" s="6" t="s">
        <v>2216</v>
      </c>
      <c r="B1635" s="6" t="s">
        <v>110</v>
      </c>
      <c r="C1635" s="6" t="s">
        <v>1362</v>
      </c>
      <c r="D1635" s="6" t="s">
        <v>1330</v>
      </c>
      <c r="E1635" s="6"/>
      <c r="F1635" s="6" t="s">
        <v>1903</v>
      </c>
      <c r="G1635" s="6" t="s">
        <v>4537</v>
      </c>
      <c r="H1635" s="6" t="s">
        <v>4573</v>
      </c>
      <c r="I1635" s="6" t="n">
        <v>98</v>
      </c>
      <c r="J1635" s="6" t="s">
        <v>83</v>
      </c>
      <c r="K1635" s="6" t="s">
        <v>4574</v>
      </c>
      <c r="L1635" s="7"/>
      <c r="M1635" s="7"/>
    </row>
    <row r="1636" customFormat="false" ht="23.85" hidden="false" customHeight="false" outlineLevel="0" collapsed="false">
      <c r="A1636" s="6" t="s">
        <v>2216</v>
      </c>
      <c r="B1636" s="6" t="s">
        <v>110</v>
      </c>
      <c r="C1636" s="6" t="s">
        <v>1362</v>
      </c>
      <c r="D1636" s="6" t="s">
        <v>1330</v>
      </c>
      <c r="E1636" s="6"/>
      <c r="F1636" s="6" t="s">
        <v>1903</v>
      </c>
      <c r="G1636" s="6" t="s">
        <v>4540</v>
      </c>
      <c r="H1636" s="6" t="s">
        <v>4541</v>
      </c>
      <c r="I1636" s="6" t="n">
        <v>38</v>
      </c>
      <c r="J1636" s="6"/>
      <c r="K1636" s="6" t="s">
        <v>4542</v>
      </c>
      <c r="L1636" s="7"/>
      <c r="M1636" s="7"/>
    </row>
    <row r="1637" customFormat="false" ht="23.85" hidden="false" customHeight="false" outlineLevel="0" collapsed="false">
      <c r="A1637" s="6" t="s">
        <v>2216</v>
      </c>
      <c r="B1637" s="6" t="s">
        <v>110</v>
      </c>
      <c r="C1637" s="6" t="s">
        <v>1362</v>
      </c>
      <c r="D1637" s="6" t="s">
        <v>1330</v>
      </c>
      <c r="E1637" s="6"/>
      <c r="F1637" s="6" t="s">
        <v>1903</v>
      </c>
      <c r="G1637" s="6" t="s">
        <v>4543</v>
      </c>
      <c r="H1637" s="6" t="s">
        <v>4544</v>
      </c>
      <c r="I1637" s="6" t="n">
        <v>28</v>
      </c>
      <c r="J1637" s="6"/>
      <c r="K1637" s="6" t="s">
        <v>4545</v>
      </c>
      <c r="L1637" s="7"/>
      <c r="M1637" s="7"/>
    </row>
    <row r="1638" customFormat="false" ht="35.05" hidden="false" customHeight="false" outlineLevel="0" collapsed="false">
      <c r="A1638" s="6" t="s">
        <v>2216</v>
      </c>
      <c r="B1638" s="6" t="s">
        <v>110</v>
      </c>
      <c r="C1638" s="6" t="s">
        <v>1362</v>
      </c>
      <c r="D1638" s="6" t="s">
        <v>1330</v>
      </c>
      <c r="E1638" s="6"/>
      <c r="F1638" s="6" t="s">
        <v>1903</v>
      </c>
      <c r="G1638" s="6" t="s">
        <v>4546</v>
      </c>
      <c r="H1638" s="6" t="s">
        <v>4547</v>
      </c>
      <c r="I1638" s="6" t="n">
        <v>46</v>
      </c>
      <c r="J1638" s="6"/>
      <c r="K1638" s="6" t="s">
        <v>4548</v>
      </c>
      <c r="L1638" s="7"/>
      <c r="M1638" s="7"/>
    </row>
    <row r="1639" customFormat="false" ht="23.85" hidden="false" customHeight="false" outlineLevel="0" collapsed="false">
      <c r="A1639" s="6" t="s">
        <v>2218</v>
      </c>
      <c r="B1639" s="6" t="s">
        <v>110</v>
      </c>
      <c r="C1639" s="6" t="s">
        <v>1362</v>
      </c>
      <c r="D1639" s="6" t="s">
        <v>1330</v>
      </c>
      <c r="E1639" s="6"/>
      <c r="F1639" s="6" t="s">
        <v>1906</v>
      </c>
      <c r="G1639" s="6" t="s">
        <v>4537</v>
      </c>
      <c r="H1639" s="6" t="s">
        <v>4573</v>
      </c>
      <c r="I1639" s="6" t="n">
        <v>98</v>
      </c>
      <c r="J1639" s="6" t="s">
        <v>83</v>
      </c>
      <c r="K1639" s="6" t="s">
        <v>4574</v>
      </c>
      <c r="L1639" s="7"/>
      <c r="M1639" s="7"/>
    </row>
    <row r="1640" customFormat="false" ht="23.85" hidden="false" customHeight="false" outlineLevel="0" collapsed="false">
      <c r="A1640" s="6" t="s">
        <v>2218</v>
      </c>
      <c r="B1640" s="6" t="s">
        <v>110</v>
      </c>
      <c r="C1640" s="6" t="s">
        <v>1362</v>
      </c>
      <c r="D1640" s="6" t="s">
        <v>1330</v>
      </c>
      <c r="E1640" s="6"/>
      <c r="F1640" s="6" t="s">
        <v>1906</v>
      </c>
      <c r="G1640" s="6" t="s">
        <v>4540</v>
      </c>
      <c r="H1640" s="6" t="s">
        <v>4541</v>
      </c>
      <c r="I1640" s="6" t="n">
        <v>38</v>
      </c>
      <c r="J1640" s="6"/>
      <c r="K1640" s="6" t="s">
        <v>4542</v>
      </c>
      <c r="L1640" s="7"/>
      <c r="M1640" s="7"/>
    </row>
    <row r="1641" customFormat="false" ht="23.85" hidden="false" customHeight="false" outlineLevel="0" collapsed="false">
      <c r="A1641" s="6" t="s">
        <v>2218</v>
      </c>
      <c r="B1641" s="6" t="s">
        <v>110</v>
      </c>
      <c r="C1641" s="6" t="s">
        <v>1362</v>
      </c>
      <c r="D1641" s="6" t="s">
        <v>1330</v>
      </c>
      <c r="E1641" s="6"/>
      <c r="F1641" s="6" t="s">
        <v>1906</v>
      </c>
      <c r="G1641" s="6" t="s">
        <v>4543</v>
      </c>
      <c r="H1641" s="6" t="s">
        <v>4544</v>
      </c>
      <c r="I1641" s="6" t="n">
        <v>28</v>
      </c>
      <c r="J1641" s="6"/>
      <c r="K1641" s="6" t="s">
        <v>4545</v>
      </c>
      <c r="L1641" s="7"/>
      <c r="M1641" s="7"/>
    </row>
    <row r="1642" customFormat="false" ht="35.05" hidden="false" customHeight="false" outlineLevel="0" collapsed="false">
      <c r="A1642" s="6" t="s">
        <v>2218</v>
      </c>
      <c r="B1642" s="6" t="s">
        <v>110</v>
      </c>
      <c r="C1642" s="6" t="s">
        <v>1362</v>
      </c>
      <c r="D1642" s="6" t="s">
        <v>1330</v>
      </c>
      <c r="E1642" s="6"/>
      <c r="F1642" s="6" t="s">
        <v>1906</v>
      </c>
      <c r="G1642" s="6" t="s">
        <v>4546</v>
      </c>
      <c r="H1642" s="6" t="s">
        <v>4547</v>
      </c>
      <c r="I1642" s="6" t="n">
        <v>46</v>
      </c>
      <c r="J1642" s="6"/>
      <c r="K1642" s="6" t="s">
        <v>4548</v>
      </c>
      <c r="L1642" s="7"/>
      <c r="M1642" s="7"/>
    </row>
    <row r="1643" customFormat="false" ht="23.85" hidden="false" customHeight="false" outlineLevel="0" collapsed="false">
      <c r="A1643" s="6" t="s">
        <v>2220</v>
      </c>
      <c r="B1643" s="6" t="s">
        <v>110</v>
      </c>
      <c r="C1643" s="6" t="s">
        <v>1362</v>
      </c>
      <c r="D1643" s="6" t="s">
        <v>1330</v>
      </c>
      <c r="E1643" s="6"/>
      <c r="F1643" s="6" t="s">
        <v>1909</v>
      </c>
      <c r="G1643" s="6" t="s">
        <v>4537</v>
      </c>
      <c r="H1643" s="6" t="s">
        <v>4573</v>
      </c>
      <c r="I1643" s="6" t="n">
        <v>98</v>
      </c>
      <c r="J1643" s="6" t="s">
        <v>83</v>
      </c>
      <c r="K1643" s="6" t="s">
        <v>4574</v>
      </c>
      <c r="L1643" s="7"/>
      <c r="M1643" s="7"/>
    </row>
    <row r="1644" customFormat="false" ht="23.85" hidden="false" customHeight="false" outlineLevel="0" collapsed="false">
      <c r="A1644" s="6" t="s">
        <v>2220</v>
      </c>
      <c r="B1644" s="6" t="s">
        <v>110</v>
      </c>
      <c r="C1644" s="6" t="s">
        <v>1362</v>
      </c>
      <c r="D1644" s="6" t="s">
        <v>1330</v>
      </c>
      <c r="E1644" s="6"/>
      <c r="F1644" s="6" t="s">
        <v>1909</v>
      </c>
      <c r="G1644" s="6" t="s">
        <v>4540</v>
      </c>
      <c r="H1644" s="6" t="s">
        <v>4541</v>
      </c>
      <c r="I1644" s="6" t="n">
        <v>38</v>
      </c>
      <c r="J1644" s="6"/>
      <c r="K1644" s="6" t="s">
        <v>4542</v>
      </c>
      <c r="L1644" s="7"/>
      <c r="M1644" s="7"/>
    </row>
    <row r="1645" customFormat="false" ht="23.85" hidden="false" customHeight="false" outlineLevel="0" collapsed="false">
      <c r="A1645" s="6" t="s">
        <v>2220</v>
      </c>
      <c r="B1645" s="6" t="s">
        <v>110</v>
      </c>
      <c r="C1645" s="6" t="s">
        <v>1362</v>
      </c>
      <c r="D1645" s="6" t="s">
        <v>1330</v>
      </c>
      <c r="E1645" s="6"/>
      <c r="F1645" s="6" t="s">
        <v>1909</v>
      </c>
      <c r="G1645" s="6" t="s">
        <v>4543</v>
      </c>
      <c r="H1645" s="6" t="s">
        <v>4544</v>
      </c>
      <c r="I1645" s="6" t="n">
        <v>28</v>
      </c>
      <c r="J1645" s="6"/>
      <c r="K1645" s="6" t="s">
        <v>4545</v>
      </c>
      <c r="L1645" s="7"/>
      <c r="M1645" s="7"/>
    </row>
    <row r="1646" customFormat="false" ht="35.05" hidden="false" customHeight="false" outlineLevel="0" collapsed="false">
      <c r="A1646" s="6" t="s">
        <v>2220</v>
      </c>
      <c r="B1646" s="6" t="s">
        <v>110</v>
      </c>
      <c r="C1646" s="6" t="s">
        <v>1362</v>
      </c>
      <c r="D1646" s="6" t="s">
        <v>1330</v>
      </c>
      <c r="E1646" s="6"/>
      <c r="F1646" s="6" t="s">
        <v>1909</v>
      </c>
      <c r="G1646" s="6" t="s">
        <v>4546</v>
      </c>
      <c r="H1646" s="6" t="s">
        <v>4547</v>
      </c>
      <c r="I1646" s="6" t="n">
        <v>46</v>
      </c>
      <c r="J1646" s="6"/>
      <c r="K1646" s="6" t="s">
        <v>4548</v>
      </c>
      <c r="L1646" s="7"/>
      <c r="M1646" s="7"/>
    </row>
    <row r="1647" customFormat="false" ht="23.85" hidden="false" customHeight="false" outlineLevel="0" collapsed="false">
      <c r="A1647" s="6" t="s">
        <v>2222</v>
      </c>
      <c r="B1647" s="6" t="s">
        <v>110</v>
      </c>
      <c r="C1647" s="6" t="s">
        <v>1362</v>
      </c>
      <c r="D1647" s="6" t="s">
        <v>1330</v>
      </c>
      <c r="E1647" s="6"/>
      <c r="F1647" s="6" t="s">
        <v>1879</v>
      </c>
      <c r="G1647" s="6" t="s">
        <v>4537</v>
      </c>
      <c r="H1647" s="6" t="s">
        <v>4575</v>
      </c>
      <c r="I1647" s="6" t="n">
        <v>98</v>
      </c>
      <c r="J1647" s="6" t="s">
        <v>83</v>
      </c>
      <c r="K1647" s="6" t="s">
        <v>4576</v>
      </c>
      <c r="L1647" s="7"/>
      <c r="M1647" s="7"/>
    </row>
    <row r="1648" customFormat="false" ht="23.85" hidden="false" customHeight="false" outlineLevel="0" collapsed="false">
      <c r="A1648" s="6" t="s">
        <v>2222</v>
      </c>
      <c r="B1648" s="6" t="s">
        <v>110</v>
      </c>
      <c r="C1648" s="6" t="s">
        <v>1362</v>
      </c>
      <c r="D1648" s="6" t="s">
        <v>1330</v>
      </c>
      <c r="E1648" s="6"/>
      <c r="F1648" s="6" t="s">
        <v>1879</v>
      </c>
      <c r="G1648" s="6" t="s">
        <v>4540</v>
      </c>
      <c r="H1648" s="6" t="s">
        <v>4541</v>
      </c>
      <c r="I1648" s="6" t="n">
        <v>38</v>
      </c>
      <c r="J1648" s="6"/>
      <c r="K1648" s="6" t="s">
        <v>4542</v>
      </c>
      <c r="L1648" s="7"/>
      <c r="M1648" s="7"/>
    </row>
    <row r="1649" customFormat="false" ht="23.85" hidden="false" customHeight="false" outlineLevel="0" collapsed="false">
      <c r="A1649" s="6" t="s">
        <v>2222</v>
      </c>
      <c r="B1649" s="6" t="s">
        <v>110</v>
      </c>
      <c r="C1649" s="6" t="s">
        <v>1362</v>
      </c>
      <c r="D1649" s="6" t="s">
        <v>1330</v>
      </c>
      <c r="E1649" s="6"/>
      <c r="F1649" s="6" t="s">
        <v>1879</v>
      </c>
      <c r="G1649" s="6" t="s">
        <v>4543</v>
      </c>
      <c r="H1649" s="6" t="s">
        <v>4544</v>
      </c>
      <c r="I1649" s="6" t="n">
        <v>28</v>
      </c>
      <c r="J1649" s="6"/>
      <c r="K1649" s="6" t="s">
        <v>4545</v>
      </c>
      <c r="L1649" s="7"/>
      <c r="M1649" s="7"/>
    </row>
    <row r="1650" customFormat="false" ht="35.05" hidden="false" customHeight="false" outlineLevel="0" collapsed="false">
      <c r="A1650" s="6" t="s">
        <v>2222</v>
      </c>
      <c r="B1650" s="6" t="s">
        <v>110</v>
      </c>
      <c r="C1650" s="6" t="s">
        <v>1362</v>
      </c>
      <c r="D1650" s="6" t="s">
        <v>1330</v>
      </c>
      <c r="E1650" s="6"/>
      <c r="F1650" s="6" t="s">
        <v>1879</v>
      </c>
      <c r="G1650" s="6" t="s">
        <v>4546</v>
      </c>
      <c r="H1650" s="6" t="s">
        <v>4547</v>
      </c>
      <c r="I1650" s="6" t="n">
        <v>46</v>
      </c>
      <c r="J1650" s="6"/>
      <c r="K1650" s="6" t="s">
        <v>4548</v>
      </c>
      <c r="L1650" s="7"/>
      <c r="M1650" s="7"/>
    </row>
    <row r="1651" customFormat="false" ht="23.85" hidden="false" customHeight="false" outlineLevel="0" collapsed="false">
      <c r="A1651" s="6" t="s">
        <v>2228</v>
      </c>
      <c r="B1651" s="6" t="s">
        <v>110</v>
      </c>
      <c r="C1651" s="6" t="s">
        <v>1362</v>
      </c>
      <c r="D1651" s="6" t="s">
        <v>1330</v>
      </c>
      <c r="E1651" s="6"/>
      <c r="F1651" s="6" t="s">
        <v>1885</v>
      </c>
      <c r="G1651" s="6" t="s">
        <v>4537</v>
      </c>
      <c r="H1651" s="6" t="s">
        <v>4575</v>
      </c>
      <c r="I1651" s="6" t="n">
        <v>98</v>
      </c>
      <c r="J1651" s="6" t="s">
        <v>83</v>
      </c>
      <c r="K1651" s="6" t="s">
        <v>4576</v>
      </c>
      <c r="L1651" s="7"/>
      <c r="M1651" s="7"/>
    </row>
    <row r="1652" customFormat="false" ht="23.85" hidden="false" customHeight="false" outlineLevel="0" collapsed="false">
      <c r="A1652" s="6" t="s">
        <v>2228</v>
      </c>
      <c r="B1652" s="6" t="s">
        <v>110</v>
      </c>
      <c r="C1652" s="6" t="s">
        <v>1362</v>
      </c>
      <c r="D1652" s="6" t="s">
        <v>1330</v>
      </c>
      <c r="E1652" s="6"/>
      <c r="F1652" s="6" t="s">
        <v>1885</v>
      </c>
      <c r="G1652" s="6" t="s">
        <v>4540</v>
      </c>
      <c r="H1652" s="6" t="s">
        <v>4541</v>
      </c>
      <c r="I1652" s="6" t="n">
        <v>38</v>
      </c>
      <c r="J1652" s="6"/>
      <c r="K1652" s="6" t="s">
        <v>4542</v>
      </c>
      <c r="L1652" s="7"/>
      <c r="M1652" s="7"/>
    </row>
    <row r="1653" customFormat="false" ht="23.85" hidden="false" customHeight="false" outlineLevel="0" collapsed="false">
      <c r="A1653" s="6" t="s">
        <v>2228</v>
      </c>
      <c r="B1653" s="6" t="s">
        <v>110</v>
      </c>
      <c r="C1653" s="6" t="s">
        <v>1362</v>
      </c>
      <c r="D1653" s="6" t="s">
        <v>1330</v>
      </c>
      <c r="E1653" s="6"/>
      <c r="F1653" s="6" t="s">
        <v>1885</v>
      </c>
      <c r="G1653" s="6" t="s">
        <v>4543</v>
      </c>
      <c r="H1653" s="6" t="s">
        <v>4544</v>
      </c>
      <c r="I1653" s="6" t="n">
        <v>28</v>
      </c>
      <c r="J1653" s="6"/>
      <c r="K1653" s="6" t="s">
        <v>4545</v>
      </c>
      <c r="L1653" s="7"/>
      <c r="M1653" s="7"/>
    </row>
    <row r="1654" customFormat="false" ht="35.05" hidden="false" customHeight="false" outlineLevel="0" collapsed="false">
      <c r="A1654" s="6" t="s">
        <v>2228</v>
      </c>
      <c r="B1654" s="6" t="s">
        <v>110</v>
      </c>
      <c r="C1654" s="6" t="s">
        <v>1362</v>
      </c>
      <c r="D1654" s="6" t="s">
        <v>1330</v>
      </c>
      <c r="E1654" s="6"/>
      <c r="F1654" s="6" t="s">
        <v>1885</v>
      </c>
      <c r="G1654" s="6" t="s">
        <v>4546</v>
      </c>
      <c r="H1654" s="6" t="s">
        <v>4547</v>
      </c>
      <c r="I1654" s="6" t="n">
        <v>46</v>
      </c>
      <c r="J1654" s="6"/>
      <c r="K1654" s="6" t="s">
        <v>4548</v>
      </c>
      <c r="L1654" s="7"/>
      <c r="M1654" s="7"/>
    </row>
    <row r="1655" customFormat="false" ht="23.85" hidden="false" customHeight="false" outlineLevel="0" collapsed="false">
      <c r="A1655" s="6" t="s">
        <v>2230</v>
      </c>
      <c r="B1655" s="6" t="s">
        <v>110</v>
      </c>
      <c r="C1655" s="6" t="s">
        <v>1362</v>
      </c>
      <c r="D1655" s="6" t="s">
        <v>1330</v>
      </c>
      <c r="E1655" s="6"/>
      <c r="F1655" s="6" t="s">
        <v>1888</v>
      </c>
      <c r="G1655" s="6" t="s">
        <v>4537</v>
      </c>
      <c r="H1655" s="6" t="s">
        <v>4575</v>
      </c>
      <c r="I1655" s="6" t="n">
        <v>98</v>
      </c>
      <c r="J1655" s="6" t="s">
        <v>83</v>
      </c>
      <c r="K1655" s="6" t="s">
        <v>4576</v>
      </c>
      <c r="L1655" s="7"/>
      <c r="M1655" s="7"/>
    </row>
    <row r="1656" customFormat="false" ht="23.85" hidden="false" customHeight="false" outlineLevel="0" collapsed="false">
      <c r="A1656" s="6" t="s">
        <v>2230</v>
      </c>
      <c r="B1656" s="6" t="s">
        <v>110</v>
      </c>
      <c r="C1656" s="6" t="s">
        <v>1362</v>
      </c>
      <c r="D1656" s="6" t="s">
        <v>1330</v>
      </c>
      <c r="E1656" s="6"/>
      <c r="F1656" s="6" t="s">
        <v>1888</v>
      </c>
      <c r="G1656" s="6" t="s">
        <v>4540</v>
      </c>
      <c r="H1656" s="6" t="s">
        <v>4541</v>
      </c>
      <c r="I1656" s="6" t="n">
        <v>38</v>
      </c>
      <c r="J1656" s="6"/>
      <c r="K1656" s="6" t="s">
        <v>4542</v>
      </c>
      <c r="L1656" s="7"/>
      <c r="M1656" s="7"/>
    </row>
    <row r="1657" customFormat="false" ht="23.85" hidden="false" customHeight="false" outlineLevel="0" collapsed="false">
      <c r="A1657" s="6" t="s">
        <v>2230</v>
      </c>
      <c r="B1657" s="6" t="s">
        <v>110</v>
      </c>
      <c r="C1657" s="6" t="s">
        <v>1362</v>
      </c>
      <c r="D1657" s="6" t="s">
        <v>1330</v>
      </c>
      <c r="E1657" s="6"/>
      <c r="F1657" s="6" t="s">
        <v>1888</v>
      </c>
      <c r="G1657" s="6" t="s">
        <v>4543</v>
      </c>
      <c r="H1657" s="6" t="s">
        <v>4544</v>
      </c>
      <c r="I1657" s="6" t="n">
        <v>28</v>
      </c>
      <c r="J1657" s="6"/>
      <c r="K1657" s="6" t="s">
        <v>4545</v>
      </c>
      <c r="L1657" s="7"/>
      <c r="M1657" s="7"/>
    </row>
    <row r="1658" customFormat="false" ht="35.05" hidden="false" customHeight="false" outlineLevel="0" collapsed="false">
      <c r="A1658" s="6" t="s">
        <v>2230</v>
      </c>
      <c r="B1658" s="6" t="s">
        <v>110</v>
      </c>
      <c r="C1658" s="6" t="s">
        <v>1362</v>
      </c>
      <c r="D1658" s="6" t="s">
        <v>1330</v>
      </c>
      <c r="E1658" s="6"/>
      <c r="F1658" s="6" t="s">
        <v>1888</v>
      </c>
      <c r="G1658" s="6" t="s">
        <v>4546</v>
      </c>
      <c r="H1658" s="6" t="s">
        <v>4547</v>
      </c>
      <c r="I1658" s="6" t="n">
        <v>46</v>
      </c>
      <c r="J1658" s="6"/>
      <c r="K1658" s="6" t="s">
        <v>4548</v>
      </c>
      <c r="L1658" s="7"/>
      <c r="M1658" s="7"/>
    </row>
    <row r="1659" customFormat="false" ht="23.85" hidden="false" customHeight="false" outlineLevel="0" collapsed="false">
      <c r="A1659" s="6" t="s">
        <v>2232</v>
      </c>
      <c r="B1659" s="6" t="s">
        <v>110</v>
      </c>
      <c r="C1659" s="6" t="s">
        <v>1362</v>
      </c>
      <c r="D1659" s="6" t="s">
        <v>1330</v>
      </c>
      <c r="E1659" s="6"/>
      <c r="F1659" s="6" t="s">
        <v>1891</v>
      </c>
      <c r="G1659" s="6" t="s">
        <v>4537</v>
      </c>
      <c r="H1659" s="6" t="s">
        <v>4575</v>
      </c>
      <c r="I1659" s="6" t="n">
        <v>98</v>
      </c>
      <c r="J1659" s="6" t="s">
        <v>83</v>
      </c>
      <c r="K1659" s="6" t="s">
        <v>4576</v>
      </c>
      <c r="L1659" s="7"/>
      <c r="M1659" s="7"/>
    </row>
    <row r="1660" customFormat="false" ht="23.85" hidden="false" customHeight="false" outlineLevel="0" collapsed="false">
      <c r="A1660" s="6" t="s">
        <v>2232</v>
      </c>
      <c r="B1660" s="6" t="s">
        <v>110</v>
      </c>
      <c r="C1660" s="6" t="s">
        <v>1362</v>
      </c>
      <c r="D1660" s="6" t="s">
        <v>1330</v>
      </c>
      <c r="E1660" s="6"/>
      <c r="F1660" s="6" t="s">
        <v>1891</v>
      </c>
      <c r="G1660" s="6" t="s">
        <v>4540</v>
      </c>
      <c r="H1660" s="6" t="s">
        <v>4541</v>
      </c>
      <c r="I1660" s="6" t="n">
        <v>38</v>
      </c>
      <c r="J1660" s="6"/>
      <c r="K1660" s="6" t="s">
        <v>4542</v>
      </c>
      <c r="L1660" s="7"/>
      <c r="M1660" s="7"/>
    </row>
    <row r="1661" customFormat="false" ht="23.85" hidden="false" customHeight="false" outlineLevel="0" collapsed="false">
      <c r="A1661" s="6" t="s">
        <v>2232</v>
      </c>
      <c r="B1661" s="6" t="s">
        <v>110</v>
      </c>
      <c r="C1661" s="6" t="s">
        <v>1362</v>
      </c>
      <c r="D1661" s="6" t="s">
        <v>1330</v>
      </c>
      <c r="E1661" s="6"/>
      <c r="F1661" s="6" t="s">
        <v>1891</v>
      </c>
      <c r="G1661" s="6" t="s">
        <v>4543</v>
      </c>
      <c r="H1661" s="6" t="s">
        <v>4544</v>
      </c>
      <c r="I1661" s="6" t="n">
        <v>28</v>
      </c>
      <c r="J1661" s="6"/>
      <c r="K1661" s="6" t="s">
        <v>4545</v>
      </c>
      <c r="L1661" s="7"/>
      <c r="M1661" s="7"/>
    </row>
    <row r="1662" customFormat="false" ht="35.05" hidden="false" customHeight="false" outlineLevel="0" collapsed="false">
      <c r="A1662" s="6" t="s">
        <v>2232</v>
      </c>
      <c r="B1662" s="6" t="s">
        <v>110</v>
      </c>
      <c r="C1662" s="6" t="s">
        <v>1362</v>
      </c>
      <c r="D1662" s="6" t="s">
        <v>1330</v>
      </c>
      <c r="E1662" s="6"/>
      <c r="F1662" s="6" t="s">
        <v>1891</v>
      </c>
      <c r="G1662" s="6" t="s">
        <v>4546</v>
      </c>
      <c r="H1662" s="6" t="s">
        <v>4547</v>
      </c>
      <c r="I1662" s="6" t="n">
        <v>46</v>
      </c>
      <c r="J1662" s="6"/>
      <c r="K1662" s="6" t="s">
        <v>4548</v>
      </c>
      <c r="L1662" s="7"/>
      <c r="M1662" s="7"/>
    </row>
    <row r="1663" customFormat="false" ht="23.85" hidden="false" customHeight="false" outlineLevel="0" collapsed="false">
      <c r="A1663" s="6" t="s">
        <v>2234</v>
      </c>
      <c r="B1663" s="6" t="s">
        <v>110</v>
      </c>
      <c r="C1663" s="6" t="s">
        <v>1362</v>
      </c>
      <c r="D1663" s="6" t="s">
        <v>1330</v>
      </c>
      <c r="E1663" s="6"/>
      <c r="F1663" s="6" t="s">
        <v>1894</v>
      </c>
      <c r="G1663" s="6" t="s">
        <v>4537</v>
      </c>
      <c r="H1663" s="6" t="s">
        <v>4575</v>
      </c>
      <c r="I1663" s="6" t="n">
        <v>98</v>
      </c>
      <c r="J1663" s="6" t="s">
        <v>83</v>
      </c>
      <c r="K1663" s="6" t="s">
        <v>4576</v>
      </c>
      <c r="L1663" s="7"/>
      <c r="M1663" s="7"/>
    </row>
    <row r="1664" customFormat="false" ht="23.85" hidden="false" customHeight="false" outlineLevel="0" collapsed="false">
      <c r="A1664" s="6" t="s">
        <v>2234</v>
      </c>
      <c r="B1664" s="6" t="s">
        <v>110</v>
      </c>
      <c r="C1664" s="6" t="s">
        <v>1362</v>
      </c>
      <c r="D1664" s="6" t="s">
        <v>1330</v>
      </c>
      <c r="E1664" s="6"/>
      <c r="F1664" s="6" t="s">
        <v>1894</v>
      </c>
      <c r="G1664" s="6" t="s">
        <v>4540</v>
      </c>
      <c r="H1664" s="6" t="s">
        <v>4541</v>
      </c>
      <c r="I1664" s="6" t="n">
        <v>38</v>
      </c>
      <c r="J1664" s="6"/>
      <c r="K1664" s="6" t="s">
        <v>4542</v>
      </c>
      <c r="L1664" s="7"/>
      <c r="M1664" s="7"/>
    </row>
    <row r="1665" customFormat="false" ht="23.85" hidden="false" customHeight="false" outlineLevel="0" collapsed="false">
      <c r="A1665" s="6" t="s">
        <v>2234</v>
      </c>
      <c r="B1665" s="6" t="s">
        <v>110</v>
      </c>
      <c r="C1665" s="6" t="s">
        <v>1362</v>
      </c>
      <c r="D1665" s="6" t="s">
        <v>1330</v>
      </c>
      <c r="E1665" s="6"/>
      <c r="F1665" s="6" t="s">
        <v>1894</v>
      </c>
      <c r="G1665" s="6" t="s">
        <v>4543</v>
      </c>
      <c r="H1665" s="6" t="s">
        <v>4544</v>
      </c>
      <c r="I1665" s="6" t="n">
        <v>28</v>
      </c>
      <c r="J1665" s="6"/>
      <c r="K1665" s="6" t="s">
        <v>4545</v>
      </c>
      <c r="L1665" s="7"/>
      <c r="M1665" s="7"/>
    </row>
    <row r="1666" customFormat="false" ht="35.05" hidden="false" customHeight="false" outlineLevel="0" collapsed="false">
      <c r="A1666" s="6" t="s">
        <v>2234</v>
      </c>
      <c r="B1666" s="6" t="s">
        <v>110</v>
      </c>
      <c r="C1666" s="6" t="s">
        <v>1362</v>
      </c>
      <c r="D1666" s="6" t="s">
        <v>1330</v>
      </c>
      <c r="E1666" s="6"/>
      <c r="F1666" s="6" t="s">
        <v>1894</v>
      </c>
      <c r="G1666" s="6" t="s">
        <v>4546</v>
      </c>
      <c r="H1666" s="6" t="s">
        <v>4547</v>
      </c>
      <c r="I1666" s="6" t="n">
        <v>46</v>
      </c>
      <c r="J1666" s="6"/>
      <c r="K1666" s="6" t="s">
        <v>4548</v>
      </c>
      <c r="L1666" s="7"/>
      <c r="M1666" s="7"/>
    </row>
    <row r="1667" customFormat="false" ht="23.85" hidden="false" customHeight="false" outlineLevel="0" collapsed="false">
      <c r="A1667" s="6" t="s">
        <v>2236</v>
      </c>
      <c r="B1667" s="6" t="s">
        <v>110</v>
      </c>
      <c r="C1667" s="6" t="s">
        <v>1362</v>
      </c>
      <c r="D1667" s="6" t="s">
        <v>1330</v>
      </c>
      <c r="E1667" s="6"/>
      <c r="F1667" s="6" t="s">
        <v>1897</v>
      </c>
      <c r="G1667" s="6" t="s">
        <v>4537</v>
      </c>
      <c r="H1667" s="6" t="s">
        <v>4575</v>
      </c>
      <c r="I1667" s="6" t="n">
        <v>98</v>
      </c>
      <c r="J1667" s="6" t="s">
        <v>83</v>
      </c>
      <c r="K1667" s="6" t="s">
        <v>4576</v>
      </c>
      <c r="L1667" s="7"/>
      <c r="M1667" s="7"/>
    </row>
    <row r="1668" customFormat="false" ht="23.85" hidden="false" customHeight="false" outlineLevel="0" collapsed="false">
      <c r="A1668" s="6" t="s">
        <v>2236</v>
      </c>
      <c r="B1668" s="6" t="s">
        <v>110</v>
      </c>
      <c r="C1668" s="6" t="s">
        <v>1362</v>
      </c>
      <c r="D1668" s="6" t="s">
        <v>1330</v>
      </c>
      <c r="E1668" s="6"/>
      <c r="F1668" s="6" t="s">
        <v>1897</v>
      </c>
      <c r="G1668" s="6" t="s">
        <v>4540</v>
      </c>
      <c r="H1668" s="6" t="s">
        <v>4541</v>
      </c>
      <c r="I1668" s="6" t="n">
        <v>38</v>
      </c>
      <c r="J1668" s="6"/>
      <c r="K1668" s="6" t="s">
        <v>4542</v>
      </c>
      <c r="L1668" s="7"/>
      <c r="M1668" s="7"/>
    </row>
    <row r="1669" customFormat="false" ht="23.85" hidden="false" customHeight="false" outlineLevel="0" collapsed="false">
      <c r="A1669" s="6" t="s">
        <v>2236</v>
      </c>
      <c r="B1669" s="6" t="s">
        <v>110</v>
      </c>
      <c r="C1669" s="6" t="s">
        <v>1362</v>
      </c>
      <c r="D1669" s="6" t="s">
        <v>1330</v>
      </c>
      <c r="E1669" s="6"/>
      <c r="F1669" s="6" t="s">
        <v>1897</v>
      </c>
      <c r="G1669" s="6" t="s">
        <v>4543</v>
      </c>
      <c r="H1669" s="6" t="s">
        <v>4544</v>
      </c>
      <c r="I1669" s="6" t="n">
        <v>28</v>
      </c>
      <c r="J1669" s="6"/>
      <c r="K1669" s="6" t="s">
        <v>4545</v>
      </c>
      <c r="L1669" s="7"/>
      <c r="M1669" s="7"/>
    </row>
    <row r="1670" customFormat="false" ht="35.05" hidden="false" customHeight="false" outlineLevel="0" collapsed="false">
      <c r="A1670" s="6" t="s">
        <v>2236</v>
      </c>
      <c r="B1670" s="6" t="s">
        <v>110</v>
      </c>
      <c r="C1670" s="6" t="s">
        <v>1362</v>
      </c>
      <c r="D1670" s="6" t="s">
        <v>1330</v>
      </c>
      <c r="E1670" s="6"/>
      <c r="F1670" s="6" t="s">
        <v>1897</v>
      </c>
      <c r="G1670" s="6" t="s">
        <v>4546</v>
      </c>
      <c r="H1670" s="6" t="s">
        <v>4547</v>
      </c>
      <c r="I1670" s="6" t="n">
        <v>46</v>
      </c>
      <c r="J1670" s="6"/>
      <c r="K1670" s="6" t="s">
        <v>4548</v>
      </c>
      <c r="L1670" s="7"/>
      <c r="M1670" s="7"/>
    </row>
    <row r="1671" customFormat="false" ht="23.85" hidden="false" customHeight="false" outlineLevel="0" collapsed="false">
      <c r="A1671" s="6" t="s">
        <v>2238</v>
      </c>
      <c r="B1671" s="6" t="s">
        <v>110</v>
      </c>
      <c r="C1671" s="6" t="s">
        <v>1362</v>
      </c>
      <c r="D1671" s="6" t="s">
        <v>1330</v>
      </c>
      <c r="E1671" s="6"/>
      <c r="F1671" s="6" t="s">
        <v>1900</v>
      </c>
      <c r="G1671" s="6" t="s">
        <v>4537</v>
      </c>
      <c r="H1671" s="6" t="s">
        <v>4575</v>
      </c>
      <c r="I1671" s="6" t="n">
        <v>98</v>
      </c>
      <c r="J1671" s="6" t="s">
        <v>83</v>
      </c>
      <c r="K1671" s="6" t="s">
        <v>4576</v>
      </c>
      <c r="L1671" s="7"/>
      <c r="M1671" s="7"/>
    </row>
    <row r="1672" customFormat="false" ht="23.85" hidden="false" customHeight="false" outlineLevel="0" collapsed="false">
      <c r="A1672" s="6" t="s">
        <v>2238</v>
      </c>
      <c r="B1672" s="6" t="s">
        <v>110</v>
      </c>
      <c r="C1672" s="6" t="s">
        <v>1362</v>
      </c>
      <c r="D1672" s="6" t="s">
        <v>1330</v>
      </c>
      <c r="E1672" s="6"/>
      <c r="F1672" s="6" t="s">
        <v>1900</v>
      </c>
      <c r="G1672" s="6" t="s">
        <v>4540</v>
      </c>
      <c r="H1672" s="6" t="s">
        <v>4541</v>
      </c>
      <c r="I1672" s="6" t="n">
        <v>38</v>
      </c>
      <c r="J1672" s="6"/>
      <c r="K1672" s="6" t="s">
        <v>4542</v>
      </c>
      <c r="L1672" s="7"/>
      <c r="M1672" s="7"/>
    </row>
    <row r="1673" customFormat="false" ht="23.85" hidden="false" customHeight="false" outlineLevel="0" collapsed="false">
      <c r="A1673" s="6" t="s">
        <v>2238</v>
      </c>
      <c r="B1673" s="6" t="s">
        <v>110</v>
      </c>
      <c r="C1673" s="6" t="s">
        <v>1362</v>
      </c>
      <c r="D1673" s="6" t="s">
        <v>1330</v>
      </c>
      <c r="E1673" s="6"/>
      <c r="F1673" s="6" t="s">
        <v>1900</v>
      </c>
      <c r="G1673" s="6" t="s">
        <v>4543</v>
      </c>
      <c r="H1673" s="6" t="s">
        <v>4544</v>
      </c>
      <c r="I1673" s="6" t="n">
        <v>28</v>
      </c>
      <c r="J1673" s="6"/>
      <c r="K1673" s="6" t="s">
        <v>4545</v>
      </c>
      <c r="L1673" s="7"/>
      <c r="M1673" s="7"/>
    </row>
    <row r="1674" customFormat="false" ht="35.05" hidden="false" customHeight="false" outlineLevel="0" collapsed="false">
      <c r="A1674" s="6" t="s">
        <v>2238</v>
      </c>
      <c r="B1674" s="6" t="s">
        <v>110</v>
      </c>
      <c r="C1674" s="6" t="s">
        <v>1362</v>
      </c>
      <c r="D1674" s="6" t="s">
        <v>1330</v>
      </c>
      <c r="E1674" s="6"/>
      <c r="F1674" s="6" t="s">
        <v>1900</v>
      </c>
      <c r="G1674" s="6" t="s">
        <v>4546</v>
      </c>
      <c r="H1674" s="6" t="s">
        <v>4547</v>
      </c>
      <c r="I1674" s="6" t="n">
        <v>46</v>
      </c>
      <c r="J1674" s="6"/>
      <c r="K1674" s="6" t="s">
        <v>4548</v>
      </c>
      <c r="L1674" s="7"/>
      <c r="M1674" s="7"/>
    </row>
    <row r="1675" customFormat="false" ht="23.85" hidden="false" customHeight="false" outlineLevel="0" collapsed="false">
      <c r="A1675" s="6" t="s">
        <v>2240</v>
      </c>
      <c r="B1675" s="6" t="s">
        <v>110</v>
      </c>
      <c r="C1675" s="6" t="s">
        <v>1362</v>
      </c>
      <c r="D1675" s="6" t="s">
        <v>1330</v>
      </c>
      <c r="E1675" s="6"/>
      <c r="F1675" s="6" t="s">
        <v>1903</v>
      </c>
      <c r="G1675" s="6" t="s">
        <v>4537</v>
      </c>
      <c r="H1675" s="6" t="s">
        <v>4575</v>
      </c>
      <c r="I1675" s="6" t="n">
        <v>98</v>
      </c>
      <c r="J1675" s="6" t="s">
        <v>83</v>
      </c>
      <c r="K1675" s="6" t="s">
        <v>4576</v>
      </c>
      <c r="L1675" s="7"/>
      <c r="M1675" s="7"/>
    </row>
    <row r="1676" customFormat="false" ht="23.85" hidden="false" customHeight="false" outlineLevel="0" collapsed="false">
      <c r="A1676" s="6" t="s">
        <v>2240</v>
      </c>
      <c r="B1676" s="6" t="s">
        <v>110</v>
      </c>
      <c r="C1676" s="6" t="s">
        <v>1362</v>
      </c>
      <c r="D1676" s="6" t="s">
        <v>1330</v>
      </c>
      <c r="E1676" s="6"/>
      <c r="F1676" s="6" t="s">
        <v>1903</v>
      </c>
      <c r="G1676" s="6" t="s">
        <v>4540</v>
      </c>
      <c r="H1676" s="6" t="s">
        <v>4541</v>
      </c>
      <c r="I1676" s="6" t="n">
        <v>38</v>
      </c>
      <c r="J1676" s="6"/>
      <c r="K1676" s="6" t="s">
        <v>4542</v>
      </c>
      <c r="L1676" s="7"/>
      <c r="M1676" s="7"/>
    </row>
    <row r="1677" customFormat="false" ht="23.85" hidden="false" customHeight="false" outlineLevel="0" collapsed="false">
      <c r="A1677" s="6" t="s">
        <v>2240</v>
      </c>
      <c r="B1677" s="6" t="s">
        <v>110</v>
      </c>
      <c r="C1677" s="6" t="s">
        <v>1362</v>
      </c>
      <c r="D1677" s="6" t="s">
        <v>1330</v>
      </c>
      <c r="E1677" s="6"/>
      <c r="F1677" s="6" t="s">
        <v>1903</v>
      </c>
      <c r="G1677" s="6" t="s">
        <v>4543</v>
      </c>
      <c r="H1677" s="6" t="s">
        <v>4544</v>
      </c>
      <c r="I1677" s="6" t="n">
        <v>28</v>
      </c>
      <c r="J1677" s="6"/>
      <c r="K1677" s="6" t="s">
        <v>4545</v>
      </c>
      <c r="L1677" s="7"/>
      <c r="M1677" s="7"/>
    </row>
    <row r="1678" customFormat="false" ht="35.05" hidden="false" customHeight="false" outlineLevel="0" collapsed="false">
      <c r="A1678" s="6" t="s">
        <v>2240</v>
      </c>
      <c r="B1678" s="6" t="s">
        <v>110</v>
      </c>
      <c r="C1678" s="6" t="s">
        <v>1362</v>
      </c>
      <c r="D1678" s="6" t="s">
        <v>1330</v>
      </c>
      <c r="E1678" s="6"/>
      <c r="F1678" s="6" t="s">
        <v>1903</v>
      </c>
      <c r="G1678" s="6" t="s">
        <v>4546</v>
      </c>
      <c r="H1678" s="6" t="s">
        <v>4547</v>
      </c>
      <c r="I1678" s="6" t="n">
        <v>46</v>
      </c>
      <c r="J1678" s="6"/>
      <c r="K1678" s="6" t="s">
        <v>4548</v>
      </c>
      <c r="L1678" s="7"/>
      <c r="M1678" s="7"/>
    </row>
    <row r="1679" customFormat="false" ht="23.85" hidden="false" customHeight="false" outlineLevel="0" collapsed="false">
      <c r="A1679" s="6" t="s">
        <v>2242</v>
      </c>
      <c r="B1679" s="6" t="s">
        <v>110</v>
      </c>
      <c r="C1679" s="6" t="s">
        <v>1362</v>
      </c>
      <c r="D1679" s="6" t="s">
        <v>1330</v>
      </c>
      <c r="E1679" s="6"/>
      <c r="F1679" s="6" t="s">
        <v>1906</v>
      </c>
      <c r="G1679" s="6" t="s">
        <v>4537</v>
      </c>
      <c r="H1679" s="6" t="s">
        <v>4575</v>
      </c>
      <c r="I1679" s="6" t="n">
        <v>98</v>
      </c>
      <c r="J1679" s="6" t="s">
        <v>83</v>
      </c>
      <c r="K1679" s="6" t="s">
        <v>4576</v>
      </c>
      <c r="L1679" s="7"/>
      <c r="M1679" s="7"/>
    </row>
    <row r="1680" customFormat="false" ht="23.85" hidden="false" customHeight="false" outlineLevel="0" collapsed="false">
      <c r="A1680" s="6" t="s">
        <v>2242</v>
      </c>
      <c r="B1680" s="6" t="s">
        <v>110</v>
      </c>
      <c r="C1680" s="6" t="s">
        <v>1362</v>
      </c>
      <c r="D1680" s="6" t="s">
        <v>1330</v>
      </c>
      <c r="E1680" s="6"/>
      <c r="F1680" s="6" t="s">
        <v>1906</v>
      </c>
      <c r="G1680" s="6" t="s">
        <v>4540</v>
      </c>
      <c r="H1680" s="6" t="s">
        <v>4541</v>
      </c>
      <c r="I1680" s="6" t="n">
        <v>38</v>
      </c>
      <c r="J1680" s="6"/>
      <c r="K1680" s="6" t="s">
        <v>4542</v>
      </c>
      <c r="L1680" s="7"/>
      <c r="M1680" s="7"/>
    </row>
    <row r="1681" customFormat="false" ht="23.85" hidden="false" customHeight="false" outlineLevel="0" collapsed="false">
      <c r="A1681" s="6" t="s">
        <v>2242</v>
      </c>
      <c r="B1681" s="6" t="s">
        <v>110</v>
      </c>
      <c r="C1681" s="6" t="s">
        <v>1362</v>
      </c>
      <c r="D1681" s="6" t="s">
        <v>1330</v>
      </c>
      <c r="E1681" s="6"/>
      <c r="F1681" s="6" t="s">
        <v>1906</v>
      </c>
      <c r="G1681" s="6" t="s">
        <v>4543</v>
      </c>
      <c r="H1681" s="6" t="s">
        <v>4544</v>
      </c>
      <c r="I1681" s="6" t="n">
        <v>28</v>
      </c>
      <c r="J1681" s="6"/>
      <c r="K1681" s="6" t="s">
        <v>4545</v>
      </c>
      <c r="L1681" s="7"/>
      <c r="M1681" s="7"/>
    </row>
    <row r="1682" customFormat="false" ht="35.05" hidden="false" customHeight="false" outlineLevel="0" collapsed="false">
      <c r="A1682" s="6" t="s">
        <v>2242</v>
      </c>
      <c r="B1682" s="6" t="s">
        <v>110</v>
      </c>
      <c r="C1682" s="6" t="s">
        <v>1362</v>
      </c>
      <c r="D1682" s="6" t="s">
        <v>1330</v>
      </c>
      <c r="E1682" s="6"/>
      <c r="F1682" s="6" t="s">
        <v>1906</v>
      </c>
      <c r="G1682" s="6" t="s">
        <v>4546</v>
      </c>
      <c r="H1682" s="6" t="s">
        <v>4547</v>
      </c>
      <c r="I1682" s="6" t="n">
        <v>46</v>
      </c>
      <c r="J1682" s="6"/>
      <c r="K1682" s="6" t="s">
        <v>4548</v>
      </c>
      <c r="L1682" s="7"/>
      <c r="M1682" s="7"/>
    </row>
    <row r="1683" customFormat="false" ht="23.85" hidden="false" customHeight="false" outlineLevel="0" collapsed="false">
      <c r="A1683" s="6" t="s">
        <v>2244</v>
      </c>
      <c r="B1683" s="6" t="s">
        <v>110</v>
      </c>
      <c r="C1683" s="6" t="s">
        <v>1362</v>
      </c>
      <c r="D1683" s="6" t="s">
        <v>1330</v>
      </c>
      <c r="E1683" s="6"/>
      <c r="F1683" s="6" t="s">
        <v>1909</v>
      </c>
      <c r="G1683" s="6" t="s">
        <v>4537</v>
      </c>
      <c r="H1683" s="6" t="s">
        <v>4575</v>
      </c>
      <c r="I1683" s="6" t="n">
        <v>98</v>
      </c>
      <c r="J1683" s="6" t="s">
        <v>83</v>
      </c>
      <c r="K1683" s="6" t="s">
        <v>4576</v>
      </c>
      <c r="L1683" s="7"/>
      <c r="M1683" s="7"/>
    </row>
    <row r="1684" customFormat="false" ht="23.85" hidden="false" customHeight="false" outlineLevel="0" collapsed="false">
      <c r="A1684" s="6" t="s">
        <v>2244</v>
      </c>
      <c r="B1684" s="6" t="s">
        <v>110</v>
      </c>
      <c r="C1684" s="6" t="s">
        <v>1362</v>
      </c>
      <c r="D1684" s="6" t="s">
        <v>1330</v>
      </c>
      <c r="E1684" s="6"/>
      <c r="F1684" s="6" t="s">
        <v>1909</v>
      </c>
      <c r="G1684" s="6" t="s">
        <v>4540</v>
      </c>
      <c r="H1684" s="6" t="s">
        <v>4541</v>
      </c>
      <c r="I1684" s="6" t="n">
        <v>38</v>
      </c>
      <c r="J1684" s="6"/>
      <c r="K1684" s="6" t="s">
        <v>4542</v>
      </c>
      <c r="L1684" s="7"/>
      <c r="M1684" s="7"/>
    </row>
    <row r="1685" customFormat="false" ht="23.85" hidden="false" customHeight="false" outlineLevel="0" collapsed="false">
      <c r="A1685" s="6" t="s">
        <v>2244</v>
      </c>
      <c r="B1685" s="6" t="s">
        <v>110</v>
      </c>
      <c r="C1685" s="6" t="s">
        <v>1362</v>
      </c>
      <c r="D1685" s="6" t="s">
        <v>1330</v>
      </c>
      <c r="E1685" s="6"/>
      <c r="F1685" s="6" t="s">
        <v>1909</v>
      </c>
      <c r="G1685" s="6" t="s">
        <v>4543</v>
      </c>
      <c r="H1685" s="6" t="s">
        <v>4544</v>
      </c>
      <c r="I1685" s="6" t="n">
        <v>28</v>
      </c>
      <c r="J1685" s="6"/>
      <c r="K1685" s="6" t="s">
        <v>4545</v>
      </c>
      <c r="L1685" s="7"/>
      <c r="M1685" s="7"/>
    </row>
    <row r="1686" customFormat="false" ht="35.05" hidden="false" customHeight="false" outlineLevel="0" collapsed="false">
      <c r="A1686" s="6" t="s">
        <v>2244</v>
      </c>
      <c r="B1686" s="6" t="s">
        <v>110</v>
      </c>
      <c r="C1686" s="6" t="s">
        <v>1362</v>
      </c>
      <c r="D1686" s="6" t="s">
        <v>1330</v>
      </c>
      <c r="E1686" s="6"/>
      <c r="F1686" s="6" t="s">
        <v>1909</v>
      </c>
      <c r="G1686" s="6" t="s">
        <v>4546</v>
      </c>
      <c r="H1686" s="6" t="s">
        <v>4547</v>
      </c>
      <c r="I1686" s="6" t="n">
        <v>46</v>
      </c>
      <c r="J1686" s="6"/>
      <c r="K1686" s="6" t="s">
        <v>4548</v>
      </c>
      <c r="L1686" s="7"/>
      <c r="M1686" s="7"/>
    </row>
    <row r="1687" customFormat="false" ht="35.05" hidden="false" customHeight="false" outlineLevel="0" collapsed="false">
      <c r="A1687" s="6" t="s">
        <v>2246</v>
      </c>
      <c r="B1687" s="6" t="s">
        <v>110</v>
      </c>
      <c r="C1687" s="6" t="s">
        <v>1362</v>
      </c>
      <c r="D1687" s="6" t="s">
        <v>1330</v>
      </c>
      <c r="E1687" s="6"/>
      <c r="F1687" s="6" t="s">
        <v>1879</v>
      </c>
      <c r="G1687" s="6" t="s">
        <v>4537</v>
      </c>
      <c r="H1687" s="6" t="s">
        <v>4577</v>
      </c>
      <c r="I1687" s="6" t="n">
        <v>98</v>
      </c>
      <c r="J1687" s="6" t="s">
        <v>83</v>
      </c>
      <c r="K1687" s="6" t="s">
        <v>4578</v>
      </c>
      <c r="L1687" s="7"/>
      <c r="M1687" s="7"/>
    </row>
    <row r="1688" customFormat="false" ht="23.85" hidden="false" customHeight="false" outlineLevel="0" collapsed="false">
      <c r="A1688" s="6" t="s">
        <v>2246</v>
      </c>
      <c r="B1688" s="6" t="s">
        <v>110</v>
      </c>
      <c r="C1688" s="6" t="s">
        <v>1362</v>
      </c>
      <c r="D1688" s="6" t="s">
        <v>1330</v>
      </c>
      <c r="E1688" s="6"/>
      <c r="F1688" s="6" t="s">
        <v>1879</v>
      </c>
      <c r="G1688" s="6" t="s">
        <v>4540</v>
      </c>
      <c r="H1688" s="6" t="s">
        <v>4541</v>
      </c>
      <c r="I1688" s="6" t="n">
        <v>38</v>
      </c>
      <c r="J1688" s="6"/>
      <c r="K1688" s="6" t="s">
        <v>4542</v>
      </c>
      <c r="L1688" s="7"/>
      <c r="M1688" s="7"/>
    </row>
    <row r="1689" customFormat="false" ht="23.85" hidden="false" customHeight="false" outlineLevel="0" collapsed="false">
      <c r="A1689" s="6" t="s">
        <v>2246</v>
      </c>
      <c r="B1689" s="6" t="s">
        <v>110</v>
      </c>
      <c r="C1689" s="6" t="s">
        <v>1362</v>
      </c>
      <c r="D1689" s="6" t="s">
        <v>1330</v>
      </c>
      <c r="E1689" s="6"/>
      <c r="F1689" s="6" t="s">
        <v>1879</v>
      </c>
      <c r="G1689" s="6" t="s">
        <v>4543</v>
      </c>
      <c r="H1689" s="6" t="s">
        <v>4544</v>
      </c>
      <c r="I1689" s="6" t="n">
        <v>28</v>
      </c>
      <c r="J1689" s="6"/>
      <c r="K1689" s="6" t="s">
        <v>4545</v>
      </c>
      <c r="L1689" s="7"/>
      <c r="M1689" s="7"/>
    </row>
    <row r="1690" customFormat="false" ht="35.05" hidden="false" customHeight="false" outlineLevel="0" collapsed="false">
      <c r="A1690" s="6" t="s">
        <v>2246</v>
      </c>
      <c r="B1690" s="6" t="s">
        <v>110</v>
      </c>
      <c r="C1690" s="6" t="s">
        <v>1362</v>
      </c>
      <c r="D1690" s="6" t="s">
        <v>1330</v>
      </c>
      <c r="E1690" s="6"/>
      <c r="F1690" s="6" t="s">
        <v>1879</v>
      </c>
      <c r="G1690" s="6" t="s">
        <v>4546</v>
      </c>
      <c r="H1690" s="6" t="s">
        <v>4547</v>
      </c>
      <c r="I1690" s="6" t="n">
        <v>46</v>
      </c>
      <c r="J1690" s="6"/>
      <c r="K1690" s="6" t="s">
        <v>4548</v>
      </c>
      <c r="L1690" s="7"/>
      <c r="M1690" s="7"/>
    </row>
    <row r="1691" customFormat="false" ht="35.05" hidden="false" customHeight="false" outlineLevel="0" collapsed="false">
      <c r="A1691" s="6" t="s">
        <v>2252</v>
      </c>
      <c r="B1691" s="6" t="s">
        <v>110</v>
      </c>
      <c r="C1691" s="6" t="s">
        <v>1362</v>
      </c>
      <c r="D1691" s="6" t="s">
        <v>1330</v>
      </c>
      <c r="E1691" s="6"/>
      <c r="F1691" s="6" t="s">
        <v>1885</v>
      </c>
      <c r="G1691" s="6" t="s">
        <v>4537</v>
      </c>
      <c r="H1691" s="6" t="s">
        <v>4577</v>
      </c>
      <c r="I1691" s="6" t="n">
        <v>98</v>
      </c>
      <c r="J1691" s="6" t="s">
        <v>83</v>
      </c>
      <c r="K1691" s="6" t="s">
        <v>4578</v>
      </c>
      <c r="L1691" s="7"/>
      <c r="M1691" s="7"/>
    </row>
    <row r="1692" customFormat="false" ht="23.85" hidden="false" customHeight="false" outlineLevel="0" collapsed="false">
      <c r="A1692" s="6" t="s">
        <v>2252</v>
      </c>
      <c r="B1692" s="6" t="s">
        <v>110</v>
      </c>
      <c r="C1692" s="6" t="s">
        <v>1362</v>
      </c>
      <c r="D1692" s="6" t="s">
        <v>1330</v>
      </c>
      <c r="E1692" s="6"/>
      <c r="F1692" s="6" t="s">
        <v>1885</v>
      </c>
      <c r="G1692" s="6" t="s">
        <v>4540</v>
      </c>
      <c r="H1692" s="6" t="s">
        <v>4541</v>
      </c>
      <c r="I1692" s="6" t="n">
        <v>38</v>
      </c>
      <c r="J1692" s="6"/>
      <c r="K1692" s="6" t="s">
        <v>4542</v>
      </c>
      <c r="L1692" s="7"/>
      <c r="M1692" s="7"/>
    </row>
    <row r="1693" customFormat="false" ht="23.85" hidden="false" customHeight="false" outlineLevel="0" collapsed="false">
      <c r="A1693" s="6" t="s">
        <v>2252</v>
      </c>
      <c r="B1693" s="6" t="s">
        <v>110</v>
      </c>
      <c r="C1693" s="6" t="s">
        <v>1362</v>
      </c>
      <c r="D1693" s="6" t="s">
        <v>1330</v>
      </c>
      <c r="E1693" s="6"/>
      <c r="F1693" s="6" t="s">
        <v>1885</v>
      </c>
      <c r="G1693" s="6" t="s">
        <v>4543</v>
      </c>
      <c r="H1693" s="6" t="s">
        <v>4544</v>
      </c>
      <c r="I1693" s="6" t="n">
        <v>28</v>
      </c>
      <c r="J1693" s="6"/>
      <c r="K1693" s="6" t="s">
        <v>4545</v>
      </c>
      <c r="L1693" s="7"/>
      <c r="M1693" s="7"/>
    </row>
    <row r="1694" customFormat="false" ht="35.05" hidden="false" customHeight="false" outlineLevel="0" collapsed="false">
      <c r="A1694" s="6" t="s">
        <v>2252</v>
      </c>
      <c r="B1694" s="6" t="s">
        <v>110</v>
      </c>
      <c r="C1694" s="6" t="s">
        <v>1362</v>
      </c>
      <c r="D1694" s="6" t="s">
        <v>1330</v>
      </c>
      <c r="E1694" s="6"/>
      <c r="F1694" s="6" t="s">
        <v>1885</v>
      </c>
      <c r="G1694" s="6" t="s">
        <v>4546</v>
      </c>
      <c r="H1694" s="6" t="s">
        <v>4547</v>
      </c>
      <c r="I1694" s="6" t="n">
        <v>46</v>
      </c>
      <c r="J1694" s="6"/>
      <c r="K1694" s="6" t="s">
        <v>4548</v>
      </c>
      <c r="L1694" s="7"/>
      <c r="M1694" s="7"/>
    </row>
    <row r="1695" customFormat="false" ht="35.05" hidden="false" customHeight="false" outlineLevel="0" collapsed="false">
      <c r="A1695" s="6" t="s">
        <v>2254</v>
      </c>
      <c r="B1695" s="6" t="s">
        <v>110</v>
      </c>
      <c r="C1695" s="6" t="s">
        <v>1362</v>
      </c>
      <c r="D1695" s="6" t="s">
        <v>1330</v>
      </c>
      <c r="E1695" s="6"/>
      <c r="F1695" s="6" t="s">
        <v>1888</v>
      </c>
      <c r="G1695" s="6" t="s">
        <v>4537</v>
      </c>
      <c r="H1695" s="6" t="s">
        <v>4577</v>
      </c>
      <c r="I1695" s="6" t="n">
        <v>98</v>
      </c>
      <c r="J1695" s="6" t="s">
        <v>83</v>
      </c>
      <c r="K1695" s="6" t="s">
        <v>4578</v>
      </c>
      <c r="L1695" s="7"/>
      <c r="M1695" s="7"/>
    </row>
    <row r="1696" customFormat="false" ht="23.85" hidden="false" customHeight="false" outlineLevel="0" collapsed="false">
      <c r="A1696" s="6" t="s">
        <v>2254</v>
      </c>
      <c r="B1696" s="6" t="s">
        <v>110</v>
      </c>
      <c r="C1696" s="6" t="s">
        <v>1362</v>
      </c>
      <c r="D1696" s="6" t="s">
        <v>1330</v>
      </c>
      <c r="E1696" s="6"/>
      <c r="F1696" s="6" t="s">
        <v>1888</v>
      </c>
      <c r="G1696" s="6" t="s">
        <v>4540</v>
      </c>
      <c r="H1696" s="6" t="s">
        <v>4541</v>
      </c>
      <c r="I1696" s="6" t="n">
        <v>38</v>
      </c>
      <c r="J1696" s="6"/>
      <c r="K1696" s="6" t="s">
        <v>4542</v>
      </c>
      <c r="L1696" s="7"/>
      <c r="M1696" s="7"/>
    </row>
    <row r="1697" customFormat="false" ht="23.85" hidden="false" customHeight="false" outlineLevel="0" collapsed="false">
      <c r="A1697" s="6" t="s">
        <v>2254</v>
      </c>
      <c r="B1697" s="6" t="s">
        <v>110</v>
      </c>
      <c r="C1697" s="6" t="s">
        <v>1362</v>
      </c>
      <c r="D1697" s="6" t="s">
        <v>1330</v>
      </c>
      <c r="E1697" s="6"/>
      <c r="F1697" s="6" t="s">
        <v>1888</v>
      </c>
      <c r="G1697" s="6" t="s">
        <v>4543</v>
      </c>
      <c r="H1697" s="6" t="s">
        <v>4544</v>
      </c>
      <c r="I1697" s="6" t="n">
        <v>28</v>
      </c>
      <c r="J1697" s="6"/>
      <c r="K1697" s="6" t="s">
        <v>4545</v>
      </c>
      <c r="L1697" s="7"/>
      <c r="M1697" s="7"/>
    </row>
    <row r="1698" customFormat="false" ht="35.05" hidden="false" customHeight="false" outlineLevel="0" collapsed="false">
      <c r="A1698" s="6" t="s">
        <v>2254</v>
      </c>
      <c r="B1698" s="6" t="s">
        <v>110</v>
      </c>
      <c r="C1698" s="6" t="s">
        <v>1362</v>
      </c>
      <c r="D1698" s="6" t="s">
        <v>1330</v>
      </c>
      <c r="E1698" s="6"/>
      <c r="F1698" s="6" t="s">
        <v>1888</v>
      </c>
      <c r="G1698" s="6" t="s">
        <v>4546</v>
      </c>
      <c r="H1698" s="6" t="s">
        <v>4547</v>
      </c>
      <c r="I1698" s="6" t="n">
        <v>46</v>
      </c>
      <c r="J1698" s="6"/>
      <c r="K1698" s="6" t="s">
        <v>4548</v>
      </c>
      <c r="L1698" s="7"/>
      <c r="M1698" s="7"/>
    </row>
    <row r="1699" customFormat="false" ht="35.05" hidden="false" customHeight="false" outlineLevel="0" collapsed="false">
      <c r="A1699" s="6" t="s">
        <v>2256</v>
      </c>
      <c r="B1699" s="6" t="s">
        <v>110</v>
      </c>
      <c r="C1699" s="6" t="s">
        <v>1362</v>
      </c>
      <c r="D1699" s="6" t="s">
        <v>1330</v>
      </c>
      <c r="E1699" s="6"/>
      <c r="F1699" s="6" t="s">
        <v>1891</v>
      </c>
      <c r="G1699" s="6" t="s">
        <v>4537</v>
      </c>
      <c r="H1699" s="6" t="s">
        <v>4577</v>
      </c>
      <c r="I1699" s="6" t="n">
        <v>98</v>
      </c>
      <c r="J1699" s="6" t="s">
        <v>83</v>
      </c>
      <c r="K1699" s="6" t="s">
        <v>4578</v>
      </c>
      <c r="L1699" s="7"/>
      <c r="M1699" s="7"/>
    </row>
    <row r="1700" customFormat="false" ht="23.85" hidden="false" customHeight="false" outlineLevel="0" collapsed="false">
      <c r="A1700" s="6" t="s">
        <v>2256</v>
      </c>
      <c r="B1700" s="6" t="s">
        <v>110</v>
      </c>
      <c r="C1700" s="6" t="s">
        <v>1362</v>
      </c>
      <c r="D1700" s="6" t="s">
        <v>1330</v>
      </c>
      <c r="E1700" s="6"/>
      <c r="F1700" s="6" t="s">
        <v>1891</v>
      </c>
      <c r="G1700" s="6" t="s">
        <v>4540</v>
      </c>
      <c r="H1700" s="6" t="s">
        <v>4541</v>
      </c>
      <c r="I1700" s="6" t="n">
        <v>38</v>
      </c>
      <c r="J1700" s="6"/>
      <c r="K1700" s="6" t="s">
        <v>4542</v>
      </c>
      <c r="L1700" s="7"/>
      <c r="M1700" s="7"/>
    </row>
    <row r="1701" customFormat="false" ht="23.85" hidden="false" customHeight="false" outlineLevel="0" collapsed="false">
      <c r="A1701" s="6" t="s">
        <v>2256</v>
      </c>
      <c r="B1701" s="6" t="s">
        <v>110</v>
      </c>
      <c r="C1701" s="6" t="s">
        <v>1362</v>
      </c>
      <c r="D1701" s="6" t="s">
        <v>1330</v>
      </c>
      <c r="E1701" s="6"/>
      <c r="F1701" s="6" t="s">
        <v>1891</v>
      </c>
      <c r="G1701" s="6" t="s">
        <v>4543</v>
      </c>
      <c r="H1701" s="6" t="s">
        <v>4544</v>
      </c>
      <c r="I1701" s="6" t="n">
        <v>28</v>
      </c>
      <c r="J1701" s="6"/>
      <c r="K1701" s="6" t="s">
        <v>4545</v>
      </c>
      <c r="L1701" s="7"/>
      <c r="M1701" s="7"/>
    </row>
    <row r="1702" customFormat="false" ht="35.05" hidden="false" customHeight="false" outlineLevel="0" collapsed="false">
      <c r="A1702" s="6" t="s">
        <v>2256</v>
      </c>
      <c r="B1702" s="6" t="s">
        <v>110</v>
      </c>
      <c r="C1702" s="6" t="s">
        <v>1362</v>
      </c>
      <c r="D1702" s="6" t="s">
        <v>1330</v>
      </c>
      <c r="E1702" s="6"/>
      <c r="F1702" s="6" t="s">
        <v>1891</v>
      </c>
      <c r="G1702" s="6" t="s">
        <v>4546</v>
      </c>
      <c r="H1702" s="6" t="s">
        <v>4547</v>
      </c>
      <c r="I1702" s="6" t="n">
        <v>46</v>
      </c>
      <c r="J1702" s="6"/>
      <c r="K1702" s="6" t="s">
        <v>4548</v>
      </c>
      <c r="L1702" s="7"/>
      <c r="M1702" s="7"/>
    </row>
    <row r="1703" customFormat="false" ht="35.05" hidden="false" customHeight="false" outlineLevel="0" collapsed="false">
      <c r="A1703" s="6" t="s">
        <v>2258</v>
      </c>
      <c r="B1703" s="6" t="s">
        <v>110</v>
      </c>
      <c r="C1703" s="6" t="s">
        <v>1362</v>
      </c>
      <c r="D1703" s="6" t="s">
        <v>1330</v>
      </c>
      <c r="E1703" s="6"/>
      <c r="F1703" s="6" t="s">
        <v>1894</v>
      </c>
      <c r="G1703" s="6" t="s">
        <v>4537</v>
      </c>
      <c r="H1703" s="6" t="s">
        <v>4577</v>
      </c>
      <c r="I1703" s="6" t="n">
        <v>98</v>
      </c>
      <c r="J1703" s="6" t="s">
        <v>83</v>
      </c>
      <c r="K1703" s="6" t="s">
        <v>4578</v>
      </c>
      <c r="L1703" s="7"/>
      <c r="M1703" s="7"/>
    </row>
    <row r="1704" customFormat="false" ht="23.85" hidden="false" customHeight="false" outlineLevel="0" collapsed="false">
      <c r="A1704" s="6" t="s">
        <v>2258</v>
      </c>
      <c r="B1704" s="6" t="s">
        <v>110</v>
      </c>
      <c r="C1704" s="6" t="s">
        <v>1362</v>
      </c>
      <c r="D1704" s="6" t="s">
        <v>1330</v>
      </c>
      <c r="E1704" s="6"/>
      <c r="F1704" s="6" t="s">
        <v>1894</v>
      </c>
      <c r="G1704" s="6" t="s">
        <v>4540</v>
      </c>
      <c r="H1704" s="6" t="s">
        <v>4541</v>
      </c>
      <c r="I1704" s="6" t="n">
        <v>38</v>
      </c>
      <c r="J1704" s="6"/>
      <c r="K1704" s="6" t="s">
        <v>4542</v>
      </c>
      <c r="L1704" s="7"/>
      <c r="M1704" s="7"/>
    </row>
    <row r="1705" customFormat="false" ht="23.85" hidden="false" customHeight="false" outlineLevel="0" collapsed="false">
      <c r="A1705" s="6" t="s">
        <v>2258</v>
      </c>
      <c r="B1705" s="6" t="s">
        <v>110</v>
      </c>
      <c r="C1705" s="6" t="s">
        <v>1362</v>
      </c>
      <c r="D1705" s="6" t="s">
        <v>1330</v>
      </c>
      <c r="E1705" s="6"/>
      <c r="F1705" s="6" t="s">
        <v>1894</v>
      </c>
      <c r="G1705" s="6" t="s">
        <v>4543</v>
      </c>
      <c r="H1705" s="6" t="s">
        <v>4544</v>
      </c>
      <c r="I1705" s="6" t="n">
        <v>28</v>
      </c>
      <c r="J1705" s="6"/>
      <c r="K1705" s="6" t="s">
        <v>4545</v>
      </c>
      <c r="L1705" s="7"/>
      <c r="M1705" s="7"/>
    </row>
    <row r="1706" customFormat="false" ht="35.05" hidden="false" customHeight="false" outlineLevel="0" collapsed="false">
      <c r="A1706" s="6" t="s">
        <v>2258</v>
      </c>
      <c r="B1706" s="6" t="s">
        <v>110</v>
      </c>
      <c r="C1706" s="6" t="s">
        <v>1362</v>
      </c>
      <c r="D1706" s="6" t="s">
        <v>1330</v>
      </c>
      <c r="E1706" s="6"/>
      <c r="F1706" s="6" t="s">
        <v>1894</v>
      </c>
      <c r="G1706" s="6" t="s">
        <v>4546</v>
      </c>
      <c r="H1706" s="6" t="s">
        <v>4547</v>
      </c>
      <c r="I1706" s="6" t="n">
        <v>46</v>
      </c>
      <c r="J1706" s="6"/>
      <c r="K1706" s="6" t="s">
        <v>4548</v>
      </c>
      <c r="L1706" s="7"/>
      <c r="M1706" s="7"/>
    </row>
    <row r="1707" customFormat="false" ht="35.05" hidden="false" customHeight="false" outlineLevel="0" collapsed="false">
      <c r="A1707" s="6" t="s">
        <v>2260</v>
      </c>
      <c r="B1707" s="6" t="s">
        <v>110</v>
      </c>
      <c r="C1707" s="6" t="s">
        <v>1362</v>
      </c>
      <c r="D1707" s="6" t="s">
        <v>1330</v>
      </c>
      <c r="E1707" s="6"/>
      <c r="F1707" s="6" t="s">
        <v>1897</v>
      </c>
      <c r="G1707" s="6" t="s">
        <v>4537</v>
      </c>
      <c r="H1707" s="6" t="s">
        <v>4577</v>
      </c>
      <c r="I1707" s="6" t="n">
        <v>98</v>
      </c>
      <c r="J1707" s="6" t="s">
        <v>83</v>
      </c>
      <c r="K1707" s="6" t="s">
        <v>4578</v>
      </c>
      <c r="L1707" s="7"/>
      <c r="M1707" s="7"/>
    </row>
    <row r="1708" customFormat="false" ht="23.85" hidden="false" customHeight="false" outlineLevel="0" collapsed="false">
      <c r="A1708" s="6" t="s">
        <v>2260</v>
      </c>
      <c r="B1708" s="6" t="s">
        <v>110</v>
      </c>
      <c r="C1708" s="6" t="s">
        <v>1362</v>
      </c>
      <c r="D1708" s="6" t="s">
        <v>1330</v>
      </c>
      <c r="E1708" s="6"/>
      <c r="F1708" s="6" t="s">
        <v>1897</v>
      </c>
      <c r="G1708" s="6" t="s">
        <v>4540</v>
      </c>
      <c r="H1708" s="6" t="s">
        <v>4541</v>
      </c>
      <c r="I1708" s="6" t="n">
        <v>38</v>
      </c>
      <c r="J1708" s="6"/>
      <c r="K1708" s="6" t="s">
        <v>4542</v>
      </c>
      <c r="L1708" s="7"/>
      <c r="M1708" s="7"/>
    </row>
    <row r="1709" customFormat="false" ht="23.85" hidden="false" customHeight="false" outlineLevel="0" collapsed="false">
      <c r="A1709" s="6" t="s">
        <v>2260</v>
      </c>
      <c r="B1709" s="6" t="s">
        <v>110</v>
      </c>
      <c r="C1709" s="6" t="s">
        <v>1362</v>
      </c>
      <c r="D1709" s="6" t="s">
        <v>1330</v>
      </c>
      <c r="E1709" s="6"/>
      <c r="F1709" s="6" t="s">
        <v>1897</v>
      </c>
      <c r="G1709" s="6" t="s">
        <v>4543</v>
      </c>
      <c r="H1709" s="6" t="s">
        <v>4544</v>
      </c>
      <c r="I1709" s="6" t="n">
        <v>28</v>
      </c>
      <c r="J1709" s="6"/>
      <c r="K1709" s="6" t="s">
        <v>4545</v>
      </c>
      <c r="L1709" s="7"/>
      <c r="M1709" s="7"/>
    </row>
    <row r="1710" customFormat="false" ht="35.05" hidden="false" customHeight="false" outlineLevel="0" collapsed="false">
      <c r="A1710" s="6" t="s">
        <v>2260</v>
      </c>
      <c r="B1710" s="6" t="s">
        <v>110</v>
      </c>
      <c r="C1710" s="6" t="s">
        <v>1362</v>
      </c>
      <c r="D1710" s="6" t="s">
        <v>1330</v>
      </c>
      <c r="E1710" s="6"/>
      <c r="F1710" s="6" t="s">
        <v>1897</v>
      </c>
      <c r="G1710" s="6" t="s">
        <v>4546</v>
      </c>
      <c r="H1710" s="6" t="s">
        <v>4547</v>
      </c>
      <c r="I1710" s="6" t="n">
        <v>46</v>
      </c>
      <c r="J1710" s="6"/>
      <c r="K1710" s="6" t="s">
        <v>4548</v>
      </c>
      <c r="L1710" s="7"/>
      <c r="M1710" s="7"/>
    </row>
    <row r="1711" customFormat="false" ht="35.05" hidden="false" customHeight="false" outlineLevel="0" collapsed="false">
      <c r="A1711" s="6" t="s">
        <v>2262</v>
      </c>
      <c r="B1711" s="6" t="s">
        <v>110</v>
      </c>
      <c r="C1711" s="6" t="s">
        <v>1362</v>
      </c>
      <c r="D1711" s="6" t="s">
        <v>1330</v>
      </c>
      <c r="E1711" s="6"/>
      <c r="F1711" s="6" t="s">
        <v>1900</v>
      </c>
      <c r="G1711" s="6" t="s">
        <v>4537</v>
      </c>
      <c r="H1711" s="6" t="s">
        <v>4577</v>
      </c>
      <c r="I1711" s="6" t="n">
        <v>98</v>
      </c>
      <c r="J1711" s="6" t="s">
        <v>83</v>
      </c>
      <c r="K1711" s="6" t="s">
        <v>4578</v>
      </c>
      <c r="L1711" s="7"/>
      <c r="M1711" s="7"/>
    </row>
    <row r="1712" customFormat="false" ht="23.85" hidden="false" customHeight="false" outlineLevel="0" collapsed="false">
      <c r="A1712" s="6" t="s">
        <v>2262</v>
      </c>
      <c r="B1712" s="6" t="s">
        <v>110</v>
      </c>
      <c r="C1712" s="6" t="s">
        <v>1362</v>
      </c>
      <c r="D1712" s="6" t="s">
        <v>1330</v>
      </c>
      <c r="E1712" s="6"/>
      <c r="F1712" s="6" t="s">
        <v>1900</v>
      </c>
      <c r="G1712" s="6" t="s">
        <v>4540</v>
      </c>
      <c r="H1712" s="6" t="s">
        <v>4541</v>
      </c>
      <c r="I1712" s="6" t="n">
        <v>38</v>
      </c>
      <c r="J1712" s="6"/>
      <c r="K1712" s="6" t="s">
        <v>4542</v>
      </c>
      <c r="L1712" s="7"/>
      <c r="M1712" s="7"/>
    </row>
    <row r="1713" customFormat="false" ht="23.85" hidden="false" customHeight="false" outlineLevel="0" collapsed="false">
      <c r="A1713" s="6" t="s">
        <v>2262</v>
      </c>
      <c r="B1713" s="6" t="s">
        <v>110</v>
      </c>
      <c r="C1713" s="6" t="s">
        <v>1362</v>
      </c>
      <c r="D1713" s="6" t="s">
        <v>1330</v>
      </c>
      <c r="E1713" s="6"/>
      <c r="F1713" s="6" t="s">
        <v>1900</v>
      </c>
      <c r="G1713" s="6" t="s">
        <v>4543</v>
      </c>
      <c r="H1713" s="6" t="s">
        <v>4544</v>
      </c>
      <c r="I1713" s="6" t="n">
        <v>28</v>
      </c>
      <c r="J1713" s="6"/>
      <c r="K1713" s="6" t="s">
        <v>4545</v>
      </c>
      <c r="L1713" s="7"/>
      <c r="M1713" s="7"/>
    </row>
    <row r="1714" customFormat="false" ht="35.05" hidden="false" customHeight="false" outlineLevel="0" collapsed="false">
      <c r="A1714" s="6" t="s">
        <v>2262</v>
      </c>
      <c r="B1714" s="6" t="s">
        <v>110</v>
      </c>
      <c r="C1714" s="6" t="s">
        <v>1362</v>
      </c>
      <c r="D1714" s="6" t="s">
        <v>1330</v>
      </c>
      <c r="E1714" s="6"/>
      <c r="F1714" s="6" t="s">
        <v>1900</v>
      </c>
      <c r="G1714" s="6" t="s">
        <v>4546</v>
      </c>
      <c r="H1714" s="6" t="s">
        <v>4547</v>
      </c>
      <c r="I1714" s="6" t="n">
        <v>46</v>
      </c>
      <c r="J1714" s="6"/>
      <c r="K1714" s="6" t="s">
        <v>4548</v>
      </c>
      <c r="L1714" s="7"/>
      <c r="M1714" s="7"/>
    </row>
    <row r="1715" customFormat="false" ht="35.05" hidden="false" customHeight="false" outlineLevel="0" collapsed="false">
      <c r="A1715" s="6" t="s">
        <v>2264</v>
      </c>
      <c r="B1715" s="6" t="s">
        <v>110</v>
      </c>
      <c r="C1715" s="6" t="s">
        <v>1362</v>
      </c>
      <c r="D1715" s="6" t="s">
        <v>1330</v>
      </c>
      <c r="E1715" s="6"/>
      <c r="F1715" s="6" t="s">
        <v>1903</v>
      </c>
      <c r="G1715" s="6" t="s">
        <v>4537</v>
      </c>
      <c r="H1715" s="6" t="s">
        <v>4577</v>
      </c>
      <c r="I1715" s="6" t="n">
        <v>98</v>
      </c>
      <c r="J1715" s="6" t="s">
        <v>83</v>
      </c>
      <c r="K1715" s="6" t="s">
        <v>4578</v>
      </c>
      <c r="L1715" s="7"/>
      <c r="M1715" s="7"/>
    </row>
    <row r="1716" customFormat="false" ht="23.85" hidden="false" customHeight="false" outlineLevel="0" collapsed="false">
      <c r="A1716" s="6" t="s">
        <v>2264</v>
      </c>
      <c r="B1716" s="6" t="s">
        <v>110</v>
      </c>
      <c r="C1716" s="6" t="s">
        <v>1362</v>
      </c>
      <c r="D1716" s="6" t="s">
        <v>1330</v>
      </c>
      <c r="E1716" s="6"/>
      <c r="F1716" s="6" t="s">
        <v>1903</v>
      </c>
      <c r="G1716" s="6" t="s">
        <v>4540</v>
      </c>
      <c r="H1716" s="6" t="s">
        <v>4541</v>
      </c>
      <c r="I1716" s="6" t="n">
        <v>38</v>
      </c>
      <c r="J1716" s="6"/>
      <c r="K1716" s="6" t="s">
        <v>4542</v>
      </c>
      <c r="L1716" s="7"/>
      <c r="M1716" s="7"/>
    </row>
    <row r="1717" customFormat="false" ht="23.85" hidden="false" customHeight="false" outlineLevel="0" collapsed="false">
      <c r="A1717" s="6" t="s">
        <v>2264</v>
      </c>
      <c r="B1717" s="6" t="s">
        <v>110</v>
      </c>
      <c r="C1717" s="6" t="s">
        <v>1362</v>
      </c>
      <c r="D1717" s="6" t="s">
        <v>1330</v>
      </c>
      <c r="E1717" s="6"/>
      <c r="F1717" s="6" t="s">
        <v>1903</v>
      </c>
      <c r="G1717" s="6" t="s">
        <v>4543</v>
      </c>
      <c r="H1717" s="6" t="s">
        <v>4544</v>
      </c>
      <c r="I1717" s="6" t="n">
        <v>28</v>
      </c>
      <c r="J1717" s="6"/>
      <c r="K1717" s="6" t="s">
        <v>4545</v>
      </c>
      <c r="L1717" s="7"/>
      <c r="M1717" s="7"/>
    </row>
    <row r="1718" customFormat="false" ht="35.05" hidden="false" customHeight="false" outlineLevel="0" collapsed="false">
      <c r="A1718" s="6" t="s">
        <v>2264</v>
      </c>
      <c r="B1718" s="6" t="s">
        <v>110</v>
      </c>
      <c r="C1718" s="6" t="s">
        <v>1362</v>
      </c>
      <c r="D1718" s="6" t="s">
        <v>1330</v>
      </c>
      <c r="E1718" s="6"/>
      <c r="F1718" s="6" t="s">
        <v>1903</v>
      </c>
      <c r="G1718" s="6" t="s">
        <v>4546</v>
      </c>
      <c r="H1718" s="6" t="s">
        <v>4547</v>
      </c>
      <c r="I1718" s="6" t="n">
        <v>46</v>
      </c>
      <c r="J1718" s="6"/>
      <c r="K1718" s="6" t="s">
        <v>4548</v>
      </c>
      <c r="L1718" s="7"/>
      <c r="M1718" s="7"/>
    </row>
    <row r="1719" customFormat="false" ht="35.05" hidden="false" customHeight="false" outlineLevel="0" collapsed="false">
      <c r="A1719" s="6" t="s">
        <v>2266</v>
      </c>
      <c r="B1719" s="6" t="s">
        <v>110</v>
      </c>
      <c r="C1719" s="6" t="s">
        <v>1362</v>
      </c>
      <c r="D1719" s="6" t="s">
        <v>1330</v>
      </c>
      <c r="E1719" s="6"/>
      <c r="F1719" s="6" t="s">
        <v>1906</v>
      </c>
      <c r="G1719" s="6" t="s">
        <v>4537</v>
      </c>
      <c r="H1719" s="6" t="s">
        <v>4577</v>
      </c>
      <c r="I1719" s="6" t="n">
        <v>98</v>
      </c>
      <c r="J1719" s="6" t="s">
        <v>83</v>
      </c>
      <c r="K1719" s="6" t="s">
        <v>4578</v>
      </c>
      <c r="L1719" s="7"/>
      <c r="M1719" s="7"/>
    </row>
    <row r="1720" customFormat="false" ht="23.85" hidden="false" customHeight="false" outlineLevel="0" collapsed="false">
      <c r="A1720" s="6" t="s">
        <v>2266</v>
      </c>
      <c r="B1720" s="6" t="s">
        <v>110</v>
      </c>
      <c r="C1720" s="6" t="s">
        <v>1362</v>
      </c>
      <c r="D1720" s="6" t="s">
        <v>1330</v>
      </c>
      <c r="E1720" s="6"/>
      <c r="F1720" s="6" t="s">
        <v>1906</v>
      </c>
      <c r="G1720" s="6" t="s">
        <v>4540</v>
      </c>
      <c r="H1720" s="6" t="s">
        <v>4541</v>
      </c>
      <c r="I1720" s="6" t="n">
        <v>38</v>
      </c>
      <c r="J1720" s="6"/>
      <c r="K1720" s="6" t="s">
        <v>4542</v>
      </c>
      <c r="L1720" s="7"/>
      <c r="M1720" s="7"/>
    </row>
    <row r="1721" customFormat="false" ht="23.85" hidden="false" customHeight="false" outlineLevel="0" collapsed="false">
      <c r="A1721" s="6" t="s">
        <v>2266</v>
      </c>
      <c r="B1721" s="6" t="s">
        <v>110</v>
      </c>
      <c r="C1721" s="6" t="s">
        <v>1362</v>
      </c>
      <c r="D1721" s="6" t="s">
        <v>1330</v>
      </c>
      <c r="E1721" s="6"/>
      <c r="F1721" s="6" t="s">
        <v>1906</v>
      </c>
      <c r="G1721" s="6" t="s">
        <v>4543</v>
      </c>
      <c r="H1721" s="6" t="s">
        <v>4544</v>
      </c>
      <c r="I1721" s="6" t="n">
        <v>28</v>
      </c>
      <c r="J1721" s="6"/>
      <c r="K1721" s="6" t="s">
        <v>4545</v>
      </c>
      <c r="L1721" s="7"/>
      <c r="M1721" s="7"/>
    </row>
    <row r="1722" customFormat="false" ht="35.05" hidden="false" customHeight="false" outlineLevel="0" collapsed="false">
      <c r="A1722" s="6" t="s">
        <v>2266</v>
      </c>
      <c r="B1722" s="6" t="s">
        <v>110</v>
      </c>
      <c r="C1722" s="6" t="s">
        <v>1362</v>
      </c>
      <c r="D1722" s="6" t="s">
        <v>1330</v>
      </c>
      <c r="E1722" s="6"/>
      <c r="F1722" s="6" t="s">
        <v>1906</v>
      </c>
      <c r="G1722" s="6" t="s">
        <v>4546</v>
      </c>
      <c r="H1722" s="6" t="s">
        <v>4547</v>
      </c>
      <c r="I1722" s="6" t="n">
        <v>46</v>
      </c>
      <c r="J1722" s="6"/>
      <c r="K1722" s="6" t="s">
        <v>4548</v>
      </c>
      <c r="L1722" s="7"/>
      <c r="M1722" s="7"/>
    </row>
    <row r="1723" customFormat="false" ht="35.05" hidden="false" customHeight="false" outlineLevel="0" collapsed="false">
      <c r="A1723" s="6" t="s">
        <v>2268</v>
      </c>
      <c r="B1723" s="6" t="s">
        <v>110</v>
      </c>
      <c r="C1723" s="6" t="s">
        <v>1362</v>
      </c>
      <c r="D1723" s="6" t="s">
        <v>1330</v>
      </c>
      <c r="E1723" s="6"/>
      <c r="F1723" s="6" t="s">
        <v>1909</v>
      </c>
      <c r="G1723" s="6" t="s">
        <v>4537</v>
      </c>
      <c r="H1723" s="6" t="s">
        <v>4577</v>
      </c>
      <c r="I1723" s="6" t="n">
        <v>98</v>
      </c>
      <c r="J1723" s="6" t="s">
        <v>83</v>
      </c>
      <c r="K1723" s="6" t="s">
        <v>4578</v>
      </c>
      <c r="L1723" s="7"/>
      <c r="M1723" s="7"/>
    </row>
    <row r="1724" customFormat="false" ht="23.85" hidden="false" customHeight="false" outlineLevel="0" collapsed="false">
      <c r="A1724" s="6" t="s">
        <v>2268</v>
      </c>
      <c r="B1724" s="6" t="s">
        <v>110</v>
      </c>
      <c r="C1724" s="6" t="s">
        <v>1362</v>
      </c>
      <c r="D1724" s="6" t="s">
        <v>1330</v>
      </c>
      <c r="E1724" s="6"/>
      <c r="F1724" s="6" t="s">
        <v>1909</v>
      </c>
      <c r="G1724" s="6" t="s">
        <v>4540</v>
      </c>
      <c r="H1724" s="6" t="s">
        <v>4541</v>
      </c>
      <c r="I1724" s="6" t="n">
        <v>38</v>
      </c>
      <c r="J1724" s="6"/>
      <c r="K1724" s="6" t="s">
        <v>4542</v>
      </c>
      <c r="L1724" s="7"/>
      <c r="M1724" s="7"/>
    </row>
    <row r="1725" customFormat="false" ht="23.85" hidden="false" customHeight="false" outlineLevel="0" collapsed="false">
      <c r="A1725" s="6" t="s">
        <v>2268</v>
      </c>
      <c r="B1725" s="6" t="s">
        <v>110</v>
      </c>
      <c r="C1725" s="6" t="s">
        <v>1362</v>
      </c>
      <c r="D1725" s="6" t="s">
        <v>1330</v>
      </c>
      <c r="E1725" s="6"/>
      <c r="F1725" s="6" t="s">
        <v>1909</v>
      </c>
      <c r="G1725" s="6" t="s">
        <v>4543</v>
      </c>
      <c r="H1725" s="6" t="s">
        <v>4544</v>
      </c>
      <c r="I1725" s="6" t="n">
        <v>28</v>
      </c>
      <c r="J1725" s="6"/>
      <c r="K1725" s="6" t="s">
        <v>4545</v>
      </c>
      <c r="L1725" s="7"/>
      <c r="M1725" s="7"/>
    </row>
    <row r="1726" customFormat="false" ht="35.05" hidden="false" customHeight="false" outlineLevel="0" collapsed="false">
      <c r="A1726" s="6" t="s">
        <v>2268</v>
      </c>
      <c r="B1726" s="6" t="s">
        <v>110</v>
      </c>
      <c r="C1726" s="6" t="s">
        <v>1362</v>
      </c>
      <c r="D1726" s="6" t="s">
        <v>1330</v>
      </c>
      <c r="E1726" s="6"/>
      <c r="F1726" s="6" t="s">
        <v>1909</v>
      </c>
      <c r="G1726" s="6" t="s">
        <v>4546</v>
      </c>
      <c r="H1726" s="6" t="s">
        <v>4547</v>
      </c>
      <c r="I1726" s="6" t="n">
        <v>46</v>
      </c>
      <c r="J1726" s="6"/>
      <c r="K1726" s="6" t="s">
        <v>4548</v>
      </c>
      <c r="L1726" s="7"/>
      <c r="M1726" s="7"/>
    </row>
    <row r="1727" customFormat="false" ht="23.85" hidden="false" customHeight="false" outlineLevel="0" collapsed="false">
      <c r="A1727" s="6" t="s">
        <v>2270</v>
      </c>
      <c r="B1727" s="6" t="s">
        <v>132</v>
      </c>
      <c r="C1727" s="6" t="s">
        <v>1362</v>
      </c>
      <c r="D1727" s="6" t="s">
        <v>1330</v>
      </c>
      <c r="E1727" s="6"/>
      <c r="F1727" s="6" t="s">
        <v>1879</v>
      </c>
      <c r="G1727" s="6" t="s">
        <v>4537</v>
      </c>
      <c r="H1727" s="6" t="s">
        <v>4579</v>
      </c>
      <c r="I1727" s="6" t="n">
        <v>98</v>
      </c>
      <c r="J1727" s="6" t="s">
        <v>83</v>
      </c>
      <c r="K1727" s="6" t="s">
        <v>4580</v>
      </c>
      <c r="L1727" s="7"/>
      <c r="M1727" s="7"/>
    </row>
    <row r="1728" customFormat="false" ht="23.85" hidden="false" customHeight="false" outlineLevel="0" collapsed="false">
      <c r="A1728" s="6" t="s">
        <v>2270</v>
      </c>
      <c r="B1728" s="6" t="s">
        <v>132</v>
      </c>
      <c r="C1728" s="6" t="s">
        <v>1362</v>
      </c>
      <c r="D1728" s="6" t="s">
        <v>1330</v>
      </c>
      <c r="E1728" s="6"/>
      <c r="F1728" s="6" t="s">
        <v>1879</v>
      </c>
      <c r="G1728" s="6" t="s">
        <v>4540</v>
      </c>
      <c r="H1728" s="6" t="s">
        <v>4541</v>
      </c>
      <c r="I1728" s="6" t="n">
        <v>38</v>
      </c>
      <c r="J1728" s="6"/>
      <c r="K1728" s="6" t="s">
        <v>4542</v>
      </c>
      <c r="L1728" s="7"/>
      <c r="M1728" s="7"/>
    </row>
    <row r="1729" customFormat="false" ht="23.85" hidden="false" customHeight="false" outlineLevel="0" collapsed="false">
      <c r="A1729" s="6" t="s">
        <v>2270</v>
      </c>
      <c r="B1729" s="6" t="s">
        <v>132</v>
      </c>
      <c r="C1729" s="6" t="s">
        <v>1362</v>
      </c>
      <c r="D1729" s="6" t="s">
        <v>1330</v>
      </c>
      <c r="E1729" s="6"/>
      <c r="F1729" s="6" t="s">
        <v>1879</v>
      </c>
      <c r="G1729" s="6" t="s">
        <v>4543</v>
      </c>
      <c r="H1729" s="6" t="s">
        <v>4544</v>
      </c>
      <c r="I1729" s="6" t="n">
        <v>28</v>
      </c>
      <c r="J1729" s="6"/>
      <c r="K1729" s="6" t="s">
        <v>4545</v>
      </c>
      <c r="L1729" s="7"/>
      <c r="M1729" s="7"/>
    </row>
    <row r="1730" customFormat="false" ht="35.05" hidden="false" customHeight="false" outlineLevel="0" collapsed="false">
      <c r="A1730" s="6" t="s">
        <v>2270</v>
      </c>
      <c r="B1730" s="6" t="s">
        <v>132</v>
      </c>
      <c r="C1730" s="6" t="s">
        <v>1362</v>
      </c>
      <c r="D1730" s="6" t="s">
        <v>1330</v>
      </c>
      <c r="E1730" s="6"/>
      <c r="F1730" s="6" t="s">
        <v>1879</v>
      </c>
      <c r="G1730" s="6" t="s">
        <v>4546</v>
      </c>
      <c r="H1730" s="6" t="s">
        <v>4547</v>
      </c>
      <c r="I1730" s="6" t="n">
        <v>46</v>
      </c>
      <c r="J1730" s="6"/>
      <c r="K1730" s="6" t="s">
        <v>4548</v>
      </c>
      <c r="L1730" s="7"/>
      <c r="M1730" s="7"/>
    </row>
    <row r="1731" customFormat="false" ht="23.85" hidden="false" customHeight="false" outlineLevel="0" collapsed="false">
      <c r="A1731" s="6" t="s">
        <v>2276</v>
      </c>
      <c r="B1731" s="6" t="s">
        <v>132</v>
      </c>
      <c r="C1731" s="6" t="s">
        <v>1362</v>
      </c>
      <c r="D1731" s="6" t="s">
        <v>1330</v>
      </c>
      <c r="E1731" s="6"/>
      <c r="F1731" s="6" t="s">
        <v>1885</v>
      </c>
      <c r="G1731" s="6" t="s">
        <v>4537</v>
      </c>
      <c r="H1731" s="6" t="s">
        <v>4579</v>
      </c>
      <c r="I1731" s="6" t="n">
        <v>98</v>
      </c>
      <c r="J1731" s="6" t="s">
        <v>83</v>
      </c>
      <c r="K1731" s="6" t="s">
        <v>4580</v>
      </c>
      <c r="L1731" s="7"/>
      <c r="M1731" s="7"/>
    </row>
    <row r="1732" customFormat="false" ht="23.85" hidden="false" customHeight="false" outlineLevel="0" collapsed="false">
      <c r="A1732" s="6" t="s">
        <v>2276</v>
      </c>
      <c r="B1732" s="6" t="s">
        <v>132</v>
      </c>
      <c r="C1732" s="6" t="s">
        <v>1362</v>
      </c>
      <c r="D1732" s="6" t="s">
        <v>1330</v>
      </c>
      <c r="E1732" s="6"/>
      <c r="F1732" s="6" t="s">
        <v>1885</v>
      </c>
      <c r="G1732" s="6" t="s">
        <v>4540</v>
      </c>
      <c r="H1732" s="6" t="s">
        <v>4541</v>
      </c>
      <c r="I1732" s="6" t="n">
        <v>38</v>
      </c>
      <c r="J1732" s="6"/>
      <c r="K1732" s="6" t="s">
        <v>4542</v>
      </c>
      <c r="L1732" s="7"/>
      <c r="M1732" s="7"/>
    </row>
    <row r="1733" customFormat="false" ht="23.85" hidden="false" customHeight="false" outlineLevel="0" collapsed="false">
      <c r="A1733" s="6" t="s">
        <v>2276</v>
      </c>
      <c r="B1733" s="6" t="s">
        <v>132</v>
      </c>
      <c r="C1733" s="6" t="s">
        <v>1362</v>
      </c>
      <c r="D1733" s="6" t="s">
        <v>1330</v>
      </c>
      <c r="E1733" s="6"/>
      <c r="F1733" s="6" t="s">
        <v>1885</v>
      </c>
      <c r="G1733" s="6" t="s">
        <v>4543</v>
      </c>
      <c r="H1733" s="6" t="s">
        <v>4544</v>
      </c>
      <c r="I1733" s="6" t="n">
        <v>28</v>
      </c>
      <c r="J1733" s="6"/>
      <c r="K1733" s="6" t="s">
        <v>4545</v>
      </c>
      <c r="L1733" s="7"/>
      <c r="M1733" s="7"/>
    </row>
    <row r="1734" customFormat="false" ht="35.05" hidden="false" customHeight="false" outlineLevel="0" collapsed="false">
      <c r="A1734" s="6" t="s">
        <v>2276</v>
      </c>
      <c r="B1734" s="6" t="s">
        <v>132</v>
      </c>
      <c r="C1734" s="6" t="s">
        <v>1362</v>
      </c>
      <c r="D1734" s="6" t="s">
        <v>1330</v>
      </c>
      <c r="E1734" s="6"/>
      <c r="F1734" s="6" t="s">
        <v>1885</v>
      </c>
      <c r="G1734" s="6" t="s">
        <v>4546</v>
      </c>
      <c r="H1734" s="6" t="s">
        <v>4547</v>
      </c>
      <c r="I1734" s="6" t="n">
        <v>46</v>
      </c>
      <c r="J1734" s="6"/>
      <c r="K1734" s="6" t="s">
        <v>4548</v>
      </c>
      <c r="L1734" s="7"/>
      <c r="M1734" s="7"/>
    </row>
    <row r="1735" customFormat="false" ht="23.85" hidden="false" customHeight="false" outlineLevel="0" collapsed="false">
      <c r="A1735" s="6" t="s">
        <v>2278</v>
      </c>
      <c r="B1735" s="6" t="s">
        <v>132</v>
      </c>
      <c r="C1735" s="6" t="s">
        <v>1362</v>
      </c>
      <c r="D1735" s="6" t="s">
        <v>1330</v>
      </c>
      <c r="E1735" s="6"/>
      <c r="F1735" s="6" t="s">
        <v>1888</v>
      </c>
      <c r="G1735" s="6" t="s">
        <v>4537</v>
      </c>
      <c r="H1735" s="6" t="s">
        <v>4579</v>
      </c>
      <c r="I1735" s="6" t="n">
        <v>98</v>
      </c>
      <c r="J1735" s="6" t="s">
        <v>83</v>
      </c>
      <c r="K1735" s="6" t="s">
        <v>4580</v>
      </c>
      <c r="L1735" s="7"/>
      <c r="M1735" s="7"/>
    </row>
    <row r="1736" customFormat="false" ht="23.85" hidden="false" customHeight="false" outlineLevel="0" collapsed="false">
      <c r="A1736" s="6" t="s">
        <v>2278</v>
      </c>
      <c r="B1736" s="6" t="s">
        <v>132</v>
      </c>
      <c r="C1736" s="6" t="s">
        <v>1362</v>
      </c>
      <c r="D1736" s="6" t="s">
        <v>1330</v>
      </c>
      <c r="E1736" s="6"/>
      <c r="F1736" s="6" t="s">
        <v>1888</v>
      </c>
      <c r="G1736" s="6" t="s">
        <v>4540</v>
      </c>
      <c r="H1736" s="6" t="s">
        <v>4541</v>
      </c>
      <c r="I1736" s="6" t="n">
        <v>38</v>
      </c>
      <c r="J1736" s="6"/>
      <c r="K1736" s="6" t="s">
        <v>4542</v>
      </c>
      <c r="L1736" s="7"/>
      <c r="M1736" s="7"/>
    </row>
    <row r="1737" customFormat="false" ht="23.85" hidden="false" customHeight="false" outlineLevel="0" collapsed="false">
      <c r="A1737" s="6" t="s">
        <v>2278</v>
      </c>
      <c r="B1737" s="6" t="s">
        <v>132</v>
      </c>
      <c r="C1737" s="6" t="s">
        <v>1362</v>
      </c>
      <c r="D1737" s="6" t="s">
        <v>1330</v>
      </c>
      <c r="E1737" s="6"/>
      <c r="F1737" s="6" t="s">
        <v>1888</v>
      </c>
      <c r="G1737" s="6" t="s">
        <v>4543</v>
      </c>
      <c r="H1737" s="6" t="s">
        <v>4544</v>
      </c>
      <c r="I1737" s="6" t="n">
        <v>28</v>
      </c>
      <c r="J1737" s="6"/>
      <c r="K1737" s="6" t="s">
        <v>4545</v>
      </c>
      <c r="L1737" s="7"/>
      <c r="M1737" s="7"/>
    </row>
    <row r="1738" customFormat="false" ht="35.05" hidden="false" customHeight="false" outlineLevel="0" collapsed="false">
      <c r="A1738" s="6" t="s">
        <v>2278</v>
      </c>
      <c r="B1738" s="6" t="s">
        <v>132</v>
      </c>
      <c r="C1738" s="6" t="s">
        <v>1362</v>
      </c>
      <c r="D1738" s="6" t="s">
        <v>1330</v>
      </c>
      <c r="E1738" s="6"/>
      <c r="F1738" s="6" t="s">
        <v>1888</v>
      </c>
      <c r="G1738" s="6" t="s">
        <v>4546</v>
      </c>
      <c r="H1738" s="6" t="s">
        <v>4547</v>
      </c>
      <c r="I1738" s="6" t="n">
        <v>46</v>
      </c>
      <c r="J1738" s="6"/>
      <c r="K1738" s="6" t="s">
        <v>4548</v>
      </c>
      <c r="L1738" s="7"/>
      <c r="M1738" s="7"/>
    </row>
    <row r="1739" customFormat="false" ht="23.85" hidden="false" customHeight="false" outlineLevel="0" collapsed="false">
      <c r="A1739" s="6" t="s">
        <v>2280</v>
      </c>
      <c r="B1739" s="6" t="s">
        <v>132</v>
      </c>
      <c r="C1739" s="6" t="s">
        <v>1362</v>
      </c>
      <c r="D1739" s="6" t="s">
        <v>1330</v>
      </c>
      <c r="E1739" s="6"/>
      <c r="F1739" s="6" t="s">
        <v>1891</v>
      </c>
      <c r="G1739" s="6" t="s">
        <v>4537</v>
      </c>
      <c r="H1739" s="6" t="s">
        <v>4579</v>
      </c>
      <c r="I1739" s="6" t="n">
        <v>98</v>
      </c>
      <c r="J1739" s="6" t="s">
        <v>83</v>
      </c>
      <c r="K1739" s="6" t="s">
        <v>4580</v>
      </c>
      <c r="L1739" s="7"/>
      <c r="M1739" s="7"/>
    </row>
    <row r="1740" customFormat="false" ht="23.85" hidden="false" customHeight="false" outlineLevel="0" collapsed="false">
      <c r="A1740" s="6" t="s">
        <v>2280</v>
      </c>
      <c r="B1740" s="6" t="s">
        <v>132</v>
      </c>
      <c r="C1740" s="6" t="s">
        <v>1362</v>
      </c>
      <c r="D1740" s="6" t="s">
        <v>1330</v>
      </c>
      <c r="E1740" s="6"/>
      <c r="F1740" s="6" t="s">
        <v>1891</v>
      </c>
      <c r="G1740" s="6" t="s">
        <v>4540</v>
      </c>
      <c r="H1740" s="6" t="s">
        <v>4541</v>
      </c>
      <c r="I1740" s="6" t="n">
        <v>38</v>
      </c>
      <c r="J1740" s="6"/>
      <c r="K1740" s="6" t="s">
        <v>4542</v>
      </c>
      <c r="L1740" s="7"/>
      <c r="M1740" s="7"/>
    </row>
    <row r="1741" customFormat="false" ht="23.85" hidden="false" customHeight="false" outlineLevel="0" collapsed="false">
      <c r="A1741" s="6" t="s">
        <v>2280</v>
      </c>
      <c r="B1741" s="6" t="s">
        <v>132</v>
      </c>
      <c r="C1741" s="6" t="s">
        <v>1362</v>
      </c>
      <c r="D1741" s="6" t="s">
        <v>1330</v>
      </c>
      <c r="E1741" s="6"/>
      <c r="F1741" s="6" t="s">
        <v>1891</v>
      </c>
      <c r="G1741" s="6" t="s">
        <v>4543</v>
      </c>
      <c r="H1741" s="6" t="s">
        <v>4544</v>
      </c>
      <c r="I1741" s="6" t="n">
        <v>28</v>
      </c>
      <c r="J1741" s="6"/>
      <c r="K1741" s="6" t="s">
        <v>4545</v>
      </c>
      <c r="L1741" s="7"/>
      <c r="M1741" s="7"/>
    </row>
    <row r="1742" customFormat="false" ht="35.05" hidden="false" customHeight="false" outlineLevel="0" collapsed="false">
      <c r="A1742" s="6" t="s">
        <v>2280</v>
      </c>
      <c r="B1742" s="6" t="s">
        <v>132</v>
      </c>
      <c r="C1742" s="6" t="s">
        <v>1362</v>
      </c>
      <c r="D1742" s="6" t="s">
        <v>1330</v>
      </c>
      <c r="E1742" s="6"/>
      <c r="F1742" s="6" t="s">
        <v>1891</v>
      </c>
      <c r="G1742" s="6" t="s">
        <v>4546</v>
      </c>
      <c r="H1742" s="6" t="s">
        <v>4547</v>
      </c>
      <c r="I1742" s="6" t="n">
        <v>46</v>
      </c>
      <c r="J1742" s="6"/>
      <c r="K1742" s="6" t="s">
        <v>4548</v>
      </c>
      <c r="L1742" s="7"/>
      <c r="M1742" s="7"/>
    </row>
    <row r="1743" customFormat="false" ht="23.85" hidden="false" customHeight="false" outlineLevel="0" collapsed="false">
      <c r="A1743" s="6" t="s">
        <v>2282</v>
      </c>
      <c r="B1743" s="6" t="s">
        <v>132</v>
      </c>
      <c r="C1743" s="6" t="s">
        <v>1362</v>
      </c>
      <c r="D1743" s="6" t="s">
        <v>1330</v>
      </c>
      <c r="E1743" s="6"/>
      <c r="F1743" s="6" t="s">
        <v>1894</v>
      </c>
      <c r="G1743" s="6" t="s">
        <v>4537</v>
      </c>
      <c r="H1743" s="6" t="s">
        <v>4579</v>
      </c>
      <c r="I1743" s="6" t="n">
        <v>98</v>
      </c>
      <c r="J1743" s="6" t="s">
        <v>83</v>
      </c>
      <c r="K1743" s="6" t="s">
        <v>4580</v>
      </c>
      <c r="L1743" s="7"/>
      <c r="M1743" s="7"/>
    </row>
    <row r="1744" customFormat="false" ht="23.85" hidden="false" customHeight="false" outlineLevel="0" collapsed="false">
      <c r="A1744" s="6" t="s">
        <v>2282</v>
      </c>
      <c r="B1744" s="6" t="s">
        <v>132</v>
      </c>
      <c r="C1744" s="6" t="s">
        <v>1362</v>
      </c>
      <c r="D1744" s="6" t="s">
        <v>1330</v>
      </c>
      <c r="E1744" s="6"/>
      <c r="F1744" s="6" t="s">
        <v>1894</v>
      </c>
      <c r="G1744" s="6" t="s">
        <v>4540</v>
      </c>
      <c r="H1744" s="6" t="s">
        <v>4541</v>
      </c>
      <c r="I1744" s="6" t="n">
        <v>38</v>
      </c>
      <c r="J1744" s="6"/>
      <c r="K1744" s="6" t="s">
        <v>4542</v>
      </c>
      <c r="L1744" s="7"/>
      <c r="M1744" s="7"/>
    </row>
    <row r="1745" customFormat="false" ht="23.85" hidden="false" customHeight="false" outlineLevel="0" collapsed="false">
      <c r="A1745" s="6" t="s">
        <v>2282</v>
      </c>
      <c r="B1745" s="6" t="s">
        <v>132</v>
      </c>
      <c r="C1745" s="6" t="s">
        <v>1362</v>
      </c>
      <c r="D1745" s="6" t="s">
        <v>1330</v>
      </c>
      <c r="E1745" s="6"/>
      <c r="F1745" s="6" t="s">
        <v>1894</v>
      </c>
      <c r="G1745" s="6" t="s">
        <v>4543</v>
      </c>
      <c r="H1745" s="6" t="s">
        <v>4544</v>
      </c>
      <c r="I1745" s="6" t="n">
        <v>28</v>
      </c>
      <c r="J1745" s="6"/>
      <c r="K1745" s="6" t="s">
        <v>4545</v>
      </c>
      <c r="L1745" s="7"/>
      <c r="M1745" s="7"/>
    </row>
    <row r="1746" customFormat="false" ht="35.05" hidden="false" customHeight="false" outlineLevel="0" collapsed="false">
      <c r="A1746" s="6" t="s">
        <v>2282</v>
      </c>
      <c r="B1746" s="6" t="s">
        <v>132</v>
      </c>
      <c r="C1746" s="6" t="s">
        <v>1362</v>
      </c>
      <c r="D1746" s="6" t="s">
        <v>1330</v>
      </c>
      <c r="E1746" s="6"/>
      <c r="F1746" s="6" t="s">
        <v>1894</v>
      </c>
      <c r="G1746" s="6" t="s">
        <v>4546</v>
      </c>
      <c r="H1746" s="6" t="s">
        <v>4547</v>
      </c>
      <c r="I1746" s="6" t="n">
        <v>46</v>
      </c>
      <c r="J1746" s="6"/>
      <c r="K1746" s="6" t="s">
        <v>4548</v>
      </c>
      <c r="L1746" s="7"/>
      <c r="M1746" s="7"/>
    </row>
    <row r="1747" customFormat="false" ht="23.85" hidden="false" customHeight="false" outlineLevel="0" collapsed="false">
      <c r="A1747" s="6" t="s">
        <v>2284</v>
      </c>
      <c r="B1747" s="6" t="s">
        <v>132</v>
      </c>
      <c r="C1747" s="6" t="s">
        <v>1362</v>
      </c>
      <c r="D1747" s="6" t="s">
        <v>1330</v>
      </c>
      <c r="E1747" s="6"/>
      <c r="F1747" s="6" t="s">
        <v>1897</v>
      </c>
      <c r="G1747" s="6" t="s">
        <v>4537</v>
      </c>
      <c r="H1747" s="6" t="s">
        <v>4579</v>
      </c>
      <c r="I1747" s="6" t="n">
        <v>98</v>
      </c>
      <c r="J1747" s="6" t="s">
        <v>83</v>
      </c>
      <c r="K1747" s="6" t="s">
        <v>4580</v>
      </c>
      <c r="L1747" s="7"/>
      <c r="M1747" s="7"/>
    </row>
    <row r="1748" customFormat="false" ht="23.85" hidden="false" customHeight="false" outlineLevel="0" collapsed="false">
      <c r="A1748" s="6" t="s">
        <v>2284</v>
      </c>
      <c r="B1748" s="6" t="s">
        <v>132</v>
      </c>
      <c r="C1748" s="6" t="s">
        <v>1362</v>
      </c>
      <c r="D1748" s="6" t="s">
        <v>1330</v>
      </c>
      <c r="E1748" s="6"/>
      <c r="F1748" s="6" t="s">
        <v>1897</v>
      </c>
      <c r="G1748" s="6" t="s">
        <v>4540</v>
      </c>
      <c r="H1748" s="6" t="s">
        <v>4541</v>
      </c>
      <c r="I1748" s="6" t="n">
        <v>38</v>
      </c>
      <c r="J1748" s="6"/>
      <c r="K1748" s="6" t="s">
        <v>4542</v>
      </c>
      <c r="L1748" s="7"/>
      <c r="M1748" s="7"/>
    </row>
    <row r="1749" customFormat="false" ht="23.85" hidden="false" customHeight="false" outlineLevel="0" collapsed="false">
      <c r="A1749" s="6" t="s">
        <v>2284</v>
      </c>
      <c r="B1749" s="6" t="s">
        <v>132</v>
      </c>
      <c r="C1749" s="6" t="s">
        <v>1362</v>
      </c>
      <c r="D1749" s="6" t="s">
        <v>1330</v>
      </c>
      <c r="E1749" s="6"/>
      <c r="F1749" s="6" t="s">
        <v>1897</v>
      </c>
      <c r="G1749" s="6" t="s">
        <v>4543</v>
      </c>
      <c r="H1749" s="6" t="s">
        <v>4544</v>
      </c>
      <c r="I1749" s="6" t="n">
        <v>28</v>
      </c>
      <c r="J1749" s="6"/>
      <c r="K1749" s="6" t="s">
        <v>4545</v>
      </c>
      <c r="L1749" s="7"/>
      <c r="M1749" s="7"/>
    </row>
    <row r="1750" customFormat="false" ht="35.05" hidden="false" customHeight="false" outlineLevel="0" collapsed="false">
      <c r="A1750" s="6" t="s">
        <v>2284</v>
      </c>
      <c r="B1750" s="6" t="s">
        <v>132</v>
      </c>
      <c r="C1750" s="6" t="s">
        <v>1362</v>
      </c>
      <c r="D1750" s="6" t="s">
        <v>1330</v>
      </c>
      <c r="E1750" s="6"/>
      <c r="F1750" s="6" t="s">
        <v>1897</v>
      </c>
      <c r="G1750" s="6" t="s">
        <v>4546</v>
      </c>
      <c r="H1750" s="6" t="s">
        <v>4547</v>
      </c>
      <c r="I1750" s="6" t="n">
        <v>46</v>
      </c>
      <c r="J1750" s="6"/>
      <c r="K1750" s="6" t="s">
        <v>4548</v>
      </c>
      <c r="L1750" s="7"/>
      <c r="M1750" s="7"/>
    </row>
    <row r="1751" customFormat="false" ht="23.85" hidden="false" customHeight="false" outlineLevel="0" collapsed="false">
      <c r="A1751" s="6" t="s">
        <v>2286</v>
      </c>
      <c r="B1751" s="6" t="s">
        <v>132</v>
      </c>
      <c r="C1751" s="6" t="s">
        <v>1362</v>
      </c>
      <c r="D1751" s="6" t="s">
        <v>1330</v>
      </c>
      <c r="E1751" s="6"/>
      <c r="F1751" s="6" t="s">
        <v>1900</v>
      </c>
      <c r="G1751" s="6" t="s">
        <v>4537</v>
      </c>
      <c r="H1751" s="6" t="s">
        <v>4579</v>
      </c>
      <c r="I1751" s="6" t="n">
        <v>98</v>
      </c>
      <c r="J1751" s="6" t="s">
        <v>83</v>
      </c>
      <c r="K1751" s="6" t="s">
        <v>4580</v>
      </c>
      <c r="L1751" s="7"/>
      <c r="M1751" s="7"/>
    </row>
    <row r="1752" customFormat="false" ht="23.85" hidden="false" customHeight="false" outlineLevel="0" collapsed="false">
      <c r="A1752" s="6" t="s">
        <v>2286</v>
      </c>
      <c r="B1752" s="6" t="s">
        <v>132</v>
      </c>
      <c r="C1752" s="6" t="s">
        <v>1362</v>
      </c>
      <c r="D1752" s="6" t="s">
        <v>1330</v>
      </c>
      <c r="E1752" s="6"/>
      <c r="F1752" s="6" t="s">
        <v>1900</v>
      </c>
      <c r="G1752" s="6" t="s">
        <v>4540</v>
      </c>
      <c r="H1752" s="6" t="s">
        <v>4541</v>
      </c>
      <c r="I1752" s="6" t="n">
        <v>38</v>
      </c>
      <c r="J1752" s="6"/>
      <c r="K1752" s="6" t="s">
        <v>4542</v>
      </c>
      <c r="L1752" s="7"/>
      <c r="M1752" s="7"/>
    </row>
    <row r="1753" customFormat="false" ht="23.85" hidden="false" customHeight="false" outlineLevel="0" collapsed="false">
      <c r="A1753" s="6" t="s">
        <v>2286</v>
      </c>
      <c r="B1753" s="6" t="s">
        <v>132</v>
      </c>
      <c r="C1753" s="6" t="s">
        <v>1362</v>
      </c>
      <c r="D1753" s="6" t="s">
        <v>1330</v>
      </c>
      <c r="E1753" s="6"/>
      <c r="F1753" s="6" t="s">
        <v>1900</v>
      </c>
      <c r="G1753" s="6" t="s">
        <v>4543</v>
      </c>
      <c r="H1753" s="6" t="s">
        <v>4544</v>
      </c>
      <c r="I1753" s="6" t="n">
        <v>28</v>
      </c>
      <c r="J1753" s="6"/>
      <c r="K1753" s="6" t="s">
        <v>4545</v>
      </c>
      <c r="L1753" s="7"/>
      <c r="M1753" s="7"/>
    </row>
    <row r="1754" customFormat="false" ht="35.05" hidden="false" customHeight="false" outlineLevel="0" collapsed="false">
      <c r="A1754" s="6" t="s">
        <v>2286</v>
      </c>
      <c r="B1754" s="6" t="s">
        <v>132</v>
      </c>
      <c r="C1754" s="6" t="s">
        <v>1362</v>
      </c>
      <c r="D1754" s="6" t="s">
        <v>1330</v>
      </c>
      <c r="E1754" s="6"/>
      <c r="F1754" s="6" t="s">
        <v>1900</v>
      </c>
      <c r="G1754" s="6" t="s">
        <v>4546</v>
      </c>
      <c r="H1754" s="6" t="s">
        <v>4547</v>
      </c>
      <c r="I1754" s="6" t="n">
        <v>46</v>
      </c>
      <c r="J1754" s="6"/>
      <c r="K1754" s="6" t="s">
        <v>4548</v>
      </c>
      <c r="L1754" s="7"/>
      <c r="M1754" s="7"/>
    </row>
    <row r="1755" customFormat="false" ht="23.85" hidden="false" customHeight="false" outlineLevel="0" collapsed="false">
      <c r="A1755" s="6" t="s">
        <v>2288</v>
      </c>
      <c r="B1755" s="6" t="s">
        <v>132</v>
      </c>
      <c r="C1755" s="6" t="s">
        <v>1362</v>
      </c>
      <c r="D1755" s="6" t="s">
        <v>1330</v>
      </c>
      <c r="E1755" s="6"/>
      <c r="F1755" s="6" t="s">
        <v>1903</v>
      </c>
      <c r="G1755" s="6" t="s">
        <v>4537</v>
      </c>
      <c r="H1755" s="6" t="s">
        <v>4579</v>
      </c>
      <c r="I1755" s="6" t="n">
        <v>98</v>
      </c>
      <c r="J1755" s="6" t="s">
        <v>83</v>
      </c>
      <c r="K1755" s="6" t="s">
        <v>4580</v>
      </c>
      <c r="L1755" s="7"/>
      <c r="M1755" s="7"/>
    </row>
    <row r="1756" customFormat="false" ht="23.85" hidden="false" customHeight="false" outlineLevel="0" collapsed="false">
      <c r="A1756" s="6" t="s">
        <v>2288</v>
      </c>
      <c r="B1756" s="6" t="s">
        <v>132</v>
      </c>
      <c r="C1756" s="6" t="s">
        <v>1362</v>
      </c>
      <c r="D1756" s="6" t="s">
        <v>1330</v>
      </c>
      <c r="E1756" s="6"/>
      <c r="F1756" s="6" t="s">
        <v>1903</v>
      </c>
      <c r="G1756" s="6" t="s">
        <v>4540</v>
      </c>
      <c r="H1756" s="6" t="s">
        <v>4541</v>
      </c>
      <c r="I1756" s="6" t="n">
        <v>38</v>
      </c>
      <c r="J1756" s="6"/>
      <c r="K1756" s="6" t="s">
        <v>4542</v>
      </c>
      <c r="L1756" s="7"/>
      <c r="M1756" s="7"/>
    </row>
    <row r="1757" customFormat="false" ht="23.85" hidden="false" customHeight="false" outlineLevel="0" collapsed="false">
      <c r="A1757" s="6" t="s">
        <v>2288</v>
      </c>
      <c r="B1757" s="6" t="s">
        <v>132</v>
      </c>
      <c r="C1757" s="6" t="s">
        <v>1362</v>
      </c>
      <c r="D1757" s="6" t="s">
        <v>1330</v>
      </c>
      <c r="E1757" s="6"/>
      <c r="F1757" s="6" t="s">
        <v>1903</v>
      </c>
      <c r="G1757" s="6" t="s">
        <v>4543</v>
      </c>
      <c r="H1757" s="6" t="s">
        <v>4544</v>
      </c>
      <c r="I1757" s="6" t="n">
        <v>28</v>
      </c>
      <c r="J1757" s="6"/>
      <c r="K1757" s="6" t="s">
        <v>4545</v>
      </c>
      <c r="L1757" s="7"/>
      <c r="M1757" s="7"/>
    </row>
    <row r="1758" customFormat="false" ht="35.05" hidden="false" customHeight="false" outlineLevel="0" collapsed="false">
      <c r="A1758" s="6" t="s">
        <v>2288</v>
      </c>
      <c r="B1758" s="6" t="s">
        <v>132</v>
      </c>
      <c r="C1758" s="6" t="s">
        <v>1362</v>
      </c>
      <c r="D1758" s="6" t="s">
        <v>1330</v>
      </c>
      <c r="E1758" s="6"/>
      <c r="F1758" s="6" t="s">
        <v>1903</v>
      </c>
      <c r="G1758" s="6" t="s">
        <v>4546</v>
      </c>
      <c r="H1758" s="6" t="s">
        <v>4547</v>
      </c>
      <c r="I1758" s="6" t="n">
        <v>46</v>
      </c>
      <c r="J1758" s="6"/>
      <c r="K1758" s="6" t="s">
        <v>4548</v>
      </c>
      <c r="L1758" s="7"/>
      <c r="M1758" s="7"/>
    </row>
    <row r="1759" customFormat="false" ht="23.85" hidden="false" customHeight="false" outlineLevel="0" collapsed="false">
      <c r="A1759" s="6" t="s">
        <v>2290</v>
      </c>
      <c r="B1759" s="6" t="s">
        <v>132</v>
      </c>
      <c r="C1759" s="6" t="s">
        <v>1362</v>
      </c>
      <c r="D1759" s="6" t="s">
        <v>1330</v>
      </c>
      <c r="E1759" s="6"/>
      <c r="F1759" s="6" t="s">
        <v>1906</v>
      </c>
      <c r="G1759" s="6" t="s">
        <v>4537</v>
      </c>
      <c r="H1759" s="6" t="s">
        <v>4579</v>
      </c>
      <c r="I1759" s="6" t="n">
        <v>98</v>
      </c>
      <c r="J1759" s="6" t="s">
        <v>83</v>
      </c>
      <c r="K1759" s="6" t="s">
        <v>4580</v>
      </c>
      <c r="L1759" s="7"/>
      <c r="M1759" s="7"/>
    </row>
    <row r="1760" customFormat="false" ht="23.85" hidden="false" customHeight="false" outlineLevel="0" collapsed="false">
      <c r="A1760" s="6" t="s">
        <v>2290</v>
      </c>
      <c r="B1760" s="6" t="s">
        <v>132</v>
      </c>
      <c r="C1760" s="6" t="s">
        <v>1362</v>
      </c>
      <c r="D1760" s="6" t="s">
        <v>1330</v>
      </c>
      <c r="E1760" s="6"/>
      <c r="F1760" s="6" t="s">
        <v>1906</v>
      </c>
      <c r="G1760" s="6" t="s">
        <v>4540</v>
      </c>
      <c r="H1760" s="6" t="s">
        <v>4541</v>
      </c>
      <c r="I1760" s="6" t="n">
        <v>38</v>
      </c>
      <c r="J1760" s="6"/>
      <c r="K1760" s="6" t="s">
        <v>4542</v>
      </c>
      <c r="L1760" s="7"/>
      <c r="M1760" s="7"/>
    </row>
    <row r="1761" customFormat="false" ht="23.85" hidden="false" customHeight="false" outlineLevel="0" collapsed="false">
      <c r="A1761" s="6" t="s">
        <v>2290</v>
      </c>
      <c r="B1761" s="6" t="s">
        <v>132</v>
      </c>
      <c r="C1761" s="6" t="s">
        <v>1362</v>
      </c>
      <c r="D1761" s="6" t="s">
        <v>1330</v>
      </c>
      <c r="E1761" s="6"/>
      <c r="F1761" s="6" t="s">
        <v>1906</v>
      </c>
      <c r="G1761" s="6" t="s">
        <v>4543</v>
      </c>
      <c r="H1761" s="6" t="s">
        <v>4544</v>
      </c>
      <c r="I1761" s="6" t="n">
        <v>28</v>
      </c>
      <c r="J1761" s="6"/>
      <c r="K1761" s="6" t="s">
        <v>4545</v>
      </c>
      <c r="L1761" s="7"/>
      <c r="M1761" s="7"/>
    </row>
    <row r="1762" customFormat="false" ht="35.05" hidden="false" customHeight="false" outlineLevel="0" collapsed="false">
      <c r="A1762" s="6" t="s">
        <v>2290</v>
      </c>
      <c r="B1762" s="6" t="s">
        <v>132</v>
      </c>
      <c r="C1762" s="6" t="s">
        <v>1362</v>
      </c>
      <c r="D1762" s="6" t="s">
        <v>1330</v>
      </c>
      <c r="E1762" s="6"/>
      <c r="F1762" s="6" t="s">
        <v>1906</v>
      </c>
      <c r="G1762" s="6" t="s">
        <v>4546</v>
      </c>
      <c r="H1762" s="6" t="s">
        <v>4547</v>
      </c>
      <c r="I1762" s="6" t="n">
        <v>46</v>
      </c>
      <c r="J1762" s="6"/>
      <c r="K1762" s="6" t="s">
        <v>4548</v>
      </c>
      <c r="L1762" s="7"/>
      <c r="M1762" s="7"/>
    </row>
    <row r="1763" customFormat="false" ht="23.85" hidden="false" customHeight="false" outlineLevel="0" collapsed="false">
      <c r="A1763" s="6" t="s">
        <v>2292</v>
      </c>
      <c r="B1763" s="6" t="s">
        <v>132</v>
      </c>
      <c r="C1763" s="6" t="s">
        <v>1362</v>
      </c>
      <c r="D1763" s="6" t="s">
        <v>1330</v>
      </c>
      <c r="E1763" s="6"/>
      <c r="F1763" s="6" t="s">
        <v>1909</v>
      </c>
      <c r="G1763" s="6" t="s">
        <v>4537</v>
      </c>
      <c r="H1763" s="6" t="s">
        <v>4579</v>
      </c>
      <c r="I1763" s="6" t="n">
        <v>98</v>
      </c>
      <c r="J1763" s="6" t="s">
        <v>83</v>
      </c>
      <c r="K1763" s="6" t="s">
        <v>4580</v>
      </c>
      <c r="L1763" s="7"/>
      <c r="M1763" s="7"/>
    </row>
    <row r="1764" customFormat="false" ht="23.85" hidden="false" customHeight="false" outlineLevel="0" collapsed="false">
      <c r="A1764" s="6" t="s">
        <v>2292</v>
      </c>
      <c r="B1764" s="6" t="s">
        <v>132</v>
      </c>
      <c r="C1764" s="6" t="s">
        <v>1362</v>
      </c>
      <c r="D1764" s="6" t="s">
        <v>1330</v>
      </c>
      <c r="E1764" s="6"/>
      <c r="F1764" s="6" t="s">
        <v>1909</v>
      </c>
      <c r="G1764" s="6" t="s">
        <v>4540</v>
      </c>
      <c r="H1764" s="6" t="s">
        <v>4541</v>
      </c>
      <c r="I1764" s="6" t="n">
        <v>38</v>
      </c>
      <c r="J1764" s="6"/>
      <c r="K1764" s="6" t="s">
        <v>4542</v>
      </c>
      <c r="L1764" s="7"/>
      <c r="M1764" s="7"/>
    </row>
    <row r="1765" customFormat="false" ht="23.85" hidden="false" customHeight="false" outlineLevel="0" collapsed="false">
      <c r="A1765" s="6" t="s">
        <v>2292</v>
      </c>
      <c r="B1765" s="6" t="s">
        <v>132</v>
      </c>
      <c r="C1765" s="6" t="s">
        <v>1362</v>
      </c>
      <c r="D1765" s="6" t="s">
        <v>1330</v>
      </c>
      <c r="E1765" s="6"/>
      <c r="F1765" s="6" t="s">
        <v>1909</v>
      </c>
      <c r="G1765" s="6" t="s">
        <v>4543</v>
      </c>
      <c r="H1765" s="6" t="s">
        <v>4544</v>
      </c>
      <c r="I1765" s="6" t="n">
        <v>28</v>
      </c>
      <c r="J1765" s="6"/>
      <c r="K1765" s="6" t="s">
        <v>4545</v>
      </c>
      <c r="L1765" s="7"/>
      <c r="M1765" s="7"/>
    </row>
    <row r="1766" customFormat="false" ht="35.05" hidden="false" customHeight="false" outlineLevel="0" collapsed="false">
      <c r="A1766" s="6" t="s">
        <v>2292</v>
      </c>
      <c r="B1766" s="6" t="s">
        <v>132</v>
      </c>
      <c r="C1766" s="6" t="s">
        <v>1362</v>
      </c>
      <c r="D1766" s="6" t="s">
        <v>1330</v>
      </c>
      <c r="E1766" s="6"/>
      <c r="F1766" s="6" t="s">
        <v>1909</v>
      </c>
      <c r="G1766" s="6" t="s">
        <v>4546</v>
      </c>
      <c r="H1766" s="6" t="s">
        <v>4547</v>
      </c>
      <c r="I1766" s="6" t="n">
        <v>46</v>
      </c>
      <c r="J1766" s="6"/>
      <c r="K1766" s="6" t="s">
        <v>4548</v>
      </c>
      <c r="L1766" s="7"/>
      <c r="M1766" s="7"/>
    </row>
    <row r="1767" customFormat="false" ht="23.85" hidden="false" customHeight="false" outlineLevel="0" collapsed="false">
      <c r="A1767" s="6" t="s">
        <v>2294</v>
      </c>
      <c r="B1767" s="6" t="s">
        <v>132</v>
      </c>
      <c r="C1767" s="6" t="s">
        <v>1362</v>
      </c>
      <c r="D1767" s="6" t="s">
        <v>1330</v>
      </c>
      <c r="E1767" s="6"/>
      <c r="F1767" s="6" t="s">
        <v>1879</v>
      </c>
      <c r="G1767" s="6" t="s">
        <v>4537</v>
      </c>
      <c r="H1767" s="6" t="s">
        <v>4581</v>
      </c>
      <c r="I1767" s="6" t="n">
        <v>98</v>
      </c>
      <c r="J1767" s="6" t="s">
        <v>83</v>
      </c>
      <c r="K1767" s="6" t="s">
        <v>4582</v>
      </c>
      <c r="L1767" s="7"/>
      <c r="M1767" s="7"/>
    </row>
    <row r="1768" customFormat="false" ht="23.85" hidden="false" customHeight="false" outlineLevel="0" collapsed="false">
      <c r="A1768" s="6" t="s">
        <v>2294</v>
      </c>
      <c r="B1768" s="6" t="s">
        <v>132</v>
      </c>
      <c r="C1768" s="6" t="s">
        <v>1362</v>
      </c>
      <c r="D1768" s="6" t="s">
        <v>1330</v>
      </c>
      <c r="E1768" s="6"/>
      <c r="F1768" s="6" t="s">
        <v>1879</v>
      </c>
      <c r="G1768" s="6" t="s">
        <v>4540</v>
      </c>
      <c r="H1768" s="6" t="s">
        <v>4541</v>
      </c>
      <c r="I1768" s="6" t="n">
        <v>38</v>
      </c>
      <c r="J1768" s="6"/>
      <c r="K1768" s="6" t="s">
        <v>4542</v>
      </c>
      <c r="L1768" s="7"/>
      <c r="M1768" s="7"/>
    </row>
    <row r="1769" customFormat="false" ht="23.85" hidden="false" customHeight="false" outlineLevel="0" collapsed="false">
      <c r="A1769" s="6" t="s">
        <v>2294</v>
      </c>
      <c r="B1769" s="6" t="s">
        <v>132</v>
      </c>
      <c r="C1769" s="6" t="s">
        <v>1362</v>
      </c>
      <c r="D1769" s="6" t="s">
        <v>1330</v>
      </c>
      <c r="E1769" s="6"/>
      <c r="F1769" s="6" t="s">
        <v>1879</v>
      </c>
      <c r="G1769" s="6" t="s">
        <v>4543</v>
      </c>
      <c r="H1769" s="6" t="s">
        <v>4544</v>
      </c>
      <c r="I1769" s="6" t="n">
        <v>28</v>
      </c>
      <c r="J1769" s="6"/>
      <c r="K1769" s="6" t="s">
        <v>4545</v>
      </c>
      <c r="L1769" s="7"/>
      <c r="M1769" s="7"/>
    </row>
    <row r="1770" customFormat="false" ht="35.05" hidden="false" customHeight="false" outlineLevel="0" collapsed="false">
      <c r="A1770" s="6" t="s">
        <v>2294</v>
      </c>
      <c r="B1770" s="6" t="s">
        <v>132</v>
      </c>
      <c r="C1770" s="6" t="s">
        <v>1362</v>
      </c>
      <c r="D1770" s="6" t="s">
        <v>1330</v>
      </c>
      <c r="E1770" s="6"/>
      <c r="F1770" s="6" t="s">
        <v>1879</v>
      </c>
      <c r="G1770" s="6" t="s">
        <v>4546</v>
      </c>
      <c r="H1770" s="6" t="s">
        <v>4547</v>
      </c>
      <c r="I1770" s="6" t="n">
        <v>46</v>
      </c>
      <c r="J1770" s="6"/>
      <c r="K1770" s="6" t="s">
        <v>4548</v>
      </c>
      <c r="L1770" s="7"/>
      <c r="M1770" s="7"/>
    </row>
    <row r="1771" customFormat="false" ht="23.85" hidden="false" customHeight="false" outlineLevel="0" collapsed="false">
      <c r="A1771" s="6" t="s">
        <v>2300</v>
      </c>
      <c r="B1771" s="6" t="s">
        <v>132</v>
      </c>
      <c r="C1771" s="6" t="s">
        <v>1362</v>
      </c>
      <c r="D1771" s="6" t="s">
        <v>1330</v>
      </c>
      <c r="E1771" s="6"/>
      <c r="F1771" s="6" t="s">
        <v>1885</v>
      </c>
      <c r="G1771" s="6" t="s">
        <v>4537</v>
      </c>
      <c r="H1771" s="6" t="s">
        <v>4581</v>
      </c>
      <c r="I1771" s="6" t="n">
        <v>98</v>
      </c>
      <c r="J1771" s="6" t="s">
        <v>83</v>
      </c>
      <c r="K1771" s="6" t="s">
        <v>4582</v>
      </c>
      <c r="L1771" s="7"/>
      <c r="M1771" s="7"/>
    </row>
    <row r="1772" customFormat="false" ht="23.85" hidden="false" customHeight="false" outlineLevel="0" collapsed="false">
      <c r="A1772" s="6" t="s">
        <v>2300</v>
      </c>
      <c r="B1772" s="6" t="s">
        <v>132</v>
      </c>
      <c r="C1772" s="6" t="s">
        <v>1362</v>
      </c>
      <c r="D1772" s="6" t="s">
        <v>1330</v>
      </c>
      <c r="E1772" s="6"/>
      <c r="F1772" s="6" t="s">
        <v>1885</v>
      </c>
      <c r="G1772" s="6" t="s">
        <v>4540</v>
      </c>
      <c r="H1772" s="6" t="s">
        <v>4541</v>
      </c>
      <c r="I1772" s="6" t="n">
        <v>38</v>
      </c>
      <c r="J1772" s="6"/>
      <c r="K1772" s="6" t="s">
        <v>4542</v>
      </c>
      <c r="L1772" s="7"/>
      <c r="M1772" s="7"/>
    </row>
    <row r="1773" customFormat="false" ht="23.85" hidden="false" customHeight="false" outlineLevel="0" collapsed="false">
      <c r="A1773" s="6" t="s">
        <v>2300</v>
      </c>
      <c r="B1773" s="6" t="s">
        <v>132</v>
      </c>
      <c r="C1773" s="6" t="s">
        <v>1362</v>
      </c>
      <c r="D1773" s="6" t="s">
        <v>1330</v>
      </c>
      <c r="E1773" s="6"/>
      <c r="F1773" s="6" t="s">
        <v>1885</v>
      </c>
      <c r="G1773" s="6" t="s">
        <v>4543</v>
      </c>
      <c r="H1773" s="6" t="s">
        <v>4544</v>
      </c>
      <c r="I1773" s="6" t="n">
        <v>28</v>
      </c>
      <c r="J1773" s="6"/>
      <c r="K1773" s="6" t="s">
        <v>4545</v>
      </c>
      <c r="L1773" s="7"/>
      <c r="M1773" s="7"/>
    </row>
    <row r="1774" customFormat="false" ht="35.05" hidden="false" customHeight="false" outlineLevel="0" collapsed="false">
      <c r="A1774" s="6" t="s">
        <v>2300</v>
      </c>
      <c r="B1774" s="6" t="s">
        <v>132</v>
      </c>
      <c r="C1774" s="6" t="s">
        <v>1362</v>
      </c>
      <c r="D1774" s="6" t="s">
        <v>1330</v>
      </c>
      <c r="E1774" s="6"/>
      <c r="F1774" s="6" t="s">
        <v>1885</v>
      </c>
      <c r="G1774" s="6" t="s">
        <v>4546</v>
      </c>
      <c r="H1774" s="6" t="s">
        <v>4547</v>
      </c>
      <c r="I1774" s="6" t="n">
        <v>46</v>
      </c>
      <c r="J1774" s="6"/>
      <c r="K1774" s="6" t="s">
        <v>4548</v>
      </c>
      <c r="L1774" s="7"/>
      <c r="M1774" s="7"/>
    </row>
    <row r="1775" customFormat="false" ht="23.85" hidden="false" customHeight="false" outlineLevel="0" collapsed="false">
      <c r="A1775" s="6" t="s">
        <v>2302</v>
      </c>
      <c r="B1775" s="6" t="s">
        <v>132</v>
      </c>
      <c r="C1775" s="6" t="s">
        <v>1362</v>
      </c>
      <c r="D1775" s="6" t="s">
        <v>1330</v>
      </c>
      <c r="E1775" s="6"/>
      <c r="F1775" s="6" t="s">
        <v>1888</v>
      </c>
      <c r="G1775" s="6" t="s">
        <v>4537</v>
      </c>
      <c r="H1775" s="6" t="s">
        <v>4581</v>
      </c>
      <c r="I1775" s="6" t="n">
        <v>98</v>
      </c>
      <c r="J1775" s="6" t="s">
        <v>83</v>
      </c>
      <c r="K1775" s="6" t="s">
        <v>4582</v>
      </c>
      <c r="L1775" s="7"/>
      <c r="M1775" s="7"/>
    </row>
    <row r="1776" customFormat="false" ht="23.85" hidden="false" customHeight="false" outlineLevel="0" collapsed="false">
      <c r="A1776" s="6" t="s">
        <v>2302</v>
      </c>
      <c r="B1776" s="6" t="s">
        <v>132</v>
      </c>
      <c r="C1776" s="6" t="s">
        <v>1362</v>
      </c>
      <c r="D1776" s="6" t="s">
        <v>1330</v>
      </c>
      <c r="E1776" s="6"/>
      <c r="F1776" s="6" t="s">
        <v>1888</v>
      </c>
      <c r="G1776" s="6" t="s">
        <v>4540</v>
      </c>
      <c r="H1776" s="6" t="s">
        <v>4541</v>
      </c>
      <c r="I1776" s="6" t="n">
        <v>38</v>
      </c>
      <c r="J1776" s="6"/>
      <c r="K1776" s="6" t="s">
        <v>4542</v>
      </c>
      <c r="L1776" s="7"/>
      <c r="M1776" s="7"/>
    </row>
    <row r="1777" customFormat="false" ht="23.85" hidden="false" customHeight="false" outlineLevel="0" collapsed="false">
      <c r="A1777" s="6" t="s">
        <v>2302</v>
      </c>
      <c r="B1777" s="6" t="s">
        <v>132</v>
      </c>
      <c r="C1777" s="6" t="s">
        <v>1362</v>
      </c>
      <c r="D1777" s="6" t="s">
        <v>1330</v>
      </c>
      <c r="E1777" s="6"/>
      <c r="F1777" s="6" t="s">
        <v>1888</v>
      </c>
      <c r="G1777" s="6" t="s">
        <v>4543</v>
      </c>
      <c r="H1777" s="6" t="s">
        <v>4544</v>
      </c>
      <c r="I1777" s="6" t="n">
        <v>28</v>
      </c>
      <c r="J1777" s="6"/>
      <c r="K1777" s="6" t="s">
        <v>4545</v>
      </c>
      <c r="L1777" s="7"/>
      <c r="M1777" s="7"/>
    </row>
    <row r="1778" customFormat="false" ht="35.05" hidden="false" customHeight="false" outlineLevel="0" collapsed="false">
      <c r="A1778" s="6" t="s">
        <v>2302</v>
      </c>
      <c r="B1778" s="6" t="s">
        <v>132</v>
      </c>
      <c r="C1778" s="6" t="s">
        <v>1362</v>
      </c>
      <c r="D1778" s="6" t="s">
        <v>1330</v>
      </c>
      <c r="E1778" s="6"/>
      <c r="F1778" s="6" t="s">
        <v>1888</v>
      </c>
      <c r="G1778" s="6" t="s">
        <v>4546</v>
      </c>
      <c r="H1778" s="6" t="s">
        <v>4547</v>
      </c>
      <c r="I1778" s="6" t="n">
        <v>46</v>
      </c>
      <c r="J1778" s="6"/>
      <c r="K1778" s="6" t="s">
        <v>4548</v>
      </c>
      <c r="L1778" s="7"/>
      <c r="M1778" s="7"/>
    </row>
    <row r="1779" customFormat="false" ht="23.85" hidden="false" customHeight="false" outlineLevel="0" collapsed="false">
      <c r="A1779" s="6" t="s">
        <v>2304</v>
      </c>
      <c r="B1779" s="6" t="s">
        <v>132</v>
      </c>
      <c r="C1779" s="6" t="s">
        <v>1362</v>
      </c>
      <c r="D1779" s="6" t="s">
        <v>1330</v>
      </c>
      <c r="E1779" s="6"/>
      <c r="F1779" s="6" t="s">
        <v>1891</v>
      </c>
      <c r="G1779" s="6" t="s">
        <v>4537</v>
      </c>
      <c r="H1779" s="6" t="s">
        <v>4581</v>
      </c>
      <c r="I1779" s="6" t="n">
        <v>98</v>
      </c>
      <c r="J1779" s="6" t="s">
        <v>83</v>
      </c>
      <c r="K1779" s="6" t="s">
        <v>4582</v>
      </c>
      <c r="L1779" s="7"/>
      <c r="M1779" s="7"/>
    </row>
    <row r="1780" customFormat="false" ht="23.85" hidden="false" customHeight="false" outlineLevel="0" collapsed="false">
      <c r="A1780" s="6" t="s">
        <v>2304</v>
      </c>
      <c r="B1780" s="6" t="s">
        <v>132</v>
      </c>
      <c r="C1780" s="6" t="s">
        <v>1362</v>
      </c>
      <c r="D1780" s="6" t="s">
        <v>1330</v>
      </c>
      <c r="E1780" s="6"/>
      <c r="F1780" s="6" t="s">
        <v>1891</v>
      </c>
      <c r="G1780" s="6" t="s">
        <v>4540</v>
      </c>
      <c r="H1780" s="6" t="s">
        <v>4541</v>
      </c>
      <c r="I1780" s="6" t="n">
        <v>38</v>
      </c>
      <c r="J1780" s="6"/>
      <c r="K1780" s="6" t="s">
        <v>4542</v>
      </c>
      <c r="L1780" s="7"/>
      <c r="M1780" s="7"/>
    </row>
    <row r="1781" customFormat="false" ht="23.85" hidden="false" customHeight="false" outlineLevel="0" collapsed="false">
      <c r="A1781" s="6" t="s">
        <v>2304</v>
      </c>
      <c r="B1781" s="6" t="s">
        <v>132</v>
      </c>
      <c r="C1781" s="6" t="s">
        <v>1362</v>
      </c>
      <c r="D1781" s="6" t="s">
        <v>1330</v>
      </c>
      <c r="E1781" s="6"/>
      <c r="F1781" s="6" t="s">
        <v>1891</v>
      </c>
      <c r="G1781" s="6" t="s">
        <v>4543</v>
      </c>
      <c r="H1781" s="6" t="s">
        <v>4544</v>
      </c>
      <c r="I1781" s="6" t="n">
        <v>28</v>
      </c>
      <c r="J1781" s="6"/>
      <c r="K1781" s="6" t="s">
        <v>4545</v>
      </c>
      <c r="L1781" s="7"/>
      <c r="M1781" s="7"/>
    </row>
    <row r="1782" customFormat="false" ht="35.05" hidden="false" customHeight="false" outlineLevel="0" collapsed="false">
      <c r="A1782" s="6" t="s">
        <v>2304</v>
      </c>
      <c r="B1782" s="6" t="s">
        <v>132</v>
      </c>
      <c r="C1782" s="6" t="s">
        <v>1362</v>
      </c>
      <c r="D1782" s="6" t="s">
        <v>1330</v>
      </c>
      <c r="E1782" s="6"/>
      <c r="F1782" s="6" t="s">
        <v>1891</v>
      </c>
      <c r="G1782" s="6" t="s">
        <v>4546</v>
      </c>
      <c r="H1782" s="6" t="s">
        <v>4547</v>
      </c>
      <c r="I1782" s="6" t="n">
        <v>46</v>
      </c>
      <c r="J1782" s="6"/>
      <c r="K1782" s="6" t="s">
        <v>4548</v>
      </c>
      <c r="L1782" s="7"/>
      <c r="M1782" s="7"/>
    </row>
    <row r="1783" customFormat="false" ht="23.85" hidden="false" customHeight="false" outlineLevel="0" collapsed="false">
      <c r="A1783" s="6" t="s">
        <v>2306</v>
      </c>
      <c r="B1783" s="6" t="s">
        <v>132</v>
      </c>
      <c r="C1783" s="6" t="s">
        <v>1362</v>
      </c>
      <c r="D1783" s="6" t="s">
        <v>1330</v>
      </c>
      <c r="E1783" s="6"/>
      <c r="F1783" s="6" t="s">
        <v>1894</v>
      </c>
      <c r="G1783" s="6" t="s">
        <v>4537</v>
      </c>
      <c r="H1783" s="6" t="s">
        <v>4581</v>
      </c>
      <c r="I1783" s="6" t="n">
        <v>98</v>
      </c>
      <c r="J1783" s="6" t="s">
        <v>83</v>
      </c>
      <c r="K1783" s="6" t="s">
        <v>4582</v>
      </c>
      <c r="L1783" s="7"/>
      <c r="M1783" s="7"/>
    </row>
    <row r="1784" customFormat="false" ht="23.85" hidden="false" customHeight="false" outlineLevel="0" collapsed="false">
      <c r="A1784" s="6" t="s">
        <v>2306</v>
      </c>
      <c r="B1784" s="6" t="s">
        <v>132</v>
      </c>
      <c r="C1784" s="6" t="s">
        <v>1362</v>
      </c>
      <c r="D1784" s="6" t="s">
        <v>1330</v>
      </c>
      <c r="E1784" s="6"/>
      <c r="F1784" s="6" t="s">
        <v>1894</v>
      </c>
      <c r="G1784" s="6" t="s">
        <v>4540</v>
      </c>
      <c r="H1784" s="6" t="s">
        <v>4541</v>
      </c>
      <c r="I1784" s="6" t="n">
        <v>38</v>
      </c>
      <c r="J1784" s="6"/>
      <c r="K1784" s="6" t="s">
        <v>4542</v>
      </c>
      <c r="L1784" s="7"/>
      <c r="M1784" s="7"/>
    </row>
    <row r="1785" customFormat="false" ht="23.85" hidden="false" customHeight="false" outlineLevel="0" collapsed="false">
      <c r="A1785" s="6" t="s">
        <v>2306</v>
      </c>
      <c r="B1785" s="6" t="s">
        <v>132</v>
      </c>
      <c r="C1785" s="6" t="s">
        <v>1362</v>
      </c>
      <c r="D1785" s="6" t="s">
        <v>1330</v>
      </c>
      <c r="E1785" s="6"/>
      <c r="F1785" s="6" t="s">
        <v>1894</v>
      </c>
      <c r="G1785" s="6" t="s">
        <v>4543</v>
      </c>
      <c r="H1785" s="6" t="s">
        <v>4544</v>
      </c>
      <c r="I1785" s="6" t="n">
        <v>28</v>
      </c>
      <c r="J1785" s="6"/>
      <c r="K1785" s="6" t="s">
        <v>4545</v>
      </c>
      <c r="L1785" s="7"/>
      <c r="M1785" s="7"/>
    </row>
    <row r="1786" customFormat="false" ht="35.05" hidden="false" customHeight="false" outlineLevel="0" collapsed="false">
      <c r="A1786" s="6" t="s">
        <v>2306</v>
      </c>
      <c r="B1786" s="6" t="s">
        <v>132</v>
      </c>
      <c r="C1786" s="6" t="s">
        <v>1362</v>
      </c>
      <c r="D1786" s="6" t="s">
        <v>1330</v>
      </c>
      <c r="E1786" s="6"/>
      <c r="F1786" s="6" t="s">
        <v>1894</v>
      </c>
      <c r="G1786" s="6" t="s">
        <v>4546</v>
      </c>
      <c r="H1786" s="6" t="s">
        <v>4547</v>
      </c>
      <c r="I1786" s="6" t="n">
        <v>46</v>
      </c>
      <c r="J1786" s="6"/>
      <c r="K1786" s="6" t="s">
        <v>4548</v>
      </c>
      <c r="L1786" s="7"/>
      <c r="M1786" s="7"/>
    </row>
    <row r="1787" customFormat="false" ht="23.85" hidden="false" customHeight="false" outlineLevel="0" collapsed="false">
      <c r="A1787" s="6" t="s">
        <v>2308</v>
      </c>
      <c r="B1787" s="6" t="s">
        <v>132</v>
      </c>
      <c r="C1787" s="6" t="s">
        <v>1362</v>
      </c>
      <c r="D1787" s="6" t="s">
        <v>1330</v>
      </c>
      <c r="E1787" s="6"/>
      <c r="F1787" s="6" t="s">
        <v>1897</v>
      </c>
      <c r="G1787" s="6" t="s">
        <v>4537</v>
      </c>
      <c r="H1787" s="6" t="s">
        <v>4581</v>
      </c>
      <c r="I1787" s="6" t="n">
        <v>98</v>
      </c>
      <c r="J1787" s="6" t="s">
        <v>83</v>
      </c>
      <c r="K1787" s="6" t="s">
        <v>4582</v>
      </c>
      <c r="L1787" s="7"/>
      <c r="M1787" s="7"/>
    </row>
    <row r="1788" customFormat="false" ht="23.85" hidden="false" customHeight="false" outlineLevel="0" collapsed="false">
      <c r="A1788" s="6" t="s">
        <v>2308</v>
      </c>
      <c r="B1788" s="6" t="s">
        <v>132</v>
      </c>
      <c r="C1788" s="6" t="s">
        <v>1362</v>
      </c>
      <c r="D1788" s="6" t="s">
        <v>1330</v>
      </c>
      <c r="E1788" s="6"/>
      <c r="F1788" s="6" t="s">
        <v>1897</v>
      </c>
      <c r="G1788" s="6" t="s">
        <v>4540</v>
      </c>
      <c r="H1788" s="6" t="s">
        <v>4541</v>
      </c>
      <c r="I1788" s="6" t="n">
        <v>38</v>
      </c>
      <c r="J1788" s="6"/>
      <c r="K1788" s="6" t="s">
        <v>4542</v>
      </c>
      <c r="L1788" s="7"/>
      <c r="M1788" s="7"/>
    </row>
    <row r="1789" customFormat="false" ht="23.85" hidden="false" customHeight="false" outlineLevel="0" collapsed="false">
      <c r="A1789" s="6" t="s">
        <v>2308</v>
      </c>
      <c r="B1789" s="6" t="s">
        <v>132</v>
      </c>
      <c r="C1789" s="6" t="s">
        <v>1362</v>
      </c>
      <c r="D1789" s="6" t="s">
        <v>1330</v>
      </c>
      <c r="E1789" s="6"/>
      <c r="F1789" s="6" t="s">
        <v>1897</v>
      </c>
      <c r="G1789" s="6" t="s">
        <v>4543</v>
      </c>
      <c r="H1789" s="6" t="s">
        <v>4544</v>
      </c>
      <c r="I1789" s="6" t="n">
        <v>28</v>
      </c>
      <c r="J1789" s="6"/>
      <c r="K1789" s="6" t="s">
        <v>4545</v>
      </c>
      <c r="L1789" s="7"/>
      <c r="M1789" s="7"/>
    </row>
    <row r="1790" customFormat="false" ht="35.05" hidden="false" customHeight="false" outlineLevel="0" collapsed="false">
      <c r="A1790" s="6" t="s">
        <v>2308</v>
      </c>
      <c r="B1790" s="6" t="s">
        <v>132</v>
      </c>
      <c r="C1790" s="6" t="s">
        <v>1362</v>
      </c>
      <c r="D1790" s="6" t="s">
        <v>1330</v>
      </c>
      <c r="E1790" s="6"/>
      <c r="F1790" s="6" t="s">
        <v>1897</v>
      </c>
      <c r="G1790" s="6" t="s">
        <v>4546</v>
      </c>
      <c r="H1790" s="6" t="s">
        <v>4547</v>
      </c>
      <c r="I1790" s="6" t="n">
        <v>46</v>
      </c>
      <c r="J1790" s="6"/>
      <c r="K1790" s="6" t="s">
        <v>4548</v>
      </c>
      <c r="L1790" s="7"/>
      <c r="M1790" s="7"/>
    </row>
    <row r="1791" customFormat="false" ht="23.85" hidden="false" customHeight="false" outlineLevel="0" collapsed="false">
      <c r="A1791" s="6" t="s">
        <v>2310</v>
      </c>
      <c r="B1791" s="6" t="s">
        <v>132</v>
      </c>
      <c r="C1791" s="6" t="s">
        <v>1362</v>
      </c>
      <c r="D1791" s="6" t="s">
        <v>1330</v>
      </c>
      <c r="E1791" s="6"/>
      <c r="F1791" s="6" t="s">
        <v>1900</v>
      </c>
      <c r="G1791" s="6" t="s">
        <v>4537</v>
      </c>
      <c r="H1791" s="6" t="s">
        <v>4581</v>
      </c>
      <c r="I1791" s="6" t="n">
        <v>98</v>
      </c>
      <c r="J1791" s="6" t="s">
        <v>83</v>
      </c>
      <c r="K1791" s="6" t="s">
        <v>4582</v>
      </c>
      <c r="L1791" s="7"/>
      <c r="M1791" s="7"/>
    </row>
    <row r="1792" customFormat="false" ht="23.85" hidden="false" customHeight="false" outlineLevel="0" collapsed="false">
      <c r="A1792" s="6" t="s">
        <v>2310</v>
      </c>
      <c r="B1792" s="6" t="s">
        <v>132</v>
      </c>
      <c r="C1792" s="6" t="s">
        <v>1362</v>
      </c>
      <c r="D1792" s="6" t="s">
        <v>1330</v>
      </c>
      <c r="E1792" s="6"/>
      <c r="F1792" s="6" t="s">
        <v>1900</v>
      </c>
      <c r="G1792" s="6" t="s">
        <v>4540</v>
      </c>
      <c r="H1792" s="6" t="s">
        <v>4541</v>
      </c>
      <c r="I1792" s="6" t="n">
        <v>38</v>
      </c>
      <c r="J1792" s="6"/>
      <c r="K1792" s="6" t="s">
        <v>4542</v>
      </c>
      <c r="L1792" s="7"/>
      <c r="M1792" s="7"/>
    </row>
    <row r="1793" customFormat="false" ht="23.85" hidden="false" customHeight="false" outlineLevel="0" collapsed="false">
      <c r="A1793" s="6" t="s">
        <v>2310</v>
      </c>
      <c r="B1793" s="6" t="s">
        <v>132</v>
      </c>
      <c r="C1793" s="6" t="s">
        <v>1362</v>
      </c>
      <c r="D1793" s="6" t="s">
        <v>1330</v>
      </c>
      <c r="E1793" s="6"/>
      <c r="F1793" s="6" t="s">
        <v>1900</v>
      </c>
      <c r="G1793" s="6" t="s">
        <v>4543</v>
      </c>
      <c r="H1793" s="6" t="s">
        <v>4544</v>
      </c>
      <c r="I1793" s="6" t="n">
        <v>28</v>
      </c>
      <c r="J1793" s="6"/>
      <c r="K1793" s="6" t="s">
        <v>4545</v>
      </c>
      <c r="L1793" s="7"/>
      <c r="M1793" s="7"/>
    </row>
    <row r="1794" customFormat="false" ht="35.05" hidden="false" customHeight="false" outlineLevel="0" collapsed="false">
      <c r="A1794" s="6" t="s">
        <v>2310</v>
      </c>
      <c r="B1794" s="6" t="s">
        <v>132</v>
      </c>
      <c r="C1794" s="6" t="s">
        <v>1362</v>
      </c>
      <c r="D1794" s="6" t="s">
        <v>1330</v>
      </c>
      <c r="E1794" s="6"/>
      <c r="F1794" s="6" t="s">
        <v>1900</v>
      </c>
      <c r="G1794" s="6" t="s">
        <v>4546</v>
      </c>
      <c r="H1794" s="6" t="s">
        <v>4547</v>
      </c>
      <c r="I1794" s="6" t="n">
        <v>46</v>
      </c>
      <c r="J1794" s="6"/>
      <c r="K1794" s="6" t="s">
        <v>4548</v>
      </c>
      <c r="L1794" s="7"/>
      <c r="M1794" s="7"/>
    </row>
    <row r="1795" customFormat="false" ht="23.85" hidden="false" customHeight="false" outlineLevel="0" collapsed="false">
      <c r="A1795" s="6" t="s">
        <v>2312</v>
      </c>
      <c r="B1795" s="6" t="s">
        <v>132</v>
      </c>
      <c r="C1795" s="6" t="s">
        <v>1362</v>
      </c>
      <c r="D1795" s="6" t="s">
        <v>1330</v>
      </c>
      <c r="E1795" s="6"/>
      <c r="F1795" s="6" t="s">
        <v>1903</v>
      </c>
      <c r="G1795" s="6" t="s">
        <v>4537</v>
      </c>
      <c r="H1795" s="6" t="s">
        <v>4581</v>
      </c>
      <c r="I1795" s="6" t="n">
        <v>98</v>
      </c>
      <c r="J1795" s="6" t="s">
        <v>83</v>
      </c>
      <c r="K1795" s="6" t="s">
        <v>4582</v>
      </c>
      <c r="L1795" s="7"/>
      <c r="M1795" s="7"/>
    </row>
    <row r="1796" customFormat="false" ht="23.85" hidden="false" customHeight="false" outlineLevel="0" collapsed="false">
      <c r="A1796" s="6" t="s">
        <v>2312</v>
      </c>
      <c r="B1796" s="6" t="s">
        <v>132</v>
      </c>
      <c r="C1796" s="6" t="s">
        <v>1362</v>
      </c>
      <c r="D1796" s="6" t="s">
        <v>1330</v>
      </c>
      <c r="E1796" s="6"/>
      <c r="F1796" s="6" t="s">
        <v>1903</v>
      </c>
      <c r="G1796" s="6" t="s">
        <v>4540</v>
      </c>
      <c r="H1796" s="6" t="s">
        <v>4541</v>
      </c>
      <c r="I1796" s="6" t="n">
        <v>38</v>
      </c>
      <c r="J1796" s="6"/>
      <c r="K1796" s="6" t="s">
        <v>4542</v>
      </c>
      <c r="L1796" s="7"/>
      <c r="M1796" s="7"/>
    </row>
    <row r="1797" customFormat="false" ht="23.85" hidden="false" customHeight="false" outlineLevel="0" collapsed="false">
      <c r="A1797" s="6" t="s">
        <v>2312</v>
      </c>
      <c r="B1797" s="6" t="s">
        <v>132</v>
      </c>
      <c r="C1797" s="6" t="s">
        <v>1362</v>
      </c>
      <c r="D1797" s="6" t="s">
        <v>1330</v>
      </c>
      <c r="E1797" s="6"/>
      <c r="F1797" s="6" t="s">
        <v>1903</v>
      </c>
      <c r="G1797" s="6" t="s">
        <v>4543</v>
      </c>
      <c r="H1797" s="6" t="s">
        <v>4544</v>
      </c>
      <c r="I1797" s="6" t="n">
        <v>28</v>
      </c>
      <c r="J1797" s="6"/>
      <c r="K1797" s="6" t="s">
        <v>4545</v>
      </c>
      <c r="L1797" s="7"/>
      <c r="M1797" s="7"/>
    </row>
    <row r="1798" customFormat="false" ht="35.05" hidden="false" customHeight="false" outlineLevel="0" collapsed="false">
      <c r="A1798" s="6" t="s">
        <v>2312</v>
      </c>
      <c r="B1798" s="6" t="s">
        <v>132</v>
      </c>
      <c r="C1798" s="6" t="s">
        <v>1362</v>
      </c>
      <c r="D1798" s="6" t="s">
        <v>1330</v>
      </c>
      <c r="E1798" s="6"/>
      <c r="F1798" s="6" t="s">
        <v>1903</v>
      </c>
      <c r="G1798" s="6" t="s">
        <v>4546</v>
      </c>
      <c r="H1798" s="6" t="s">
        <v>4547</v>
      </c>
      <c r="I1798" s="6" t="n">
        <v>46</v>
      </c>
      <c r="J1798" s="6"/>
      <c r="K1798" s="6" t="s">
        <v>4548</v>
      </c>
      <c r="L1798" s="7"/>
      <c r="M1798" s="7"/>
    </row>
    <row r="1799" customFormat="false" ht="23.85" hidden="false" customHeight="false" outlineLevel="0" collapsed="false">
      <c r="A1799" s="6" t="s">
        <v>2314</v>
      </c>
      <c r="B1799" s="6" t="s">
        <v>132</v>
      </c>
      <c r="C1799" s="6" t="s">
        <v>1362</v>
      </c>
      <c r="D1799" s="6" t="s">
        <v>1330</v>
      </c>
      <c r="E1799" s="6"/>
      <c r="F1799" s="6" t="s">
        <v>1906</v>
      </c>
      <c r="G1799" s="6" t="s">
        <v>4537</v>
      </c>
      <c r="H1799" s="6" t="s">
        <v>4581</v>
      </c>
      <c r="I1799" s="6" t="n">
        <v>98</v>
      </c>
      <c r="J1799" s="6" t="s">
        <v>83</v>
      </c>
      <c r="K1799" s="6" t="s">
        <v>4582</v>
      </c>
      <c r="L1799" s="7"/>
      <c r="M1799" s="7"/>
    </row>
    <row r="1800" customFormat="false" ht="23.85" hidden="false" customHeight="false" outlineLevel="0" collapsed="false">
      <c r="A1800" s="6" t="s">
        <v>2314</v>
      </c>
      <c r="B1800" s="6" t="s">
        <v>132</v>
      </c>
      <c r="C1800" s="6" t="s">
        <v>1362</v>
      </c>
      <c r="D1800" s="6" t="s">
        <v>1330</v>
      </c>
      <c r="E1800" s="6"/>
      <c r="F1800" s="6" t="s">
        <v>1906</v>
      </c>
      <c r="G1800" s="6" t="s">
        <v>4540</v>
      </c>
      <c r="H1800" s="6" t="s">
        <v>4541</v>
      </c>
      <c r="I1800" s="6" t="n">
        <v>38</v>
      </c>
      <c r="J1800" s="6"/>
      <c r="K1800" s="6" t="s">
        <v>4542</v>
      </c>
      <c r="L1800" s="7"/>
      <c r="M1800" s="7"/>
    </row>
    <row r="1801" customFormat="false" ht="23.85" hidden="false" customHeight="false" outlineLevel="0" collapsed="false">
      <c r="A1801" s="6" t="s">
        <v>2314</v>
      </c>
      <c r="B1801" s="6" t="s">
        <v>132</v>
      </c>
      <c r="C1801" s="6" t="s">
        <v>1362</v>
      </c>
      <c r="D1801" s="6" t="s">
        <v>1330</v>
      </c>
      <c r="E1801" s="6"/>
      <c r="F1801" s="6" t="s">
        <v>1906</v>
      </c>
      <c r="G1801" s="6" t="s">
        <v>4543</v>
      </c>
      <c r="H1801" s="6" t="s">
        <v>4544</v>
      </c>
      <c r="I1801" s="6" t="n">
        <v>28</v>
      </c>
      <c r="J1801" s="6"/>
      <c r="K1801" s="6" t="s">
        <v>4545</v>
      </c>
      <c r="L1801" s="7"/>
      <c r="M1801" s="7"/>
    </row>
    <row r="1802" customFormat="false" ht="35.05" hidden="false" customHeight="false" outlineLevel="0" collapsed="false">
      <c r="A1802" s="6" t="s">
        <v>2314</v>
      </c>
      <c r="B1802" s="6" t="s">
        <v>132</v>
      </c>
      <c r="C1802" s="6" t="s">
        <v>1362</v>
      </c>
      <c r="D1802" s="6" t="s">
        <v>1330</v>
      </c>
      <c r="E1802" s="6"/>
      <c r="F1802" s="6" t="s">
        <v>1906</v>
      </c>
      <c r="G1802" s="6" t="s">
        <v>4546</v>
      </c>
      <c r="H1802" s="6" t="s">
        <v>4547</v>
      </c>
      <c r="I1802" s="6" t="n">
        <v>46</v>
      </c>
      <c r="J1802" s="6"/>
      <c r="K1802" s="6" t="s">
        <v>4548</v>
      </c>
      <c r="L1802" s="7"/>
      <c r="M1802" s="7"/>
    </row>
    <row r="1803" customFormat="false" ht="23.85" hidden="false" customHeight="false" outlineLevel="0" collapsed="false">
      <c r="A1803" s="6" t="s">
        <v>2316</v>
      </c>
      <c r="B1803" s="6" t="s">
        <v>132</v>
      </c>
      <c r="C1803" s="6" t="s">
        <v>1362</v>
      </c>
      <c r="D1803" s="6" t="s">
        <v>1330</v>
      </c>
      <c r="E1803" s="6"/>
      <c r="F1803" s="6" t="s">
        <v>1909</v>
      </c>
      <c r="G1803" s="6" t="s">
        <v>4537</v>
      </c>
      <c r="H1803" s="6" t="s">
        <v>4581</v>
      </c>
      <c r="I1803" s="6" t="n">
        <v>98</v>
      </c>
      <c r="J1803" s="6" t="s">
        <v>83</v>
      </c>
      <c r="K1803" s="6" t="s">
        <v>4582</v>
      </c>
      <c r="L1803" s="7"/>
      <c r="M1803" s="7"/>
    </row>
    <row r="1804" customFormat="false" ht="23.85" hidden="false" customHeight="false" outlineLevel="0" collapsed="false">
      <c r="A1804" s="6" t="s">
        <v>2316</v>
      </c>
      <c r="B1804" s="6" t="s">
        <v>132</v>
      </c>
      <c r="C1804" s="6" t="s">
        <v>1362</v>
      </c>
      <c r="D1804" s="6" t="s">
        <v>1330</v>
      </c>
      <c r="E1804" s="6"/>
      <c r="F1804" s="6" t="s">
        <v>1909</v>
      </c>
      <c r="G1804" s="6" t="s">
        <v>4540</v>
      </c>
      <c r="H1804" s="6" t="s">
        <v>4541</v>
      </c>
      <c r="I1804" s="6" t="n">
        <v>38</v>
      </c>
      <c r="J1804" s="6"/>
      <c r="K1804" s="6" t="s">
        <v>4542</v>
      </c>
      <c r="L1804" s="7"/>
      <c r="M1804" s="7"/>
    </row>
    <row r="1805" customFormat="false" ht="23.85" hidden="false" customHeight="false" outlineLevel="0" collapsed="false">
      <c r="A1805" s="6" t="s">
        <v>2316</v>
      </c>
      <c r="B1805" s="6" t="s">
        <v>132</v>
      </c>
      <c r="C1805" s="6" t="s">
        <v>1362</v>
      </c>
      <c r="D1805" s="6" t="s">
        <v>1330</v>
      </c>
      <c r="E1805" s="6"/>
      <c r="F1805" s="6" t="s">
        <v>1909</v>
      </c>
      <c r="G1805" s="6" t="s">
        <v>4543</v>
      </c>
      <c r="H1805" s="6" t="s">
        <v>4544</v>
      </c>
      <c r="I1805" s="6" t="n">
        <v>28</v>
      </c>
      <c r="J1805" s="6"/>
      <c r="K1805" s="6" t="s">
        <v>4545</v>
      </c>
      <c r="L1805" s="7"/>
      <c r="M1805" s="7"/>
    </row>
    <row r="1806" customFormat="false" ht="35.05" hidden="false" customHeight="false" outlineLevel="0" collapsed="false">
      <c r="A1806" s="6" t="s">
        <v>2316</v>
      </c>
      <c r="B1806" s="6" t="s">
        <v>132</v>
      </c>
      <c r="C1806" s="6" t="s">
        <v>1362</v>
      </c>
      <c r="D1806" s="6" t="s">
        <v>1330</v>
      </c>
      <c r="E1806" s="6"/>
      <c r="F1806" s="6" t="s">
        <v>1909</v>
      </c>
      <c r="G1806" s="6" t="s">
        <v>4546</v>
      </c>
      <c r="H1806" s="6" t="s">
        <v>4547</v>
      </c>
      <c r="I1806" s="6" t="n">
        <v>46</v>
      </c>
      <c r="J1806" s="6"/>
      <c r="K1806" s="6" t="s">
        <v>4548</v>
      </c>
      <c r="L1806" s="7"/>
      <c r="M1806" s="7"/>
    </row>
    <row r="1807" customFormat="false" ht="23.85" hidden="false" customHeight="false" outlineLevel="0" collapsed="false">
      <c r="A1807" s="6" t="s">
        <v>2318</v>
      </c>
      <c r="B1807" s="6" t="s">
        <v>132</v>
      </c>
      <c r="C1807" s="6" t="s">
        <v>1362</v>
      </c>
      <c r="D1807" s="6" t="s">
        <v>1330</v>
      </c>
      <c r="E1807" s="6"/>
      <c r="F1807" s="6" t="s">
        <v>1879</v>
      </c>
      <c r="G1807" s="6" t="s">
        <v>4537</v>
      </c>
      <c r="H1807" s="6" t="s">
        <v>4583</v>
      </c>
      <c r="I1807" s="6" t="n">
        <v>98</v>
      </c>
      <c r="J1807" s="6" t="s">
        <v>83</v>
      </c>
      <c r="K1807" s="6" t="s">
        <v>4584</v>
      </c>
      <c r="L1807" s="7"/>
      <c r="M1807" s="7"/>
    </row>
    <row r="1808" customFormat="false" ht="23.85" hidden="false" customHeight="false" outlineLevel="0" collapsed="false">
      <c r="A1808" s="6" t="s">
        <v>2318</v>
      </c>
      <c r="B1808" s="6" t="s">
        <v>132</v>
      </c>
      <c r="C1808" s="6" t="s">
        <v>1362</v>
      </c>
      <c r="D1808" s="6" t="s">
        <v>1330</v>
      </c>
      <c r="E1808" s="6"/>
      <c r="F1808" s="6" t="s">
        <v>1879</v>
      </c>
      <c r="G1808" s="6" t="s">
        <v>4540</v>
      </c>
      <c r="H1808" s="6" t="s">
        <v>4541</v>
      </c>
      <c r="I1808" s="6" t="n">
        <v>38</v>
      </c>
      <c r="J1808" s="6"/>
      <c r="K1808" s="6" t="s">
        <v>4542</v>
      </c>
      <c r="L1808" s="7"/>
      <c r="M1808" s="7"/>
    </row>
    <row r="1809" customFormat="false" ht="23.85" hidden="false" customHeight="false" outlineLevel="0" collapsed="false">
      <c r="A1809" s="6" t="s">
        <v>2318</v>
      </c>
      <c r="B1809" s="6" t="s">
        <v>132</v>
      </c>
      <c r="C1809" s="6" t="s">
        <v>1362</v>
      </c>
      <c r="D1809" s="6" t="s">
        <v>1330</v>
      </c>
      <c r="E1809" s="6"/>
      <c r="F1809" s="6" t="s">
        <v>1879</v>
      </c>
      <c r="G1809" s="6" t="s">
        <v>4543</v>
      </c>
      <c r="H1809" s="6" t="s">
        <v>4544</v>
      </c>
      <c r="I1809" s="6" t="n">
        <v>28</v>
      </c>
      <c r="J1809" s="6"/>
      <c r="K1809" s="6" t="s">
        <v>4545</v>
      </c>
      <c r="L1809" s="7"/>
      <c r="M1809" s="7"/>
    </row>
    <row r="1810" customFormat="false" ht="35.05" hidden="false" customHeight="false" outlineLevel="0" collapsed="false">
      <c r="A1810" s="6" t="s">
        <v>2318</v>
      </c>
      <c r="B1810" s="6" t="s">
        <v>132</v>
      </c>
      <c r="C1810" s="6" t="s">
        <v>1362</v>
      </c>
      <c r="D1810" s="6" t="s">
        <v>1330</v>
      </c>
      <c r="E1810" s="6"/>
      <c r="F1810" s="6" t="s">
        <v>1879</v>
      </c>
      <c r="G1810" s="6" t="s">
        <v>4546</v>
      </c>
      <c r="H1810" s="6" t="s">
        <v>4547</v>
      </c>
      <c r="I1810" s="6" t="n">
        <v>46</v>
      </c>
      <c r="J1810" s="6"/>
      <c r="K1810" s="6" t="s">
        <v>4548</v>
      </c>
      <c r="L1810" s="7"/>
      <c r="M1810" s="7"/>
    </row>
    <row r="1811" customFormat="false" ht="23.85" hidden="false" customHeight="false" outlineLevel="0" collapsed="false">
      <c r="A1811" s="6" t="s">
        <v>2324</v>
      </c>
      <c r="B1811" s="6" t="s">
        <v>132</v>
      </c>
      <c r="C1811" s="6" t="s">
        <v>1362</v>
      </c>
      <c r="D1811" s="6" t="s">
        <v>1330</v>
      </c>
      <c r="E1811" s="6"/>
      <c r="F1811" s="6" t="s">
        <v>1885</v>
      </c>
      <c r="G1811" s="6" t="s">
        <v>4537</v>
      </c>
      <c r="H1811" s="6" t="s">
        <v>4583</v>
      </c>
      <c r="I1811" s="6" t="n">
        <v>98</v>
      </c>
      <c r="J1811" s="6" t="s">
        <v>83</v>
      </c>
      <c r="K1811" s="6" t="s">
        <v>4584</v>
      </c>
      <c r="L1811" s="7"/>
      <c r="M1811" s="7"/>
    </row>
    <row r="1812" customFormat="false" ht="23.85" hidden="false" customHeight="false" outlineLevel="0" collapsed="false">
      <c r="A1812" s="6" t="s">
        <v>2324</v>
      </c>
      <c r="B1812" s="6" t="s">
        <v>132</v>
      </c>
      <c r="C1812" s="6" t="s">
        <v>1362</v>
      </c>
      <c r="D1812" s="6" t="s">
        <v>1330</v>
      </c>
      <c r="E1812" s="6"/>
      <c r="F1812" s="6" t="s">
        <v>1885</v>
      </c>
      <c r="G1812" s="6" t="s">
        <v>4540</v>
      </c>
      <c r="H1812" s="6" t="s">
        <v>4541</v>
      </c>
      <c r="I1812" s="6" t="n">
        <v>38</v>
      </c>
      <c r="J1812" s="6"/>
      <c r="K1812" s="6" t="s">
        <v>4542</v>
      </c>
      <c r="L1812" s="7"/>
      <c r="M1812" s="7"/>
    </row>
    <row r="1813" customFormat="false" ht="23.85" hidden="false" customHeight="false" outlineLevel="0" collapsed="false">
      <c r="A1813" s="6" t="s">
        <v>2324</v>
      </c>
      <c r="B1813" s="6" t="s">
        <v>132</v>
      </c>
      <c r="C1813" s="6" t="s">
        <v>1362</v>
      </c>
      <c r="D1813" s="6" t="s">
        <v>1330</v>
      </c>
      <c r="E1813" s="6"/>
      <c r="F1813" s="6" t="s">
        <v>1885</v>
      </c>
      <c r="G1813" s="6" t="s">
        <v>4543</v>
      </c>
      <c r="H1813" s="6" t="s">
        <v>4544</v>
      </c>
      <c r="I1813" s="6" t="n">
        <v>28</v>
      </c>
      <c r="J1813" s="6"/>
      <c r="K1813" s="6" t="s">
        <v>4545</v>
      </c>
      <c r="L1813" s="7"/>
      <c r="M1813" s="7"/>
    </row>
    <row r="1814" customFormat="false" ht="35.05" hidden="false" customHeight="false" outlineLevel="0" collapsed="false">
      <c r="A1814" s="6" t="s">
        <v>2324</v>
      </c>
      <c r="B1814" s="6" t="s">
        <v>132</v>
      </c>
      <c r="C1814" s="6" t="s">
        <v>1362</v>
      </c>
      <c r="D1814" s="6" t="s">
        <v>1330</v>
      </c>
      <c r="E1814" s="6"/>
      <c r="F1814" s="6" t="s">
        <v>1885</v>
      </c>
      <c r="G1814" s="6" t="s">
        <v>4546</v>
      </c>
      <c r="H1814" s="6" t="s">
        <v>4547</v>
      </c>
      <c r="I1814" s="6" t="n">
        <v>46</v>
      </c>
      <c r="J1814" s="6"/>
      <c r="K1814" s="6" t="s">
        <v>4548</v>
      </c>
      <c r="L1814" s="7"/>
      <c r="M1814" s="7"/>
    </row>
    <row r="1815" customFormat="false" ht="23.85" hidden="false" customHeight="false" outlineLevel="0" collapsed="false">
      <c r="A1815" s="6" t="s">
        <v>2326</v>
      </c>
      <c r="B1815" s="6" t="s">
        <v>132</v>
      </c>
      <c r="C1815" s="6" t="s">
        <v>1362</v>
      </c>
      <c r="D1815" s="6" t="s">
        <v>1330</v>
      </c>
      <c r="E1815" s="6"/>
      <c r="F1815" s="6" t="s">
        <v>1888</v>
      </c>
      <c r="G1815" s="6" t="s">
        <v>4537</v>
      </c>
      <c r="H1815" s="6" t="s">
        <v>4583</v>
      </c>
      <c r="I1815" s="6" t="n">
        <v>98</v>
      </c>
      <c r="J1815" s="6" t="s">
        <v>83</v>
      </c>
      <c r="K1815" s="6" t="s">
        <v>4584</v>
      </c>
      <c r="L1815" s="7"/>
      <c r="M1815" s="7"/>
    </row>
    <row r="1816" customFormat="false" ht="23.85" hidden="false" customHeight="false" outlineLevel="0" collapsed="false">
      <c r="A1816" s="6" t="s">
        <v>2326</v>
      </c>
      <c r="B1816" s="6" t="s">
        <v>132</v>
      </c>
      <c r="C1816" s="6" t="s">
        <v>1362</v>
      </c>
      <c r="D1816" s="6" t="s">
        <v>1330</v>
      </c>
      <c r="E1816" s="6"/>
      <c r="F1816" s="6" t="s">
        <v>1888</v>
      </c>
      <c r="G1816" s="6" t="s">
        <v>4540</v>
      </c>
      <c r="H1816" s="6" t="s">
        <v>4541</v>
      </c>
      <c r="I1816" s="6" t="n">
        <v>38</v>
      </c>
      <c r="J1816" s="6"/>
      <c r="K1816" s="6" t="s">
        <v>4542</v>
      </c>
      <c r="L1816" s="7"/>
      <c r="M1816" s="7"/>
    </row>
    <row r="1817" customFormat="false" ht="23.85" hidden="false" customHeight="false" outlineLevel="0" collapsed="false">
      <c r="A1817" s="6" t="s">
        <v>2326</v>
      </c>
      <c r="B1817" s="6" t="s">
        <v>132</v>
      </c>
      <c r="C1817" s="6" t="s">
        <v>1362</v>
      </c>
      <c r="D1817" s="6" t="s">
        <v>1330</v>
      </c>
      <c r="E1817" s="6"/>
      <c r="F1817" s="6" t="s">
        <v>1888</v>
      </c>
      <c r="G1817" s="6" t="s">
        <v>4543</v>
      </c>
      <c r="H1817" s="6" t="s">
        <v>4544</v>
      </c>
      <c r="I1817" s="6" t="n">
        <v>28</v>
      </c>
      <c r="J1817" s="6"/>
      <c r="K1817" s="6" t="s">
        <v>4545</v>
      </c>
      <c r="L1817" s="7"/>
      <c r="M1817" s="7"/>
    </row>
    <row r="1818" customFormat="false" ht="35.05" hidden="false" customHeight="false" outlineLevel="0" collapsed="false">
      <c r="A1818" s="6" t="s">
        <v>2326</v>
      </c>
      <c r="B1818" s="6" t="s">
        <v>132</v>
      </c>
      <c r="C1818" s="6" t="s">
        <v>1362</v>
      </c>
      <c r="D1818" s="6" t="s">
        <v>1330</v>
      </c>
      <c r="E1818" s="6"/>
      <c r="F1818" s="6" t="s">
        <v>1888</v>
      </c>
      <c r="G1818" s="6" t="s">
        <v>4546</v>
      </c>
      <c r="H1818" s="6" t="s">
        <v>4547</v>
      </c>
      <c r="I1818" s="6" t="n">
        <v>46</v>
      </c>
      <c r="J1818" s="6"/>
      <c r="K1818" s="6" t="s">
        <v>4548</v>
      </c>
      <c r="L1818" s="7"/>
      <c r="M1818" s="7"/>
    </row>
    <row r="1819" customFormat="false" ht="23.85" hidden="false" customHeight="false" outlineLevel="0" collapsed="false">
      <c r="A1819" s="6" t="s">
        <v>2328</v>
      </c>
      <c r="B1819" s="6" t="s">
        <v>132</v>
      </c>
      <c r="C1819" s="6" t="s">
        <v>1362</v>
      </c>
      <c r="D1819" s="6" t="s">
        <v>1330</v>
      </c>
      <c r="E1819" s="6"/>
      <c r="F1819" s="6" t="s">
        <v>1891</v>
      </c>
      <c r="G1819" s="6" t="s">
        <v>4537</v>
      </c>
      <c r="H1819" s="6" t="s">
        <v>4583</v>
      </c>
      <c r="I1819" s="6" t="n">
        <v>98</v>
      </c>
      <c r="J1819" s="6" t="s">
        <v>83</v>
      </c>
      <c r="K1819" s="6" t="s">
        <v>4584</v>
      </c>
      <c r="L1819" s="7"/>
      <c r="M1819" s="7"/>
    </row>
    <row r="1820" customFormat="false" ht="23.85" hidden="false" customHeight="false" outlineLevel="0" collapsed="false">
      <c r="A1820" s="6" t="s">
        <v>2328</v>
      </c>
      <c r="B1820" s="6" t="s">
        <v>132</v>
      </c>
      <c r="C1820" s="6" t="s">
        <v>1362</v>
      </c>
      <c r="D1820" s="6" t="s">
        <v>1330</v>
      </c>
      <c r="E1820" s="6"/>
      <c r="F1820" s="6" t="s">
        <v>1891</v>
      </c>
      <c r="G1820" s="6" t="s">
        <v>4540</v>
      </c>
      <c r="H1820" s="6" t="s">
        <v>4541</v>
      </c>
      <c r="I1820" s="6" t="n">
        <v>38</v>
      </c>
      <c r="J1820" s="6"/>
      <c r="K1820" s="6" t="s">
        <v>4542</v>
      </c>
      <c r="L1820" s="7"/>
      <c r="M1820" s="7"/>
    </row>
    <row r="1821" customFormat="false" ht="23.85" hidden="false" customHeight="false" outlineLevel="0" collapsed="false">
      <c r="A1821" s="6" t="s">
        <v>2328</v>
      </c>
      <c r="B1821" s="6" t="s">
        <v>132</v>
      </c>
      <c r="C1821" s="6" t="s">
        <v>1362</v>
      </c>
      <c r="D1821" s="6" t="s">
        <v>1330</v>
      </c>
      <c r="E1821" s="6"/>
      <c r="F1821" s="6" t="s">
        <v>1891</v>
      </c>
      <c r="G1821" s="6" t="s">
        <v>4543</v>
      </c>
      <c r="H1821" s="6" t="s">
        <v>4544</v>
      </c>
      <c r="I1821" s="6" t="n">
        <v>28</v>
      </c>
      <c r="J1821" s="6"/>
      <c r="K1821" s="6" t="s">
        <v>4545</v>
      </c>
      <c r="L1821" s="7"/>
      <c r="M1821" s="7"/>
    </row>
    <row r="1822" customFormat="false" ht="35.05" hidden="false" customHeight="false" outlineLevel="0" collapsed="false">
      <c r="A1822" s="6" t="s">
        <v>2328</v>
      </c>
      <c r="B1822" s="6" t="s">
        <v>132</v>
      </c>
      <c r="C1822" s="6" t="s">
        <v>1362</v>
      </c>
      <c r="D1822" s="6" t="s">
        <v>1330</v>
      </c>
      <c r="E1822" s="6"/>
      <c r="F1822" s="6" t="s">
        <v>1891</v>
      </c>
      <c r="G1822" s="6" t="s">
        <v>4546</v>
      </c>
      <c r="H1822" s="6" t="s">
        <v>4547</v>
      </c>
      <c r="I1822" s="6" t="n">
        <v>46</v>
      </c>
      <c r="J1822" s="6"/>
      <c r="K1822" s="6" t="s">
        <v>4548</v>
      </c>
      <c r="L1822" s="7"/>
      <c r="M1822" s="7"/>
    </row>
    <row r="1823" customFormat="false" ht="23.85" hidden="false" customHeight="false" outlineLevel="0" collapsed="false">
      <c r="A1823" s="6" t="s">
        <v>2330</v>
      </c>
      <c r="B1823" s="6" t="s">
        <v>132</v>
      </c>
      <c r="C1823" s="6" t="s">
        <v>1362</v>
      </c>
      <c r="D1823" s="6" t="s">
        <v>1330</v>
      </c>
      <c r="E1823" s="6"/>
      <c r="F1823" s="6" t="s">
        <v>1894</v>
      </c>
      <c r="G1823" s="6" t="s">
        <v>4537</v>
      </c>
      <c r="H1823" s="6" t="s">
        <v>4583</v>
      </c>
      <c r="I1823" s="6" t="n">
        <v>98</v>
      </c>
      <c r="J1823" s="6" t="s">
        <v>83</v>
      </c>
      <c r="K1823" s="6" t="s">
        <v>4584</v>
      </c>
      <c r="L1823" s="7"/>
      <c r="M1823" s="7"/>
    </row>
    <row r="1824" customFormat="false" ht="23.85" hidden="false" customHeight="false" outlineLevel="0" collapsed="false">
      <c r="A1824" s="6" t="s">
        <v>2330</v>
      </c>
      <c r="B1824" s="6" t="s">
        <v>132</v>
      </c>
      <c r="C1824" s="6" t="s">
        <v>1362</v>
      </c>
      <c r="D1824" s="6" t="s">
        <v>1330</v>
      </c>
      <c r="E1824" s="6"/>
      <c r="F1824" s="6" t="s">
        <v>1894</v>
      </c>
      <c r="G1824" s="6" t="s">
        <v>4540</v>
      </c>
      <c r="H1824" s="6" t="s">
        <v>4541</v>
      </c>
      <c r="I1824" s="6" t="n">
        <v>38</v>
      </c>
      <c r="J1824" s="6"/>
      <c r="K1824" s="6" t="s">
        <v>4542</v>
      </c>
      <c r="L1824" s="7"/>
      <c r="M1824" s="7"/>
    </row>
    <row r="1825" customFormat="false" ht="23.85" hidden="false" customHeight="false" outlineLevel="0" collapsed="false">
      <c r="A1825" s="6" t="s">
        <v>2330</v>
      </c>
      <c r="B1825" s="6" t="s">
        <v>132</v>
      </c>
      <c r="C1825" s="6" t="s">
        <v>1362</v>
      </c>
      <c r="D1825" s="6" t="s">
        <v>1330</v>
      </c>
      <c r="E1825" s="6"/>
      <c r="F1825" s="6" t="s">
        <v>1894</v>
      </c>
      <c r="G1825" s="6" t="s">
        <v>4543</v>
      </c>
      <c r="H1825" s="6" t="s">
        <v>4544</v>
      </c>
      <c r="I1825" s="6" t="n">
        <v>28</v>
      </c>
      <c r="J1825" s="6"/>
      <c r="K1825" s="6" t="s">
        <v>4545</v>
      </c>
      <c r="L1825" s="7"/>
      <c r="M1825" s="7"/>
    </row>
    <row r="1826" customFormat="false" ht="35.05" hidden="false" customHeight="false" outlineLevel="0" collapsed="false">
      <c r="A1826" s="6" t="s">
        <v>2330</v>
      </c>
      <c r="B1826" s="6" t="s">
        <v>132</v>
      </c>
      <c r="C1826" s="6" t="s">
        <v>1362</v>
      </c>
      <c r="D1826" s="6" t="s">
        <v>1330</v>
      </c>
      <c r="E1826" s="6"/>
      <c r="F1826" s="6" t="s">
        <v>1894</v>
      </c>
      <c r="G1826" s="6" t="s">
        <v>4546</v>
      </c>
      <c r="H1826" s="6" t="s">
        <v>4547</v>
      </c>
      <c r="I1826" s="6" t="n">
        <v>46</v>
      </c>
      <c r="J1826" s="6"/>
      <c r="K1826" s="6" t="s">
        <v>4548</v>
      </c>
      <c r="L1826" s="7"/>
      <c r="M1826" s="7"/>
    </row>
    <row r="1827" customFormat="false" ht="23.85" hidden="false" customHeight="false" outlineLevel="0" collapsed="false">
      <c r="A1827" s="6" t="s">
        <v>2332</v>
      </c>
      <c r="B1827" s="6" t="s">
        <v>132</v>
      </c>
      <c r="C1827" s="6" t="s">
        <v>1362</v>
      </c>
      <c r="D1827" s="6" t="s">
        <v>1330</v>
      </c>
      <c r="E1827" s="6"/>
      <c r="F1827" s="6" t="s">
        <v>1897</v>
      </c>
      <c r="G1827" s="6" t="s">
        <v>4537</v>
      </c>
      <c r="H1827" s="6" t="s">
        <v>4583</v>
      </c>
      <c r="I1827" s="6" t="n">
        <v>98</v>
      </c>
      <c r="J1827" s="6" t="s">
        <v>83</v>
      </c>
      <c r="K1827" s="6" t="s">
        <v>4584</v>
      </c>
      <c r="L1827" s="7"/>
      <c r="M1827" s="7"/>
    </row>
    <row r="1828" customFormat="false" ht="23.85" hidden="false" customHeight="false" outlineLevel="0" collapsed="false">
      <c r="A1828" s="6" t="s">
        <v>2332</v>
      </c>
      <c r="B1828" s="6" t="s">
        <v>132</v>
      </c>
      <c r="C1828" s="6" t="s">
        <v>1362</v>
      </c>
      <c r="D1828" s="6" t="s">
        <v>1330</v>
      </c>
      <c r="E1828" s="6"/>
      <c r="F1828" s="6" t="s">
        <v>1897</v>
      </c>
      <c r="G1828" s="6" t="s">
        <v>4540</v>
      </c>
      <c r="H1828" s="6" t="s">
        <v>4541</v>
      </c>
      <c r="I1828" s="6" t="n">
        <v>38</v>
      </c>
      <c r="J1828" s="6"/>
      <c r="K1828" s="6" t="s">
        <v>4542</v>
      </c>
      <c r="L1828" s="7"/>
      <c r="M1828" s="7"/>
    </row>
    <row r="1829" customFormat="false" ht="23.85" hidden="false" customHeight="false" outlineLevel="0" collapsed="false">
      <c r="A1829" s="6" t="s">
        <v>2332</v>
      </c>
      <c r="B1829" s="6" t="s">
        <v>132</v>
      </c>
      <c r="C1829" s="6" t="s">
        <v>1362</v>
      </c>
      <c r="D1829" s="6" t="s">
        <v>1330</v>
      </c>
      <c r="E1829" s="6"/>
      <c r="F1829" s="6" t="s">
        <v>1897</v>
      </c>
      <c r="G1829" s="6" t="s">
        <v>4543</v>
      </c>
      <c r="H1829" s="6" t="s">
        <v>4544</v>
      </c>
      <c r="I1829" s="6" t="n">
        <v>28</v>
      </c>
      <c r="J1829" s="6"/>
      <c r="K1829" s="6" t="s">
        <v>4545</v>
      </c>
      <c r="L1829" s="7"/>
      <c r="M1829" s="7"/>
    </row>
    <row r="1830" customFormat="false" ht="35.05" hidden="false" customHeight="false" outlineLevel="0" collapsed="false">
      <c r="A1830" s="6" t="s">
        <v>2332</v>
      </c>
      <c r="B1830" s="6" t="s">
        <v>132</v>
      </c>
      <c r="C1830" s="6" t="s">
        <v>1362</v>
      </c>
      <c r="D1830" s="6" t="s">
        <v>1330</v>
      </c>
      <c r="E1830" s="6"/>
      <c r="F1830" s="6" t="s">
        <v>1897</v>
      </c>
      <c r="G1830" s="6" t="s">
        <v>4546</v>
      </c>
      <c r="H1830" s="6" t="s">
        <v>4547</v>
      </c>
      <c r="I1830" s="6" t="n">
        <v>46</v>
      </c>
      <c r="J1830" s="6"/>
      <c r="K1830" s="6" t="s">
        <v>4548</v>
      </c>
      <c r="L1830" s="7"/>
      <c r="M1830" s="7"/>
    </row>
    <row r="1831" customFormat="false" ht="23.85" hidden="false" customHeight="false" outlineLevel="0" collapsed="false">
      <c r="A1831" s="6" t="s">
        <v>2334</v>
      </c>
      <c r="B1831" s="6" t="s">
        <v>132</v>
      </c>
      <c r="C1831" s="6" t="s">
        <v>1362</v>
      </c>
      <c r="D1831" s="6" t="s">
        <v>1330</v>
      </c>
      <c r="E1831" s="6"/>
      <c r="F1831" s="6" t="s">
        <v>1900</v>
      </c>
      <c r="G1831" s="6" t="s">
        <v>4537</v>
      </c>
      <c r="H1831" s="6" t="s">
        <v>4583</v>
      </c>
      <c r="I1831" s="6" t="n">
        <v>98</v>
      </c>
      <c r="J1831" s="6" t="s">
        <v>83</v>
      </c>
      <c r="K1831" s="6" t="s">
        <v>4584</v>
      </c>
      <c r="L1831" s="7"/>
      <c r="M1831" s="7"/>
    </row>
    <row r="1832" customFormat="false" ht="23.85" hidden="false" customHeight="false" outlineLevel="0" collapsed="false">
      <c r="A1832" s="6" t="s">
        <v>2334</v>
      </c>
      <c r="B1832" s="6" t="s">
        <v>132</v>
      </c>
      <c r="C1832" s="6" t="s">
        <v>1362</v>
      </c>
      <c r="D1832" s="6" t="s">
        <v>1330</v>
      </c>
      <c r="E1832" s="6"/>
      <c r="F1832" s="6" t="s">
        <v>1900</v>
      </c>
      <c r="G1832" s="6" t="s">
        <v>4540</v>
      </c>
      <c r="H1832" s="6" t="s">
        <v>4541</v>
      </c>
      <c r="I1832" s="6" t="n">
        <v>38</v>
      </c>
      <c r="J1832" s="6"/>
      <c r="K1832" s="6" t="s">
        <v>4542</v>
      </c>
      <c r="L1832" s="7"/>
      <c r="M1832" s="7"/>
    </row>
    <row r="1833" customFormat="false" ht="23.85" hidden="false" customHeight="false" outlineLevel="0" collapsed="false">
      <c r="A1833" s="6" t="s">
        <v>2334</v>
      </c>
      <c r="B1833" s="6" t="s">
        <v>132</v>
      </c>
      <c r="C1833" s="6" t="s">
        <v>1362</v>
      </c>
      <c r="D1833" s="6" t="s">
        <v>1330</v>
      </c>
      <c r="E1833" s="6"/>
      <c r="F1833" s="6" t="s">
        <v>1900</v>
      </c>
      <c r="G1833" s="6" t="s">
        <v>4543</v>
      </c>
      <c r="H1833" s="6" t="s">
        <v>4544</v>
      </c>
      <c r="I1833" s="6" t="n">
        <v>28</v>
      </c>
      <c r="J1833" s="6"/>
      <c r="K1833" s="6" t="s">
        <v>4545</v>
      </c>
      <c r="L1833" s="7"/>
      <c r="M1833" s="7"/>
    </row>
    <row r="1834" customFormat="false" ht="35.05" hidden="false" customHeight="false" outlineLevel="0" collapsed="false">
      <c r="A1834" s="6" t="s">
        <v>2334</v>
      </c>
      <c r="B1834" s="6" t="s">
        <v>132</v>
      </c>
      <c r="C1834" s="6" t="s">
        <v>1362</v>
      </c>
      <c r="D1834" s="6" t="s">
        <v>1330</v>
      </c>
      <c r="E1834" s="6"/>
      <c r="F1834" s="6" t="s">
        <v>1900</v>
      </c>
      <c r="G1834" s="6" t="s">
        <v>4546</v>
      </c>
      <c r="H1834" s="6" t="s">
        <v>4547</v>
      </c>
      <c r="I1834" s="6" t="n">
        <v>46</v>
      </c>
      <c r="J1834" s="6"/>
      <c r="K1834" s="6" t="s">
        <v>4548</v>
      </c>
      <c r="L1834" s="7"/>
      <c r="M1834" s="7"/>
    </row>
    <row r="1835" customFormat="false" ht="23.85" hidden="false" customHeight="false" outlineLevel="0" collapsed="false">
      <c r="A1835" s="6" t="s">
        <v>2336</v>
      </c>
      <c r="B1835" s="6" t="s">
        <v>132</v>
      </c>
      <c r="C1835" s="6" t="s">
        <v>1362</v>
      </c>
      <c r="D1835" s="6" t="s">
        <v>1330</v>
      </c>
      <c r="E1835" s="6"/>
      <c r="F1835" s="6" t="s">
        <v>1903</v>
      </c>
      <c r="G1835" s="6" t="s">
        <v>4537</v>
      </c>
      <c r="H1835" s="6" t="s">
        <v>4583</v>
      </c>
      <c r="I1835" s="6" t="n">
        <v>98</v>
      </c>
      <c r="J1835" s="6" t="s">
        <v>83</v>
      </c>
      <c r="K1835" s="6" t="s">
        <v>4584</v>
      </c>
      <c r="L1835" s="7"/>
      <c r="M1835" s="7"/>
    </row>
    <row r="1836" customFormat="false" ht="23.85" hidden="false" customHeight="false" outlineLevel="0" collapsed="false">
      <c r="A1836" s="6" t="s">
        <v>2336</v>
      </c>
      <c r="B1836" s="6" t="s">
        <v>132</v>
      </c>
      <c r="C1836" s="6" t="s">
        <v>1362</v>
      </c>
      <c r="D1836" s="6" t="s">
        <v>1330</v>
      </c>
      <c r="E1836" s="6"/>
      <c r="F1836" s="6" t="s">
        <v>1903</v>
      </c>
      <c r="G1836" s="6" t="s">
        <v>4540</v>
      </c>
      <c r="H1836" s="6" t="s">
        <v>4541</v>
      </c>
      <c r="I1836" s="6" t="n">
        <v>38</v>
      </c>
      <c r="J1836" s="6"/>
      <c r="K1836" s="6" t="s">
        <v>4542</v>
      </c>
      <c r="L1836" s="7"/>
      <c r="M1836" s="7"/>
    </row>
    <row r="1837" customFormat="false" ht="23.85" hidden="false" customHeight="false" outlineLevel="0" collapsed="false">
      <c r="A1837" s="6" t="s">
        <v>2336</v>
      </c>
      <c r="B1837" s="6" t="s">
        <v>132</v>
      </c>
      <c r="C1837" s="6" t="s">
        <v>1362</v>
      </c>
      <c r="D1837" s="6" t="s">
        <v>1330</v>
      </c>
      <c r="E1837" s="6"/>
      <c r="F1837" s="6" t="s">
        <v>1903</v>
      </c>
      <c r="G1837" s="6" t="s">
        <v>4543</v>
      </c>
      <c r="H1837" s="6" t="s">
        <v>4544</v>
      </c>
      <c r="I1837" s="6" t="n">
        <v>28</v>
      </c>
      <c r="J1837" s="6"/>
      <c r="K1837" s="6" t="s">
        <v>4545</v>
      </c>
      <c r="L1837" s="7"/>
      <c r="M1837" s="7"/>
    </row>
    <row r="1838" customFormat="false" ht="35.05" hidden="false" customHeight="false" outlineLevel="0" collapsed="false">
      <c r="A1838" s="6" t="s">
        <v>2336</v>
      </c>
      <c r="B1838" s="6" t="s">
        <v>132</v>
      </c>
      <c r="C1838" s="6" t="s">
        <v>1362</v>
      </c>
      <c r="D1838" s="6" t="s">
        <v>1330</v>
      </c>
      <c r="E1838" s="6"/>
      <c r="F1838" s="6" t="s">
        <v>1903</v>
      </c>
      <c r="G1838" s="6" t="s">
        <v>4546</v>
      </c>
      <c r="H1838" s="6" t="s">
        <v>4547</v>
      </c>
      <c r="I1838" s="6" t="n">
        <v>46</v>
      </c>
      <c r="J1838" s="6"/>
      <c r="K1838" s="6" t="s">
        <v>4548</v>
      </c>
      <c r="L1838" s="7"/>
      <c r="M1838" s="7"/>
    </row>
    <row r="1839" customFormat="false" ht="23.85" hidden="false" customHeight="false" outlineLevel="0" collapsed="false">
      <c r="A1839" s="6" t="s">
        <v>2338</v>
      </c>
      <c r="B1839" s="6" t="s">
        <v>132</v>
      </c>
      <c r="C1839" s="6" t="s">
        <v>1362</v>
      </c>
      <c r="D1839" s="6" t="s">
        <v>1330</v>
      </c>
      <c r="E1839" s="6"/>
      <c r="F1839" s="6" t="s">
        <v>1906</v>
      </c>
      <c r="G1839" s="6" t="s">
        <v>4537</v>
      </c>
      <c r="H1839" s="6" t="s">
        <v>4583</v>
      </c>
      <c r="I1839" s="6" t="n">
        <v>98</v>
      </c>
      <c r="J1839" s="6" t="s">
        <v>83</v>
      </c>
      <c r="K1839" s="6" t="s">
        <v>4584</v>
      </c>
      <c r="L1839" s="7"/>
      <c r="M1839" s="7"/>
    </row>
    <row r="1840" customFormat="false" ht="23.85" hidden="false" customHeight="false" outlineLevel="0" collapsed="false">
      <c r="A1840" s="6" t="s">
        <v>2338</v>
      </c>
      <c r="B1840" s="6" t="s">
        <v>132</v>
      </c>
      <c r="C1840" s="6" t="s">
        <v>1362</v>
      </c>
      <c r="D1840" s="6" t="s">
        <v>1330</v>
      </c>
      <c r="E1840" s="6"/>
      <c r="F1840" s="6" t="s">
        <v>1906</v>
      </c>
      <c r="G1840" s="6" t="s">
        <v>4540</v>
      </c>
      <c r="H1840" s="6" t="s">
        <v>4541</v>
      </c>
      <c r="I1840" s="6" t="n">
        <v>38</v>
      </c>
      <c r="J1840" s="6"/>
      <c r="K1840" s="6" t="s">
        <v>4542</v>
      </c>
      <c r="L1840" s="7"/>
      <c r="M1840" s="7"/>
    </row>
    <row r="1841" customFormat="false" ht="23.85" hidden="false" customHeight="false" outlineLevel="0" collapsed="false">
      <c r="A1841" s="6" t="s">
        <v>2338</v>
      </c>
      <c r="B1841" s="6" t="s">
        <v>132</v>
      </c>
      <c r="C1841" s="6" t="s">
        <v>1362</v>
      </c>
      <c r="D1841" s="6" t="s">
        <v>1330</v>
      </c>
      <c r="E1841" s="6"/>
      <c r="F1841" s="6" t="s">
        <v>1906</v>
      </c>
      <c r="G1841" s="6" t="s">
        <v>4543</v>
      </c>
      <c r="H1841" s="6" t="s">
        <v>4544</v>
      </c>
      <c r="I1841" s="6" t="n">
        <v>28</v>
      </c>
      <c r="J1841" s="6"/>
      <c r="K1841" s="6" t="s">
        <v>4545</v>
      </c>
      <c r="L1841" s="7"/>
      <c r="M1841" s="7"/>
    </row>
    <row r="1842" customFormat="false" ht="35.05" hidden="false" customHeight="false" outlineLevel="0" collapsed="false">
      <c r="A1842" s="6" t="s">
        <v>2338</v>
      </c>
      <c r="B1842" s="6" t="s">
        <v>132</v>
      </c>
      <c r="C1842" s="6" t="s">
        <v>1362</v>
      </c>
      <c r="D1842" s="6" t="s">
        <v>1330</v>
      </c>
      <c r="E1842" s="6"/>
      <c r="F1842" s="6" t="s">
        <v>1906</v>
      </c>
      <c r="G1842" s="6" t="s">
        <v>4546</v>
      </c>
      <c r="H1842" s="6" t="s">
        <v>4547</v>
      </c>
      <c r="I1842" s="6" t="n">
        <v>46</v>
      </c>
      <c r="J1842" s="6"/>
      <c r="K1842" s="6" t="s">
        <v>4548</v>
      </c>
      <c r="L1842" s="7"/>
      <c r="M1842" s="7"/>
    </row>
    <row r="1843" customFormat="false" ht="23.85" hidden="false" customHeight="false" outlineLevel="0" collapsed="false">
      <c r="A1843" s="6" t="s">
        <v>2340</v>
      </c>
      <c r="B1843" s="6" t="s">
        <v>132</v>
      </c>
      <c r="C1843" s="6" t="s">
        <v>1362</v>
      </c>
      <c r="D1843" s="6" t="s">
        <v>1330</v>
      </c>
      <c r="E1843" s="6"/>
      <c r="F1843" s="6" t="s">
        <v>1909</v>
      </c>
      <c r="G1843" s="6" t="s">
        <v>4537</v>
      </c>
      <c r="H1843" s="6" t="s">
        <v>4583</v>
      </c>
      <c r="I1843" s="6" t="n">
        <v>98</v>
      </c>
      <c r="J1843" s="6" t="s">
        <v>83</v>
      </c>
      <c r="K1843" s="6" t="s">
        <v>4584</v>
      </c>
      <c r="L1843" s="7"/>
      <c r="M1843" s="7"/>
    </row>
    <row r="1844" customFormat="false" ht="23.85" hidden="false" customHeight="false" outlineLevel="0" collapsed="false">
      <c r="A1844" s="6" t="s">
        <v>2340</v>
      </c>
      <c r="B1844" s="6" t="s">
        <v>132</v>
      </c>
      <c r="C1844" s="6" t="s">
        <v>1362</v>
      </c>
      <c r="D1844" s="6" t="s">
        <v>1330</v>
      </c>
      <c r="E1844" s="6"/>
      <c r="F1844" s="6" t="s">
        <v>1909</v>
      </c>
      <c r="G1844" s="6" t="s">
        <v>4540</v>
      </c>
      <c r="H1844" s="6" t="s">
        <v>4541</v>
      </c>
      <c r="I1844" s="6" t="n">
        <v>38</v>
      </c>
      <c r="J1844" s="6"/>
      <c r="K1844" s="6" t="s">
        <v>4542</v>
      </c>
      <c r="L1844" s="7"/>
      <c r="M1844" s="7"/>
    </row>
    <row r="1845" customFormat="false" ht="23.85" hidden="false" customHeight="false" outlineLevel="0" collapsed="false">
      <c r="A1845" s="6" t="s">
        <v>2340</v>
      </c>
      <c r="B1845" s="6" t="s">
        <v>132</v>
      </c>
      <c r="C1845" s="6" t="s">
        <v>1362</v>
      </c>
      <c r="D1845" s="6" t="s">
        <v>1330</v>
      </c>
      <c r="E1845" s="6"/>
      <c r="F1845" s="6" t="s">
        <v>1909</v>
      </c>
      <c r="G1845" s="6" t="s">
        <v>4543</v>
      </c>
      <c r="H1845" s="6" t="s">
        <v>4544</v>
      </c>
      <c r="I1845" s="6" t="n">
        <v>28</v>
      </c>
      <c r="J1845" s="6"/>
      <c r="K1845" s="6" t="s">
        <v>4545</v>
      </c>
      <c r="L1845" s="7"/>
      <c r="M1845" s="7"/>
    </row>
    <row r="1846" customFormat="false" ht="35.05" hidden="false" customHeight="false" outlineLevel="0" collapsed="false">
      <c r="A1846" s="6" t="s">
        <v>2340</v>
      </c>
      <c r="B1846" s="6" t="s">
        <v>132</v>
      </c>
      <c r="C1846" s="6" t="s">
        <v>1362</v>
      </c>
      <c r="D1846" s="6" t="s">
        <v>1330</v>
      </c>
      <c r="E1846" s="6"/>
      <c r="F1846" s="6" t="s">
        <v>1909</v>
      </c>
      <c r="G1846" s="6" t="s">
        <v>4546</v>
      </c>
      <c r="H1846" s="6" t="s">
        <v>4547</v>
      </c>
      <c r="I1846" s="6" t="n">
        <v>46</v>
      </c>
      <c r="J1846" s="6"/>
      <c r="K1846" s="6" t="s">
        <v>4548</v>
      </c>
      <c r="L1846" s="7"/>
      <c r="M1846" s="7"/>
    </row>
    <row r="1847" customFormat="false" ht="35.05" hidden="false" customHeight="false" outlineLevel="0" collapsed="false">
      <c r="A1847" s="6" t="s">
        <v>2342</v>
      </c>
      <c r="B1847" s="6" t="s">
        <v>132</v>
      </c>
      <c r="C1847" s="6" t="s">
        <v>1362</v>
      </c>
      <c r="D1847" s="6" t="s">
        <v>1330</v>
      </c>
      <c r="E1847" s="6"/>
      <c r="F1847" s="6" t="s">
        <v>1879</v>
      </c>
      <c r="G1847" s="6" t="s">
        <v>4537</v>
      </c>
      <c r="H1847" s="6" t="s">
        <v>4585</v>
      </c>
      <c r="I1847" s="6" t="n">
        <v>98</v>
      </c>
      <c r="J1847" s="6" t="s">
        <v>83</v>
      </c>
      <c r="K1847" s="6" t="s">
        <v>4586</v>
      </c>
      <c r="L1847" s="7"/>
      <c r="M1847" s="7"/>
    </row>
    <row r="1848" customFormat="false" ht="35.05" hidden="false" customHeight="false" outlineLevel="0" collapsed="false">
      <c r="A1848" s="6" t="s">
        <v>2342</v>
      </c>
      <c r="B1848" s="6" t="s">
        <v>132</v>
      </c>
      <c r="C1848" s="6" t="s">
        <v>1362</v>
      </c>
      <c r="D1848" s="6" t="s">
        <v>1330</v>
      </c>
      <c r="E1848" s="6"/>
      <c r="F1848" s="6" t="s">
        <v>1879</v>
      </c>
      <c r="G1848" s="6" t="s">
        <v>4540</v>
      </c>
      <c r="H1848" s="6" t="s">
        <v>4541</v>
      </c>
      <c r="I1848" s="6" t="n">
        <v>38</v>
      </c>
      <c r="J1848" s="6"/>
      <c r="K1848" s="6" t="s">
        <v>4542</v>
      </c>
      <c r="L1848" s="7"/>
      <c r="M1848" s="7"/>
    </row>
    <row r="1849" customFormat="false" ht="35.05" hidden="false" customHeight="false" outlineLevel="0" collapsed="false">
      <c r="A1849" s="6" t="s">
        <v>2342</v>
      </c>
      <c r="B1849" s="6" t="s">
        <v>132</v>
      </c>
      <c r="C1849" s="6" t="s">
        <v>1362</v>
      </c>
      <c r="D1849" s="6" t="s">
        <v>1330</v>
      </c>
      <c r="E1849" s="6"/>
      <c r="F1849" s="6" t="s">
        <v>1879</v>
      </c>
      <c r="G1849" s="6" t="s">
        <v>4543</v>
      </c>
      <c r="H1849" s="6" t="s">
        <v>4544</v>
      </c>
      <c r="I1849" s="6" t="n">
        <v>28</v>
      </c>
      <c r="J1849" s="6"/>
      <c r="K1849" s="6" t="s">
        <v>4545</v>
      </c>
      <c r="L1849" s="7"/>
      <c r="M1849" s="7"/>
    </row>
    <row r="1850" customFormat="false" ht="35.05" hidden="false" customHeight="false" outlineLevel="0" collapsed="false">
      <c r="A1850" s="6" t="s">
        <v>2342</v>
      </c>
      <c r="B1850" s="6" t="s">
        <v>132</v>
      </c>
      <c r="C1850" s="6" t="s">
        <v>1362</v>
      </c>
      <c r="D1850" s="6" t="s">
        <v>1330</v>
      </c>
      <c r="E1850" s="6"/>
      <c r="F1850" s="6" t="s">
        <v>1879</v>
      </c>
      <c r="G1850" s="6" t="s">
        <v>4546</v>
      </c>
      <c r="H1850" s="6" t="s">
        <v>4547</v>
      </c>
      <c r="I1850" s="6" t="n">
        <v>46</v>
      </c>
      <c r="J1850" s="6"/>
      <c r="K1850" s="6" t="s">
        <v>4548</v>
      </c>
      <c r="L1850" s="7"/>
      <c r="M1850" s="7"/>
    </row>
    <row r="1851" customFormat="false" ht="35.05" hidden="false" customHeight="false" outlineLevel="0" collapsed="false">
      <c r="A1851" s="6" t="s">
        <v>2348</v>
      </c>
      <c r="B1851" s="6" t="s">
        <v>132</v>
      </c>
      <c r="C1851" s="6" t="s">
        <v>1362</v>
      </c>
      <c r="D1851" s="6" t="s">
        <v>1330</v>
      </c>
      <c r="E1851" s="6"/>
      <c r="F1851" s="6" t="s">
        <v>1885</v>
      </c>
      <c r="G1851" s="6" t="s">
        <v>4537</v>
      </c>
      <c r="H1851" s="6" t="s">
        <v>4585</v>
      </c>
      <c r="I1851" s="6" t="n">
        <v>98</v>
      </c>
      <c r="J1851" s="6" t="s">
        <v>83</v>
      </c>
      <c r="K1851" s="6" t="s">
        <v>4586</v>
      </c>
      <c r="L1851" s="7"/>
      <c r="M1851" s="7"/>
    </row>
    <row r="1852" customFormat="false" ht="35.05" hidden="false" customHeight="false" outlineLevel="0" collapsed="false">
      <c r="A1852" s="6" t="s">
        <v>2348</v>
      </c>
      <c r="B1852" s="6" t="s">
        <v>132</v>
      </c>
      <c r="C1852" s="6" t="s">
        <v>1362</v>
      </c>
      <c r="D1852" s="6" t="s">
        <v>1330</v>
      </c>
      <c r="E1852" s="6"/>
      <c r="F1852" s="6" t="s">
        <v>1885</v>
      </c>
      <c r="G1852" s="6" t="s">
        <v>4540</v>
      </c>
      <c r="H1852" s="6" t="s">
        <v>4541</v>
      </c>
      <c r="I1852" s="6" t="n">
        <v>38</v>
      </c>
      <c r="J1852" s="6"/>
      <c r="K1852" s="6" t="s">
        <v>4542</v>
      </c>
      <c r="L1852" s="7"/>
      <c r="M1852" s="7"/>
    </row>
    <row r="1853" customFormat="false" ht="35.05" hidden="false" customHeight="false" outlineLevel="0" collapsed="false">
      <c r="A1853" s="6" t="s">
        <v>2348</v>
      </c>
      <c r="B1853" s="6" t="s">
        <v>132</v>
      </c>
      <c r="C1853" s="6" t="s">
        <v>1362</v>
      </c>
      <c r="D1853" s="6" t="s">
        <v>1330</v>
      </c>
      <c r="E1853" s="6"/>
      <c r="F1853" s="6" t="s">
        <v>1885</v>
      </c>
      <c r="G1853" s="6" t="s">
        <v>4543</v>
      </c>
      <c r="H1853" s="6" t="s">
        <v>4544</v>
      </c>
      <c r="I1853" s="6" t="n">
        <v>28</v>
      </c>
      <c r="J1853" s="6"/>
      <c r="K1853" s="6" t="s">
        <v>4545</v>
      </c>
      <c r="L1853" s="7"/>
      <c r="M1853" s="7"/>
    </row>
    <row r="1854" customFormat="false" ht="35.05" hidden="false" customHeight="false" outlineLevel="0" collapsed="false">
      <c r="A1854" s="6" t="s">
        <v>2348</v>
      </c>
      <c r="B1854" s="6" t="s">
        <v>132</v>
      </c>
      <c r="C1854" s="6" t="s">
        <v>1362</v>
      </c>
      <c r="D1854" s="6" t="s">
        <v>1330</v>
      </c>
      <c r="E1854" s="6"/>
      <c r="F1854" s="6" t="s">
        <v>1885</v>
      </c>
      <c r="G1854" s="6" t="s">
        <v>4546</v>
      </c>
      <c r="H1854" s="6" t="s">
        <v>4547</v>
      </c>
      <c r="I1854" s="6" t="n">
        <v>46</v>
      </c>
      <c r="J1854" s="6"/>
      <c r="K1854" s="6" t="s">
        <v>4548</v>
      </c>
      <c r="L1854" s="7"/>
      <c r="M1854" s="7"/>
    </row>
    <row r="1855" customFormat="false" ht="35.05" hidden="false" customHeight="false" outlineLevel="0" collapsed="false">
      <c r="A1855" s="6" t="s">
        <v>2350</v>
      </c>
      <c r="B1855" s="6" t="s">
        <v>132</v>
      </c>
      <c r="C1855" s="6" t="s">
        <v>1362</v>
      </c>
      <c r="D1855" s="6" t="s">
        <v>1330</v>
      </c>
      <c r="E1855" s="6"/>
      <c r="F1855" s="6" t="s">
        <v>1888</v>
      </c>
      <c r="G1855" s="6" t="s">
        <v>4537</v>
      </c>
      <c r="H1855" s="6" t="s">
        <v>4585</v>
      </c>
      <c r="I1855" s="6" t="n">
        <v>98</v>
      </c>
      <c r="J1855" s="6" t="s">
        <v>83</v>
      </c>
      <c r="K1855" s="6" t="s">
        <v>4586</v>
      </c>
      <c r="L1855" s="7"/>
      <c r="M1855" s="7"/>
    </row>
    <row r="1856" customFormat="false" ht="35.05" hidden="false" customHeight="false" outlineLevel="0" collapsed="false">
      <c r="A1856" s="6" t="s">
        <v>2350</v>
      </c>
      <c r="B1856" s="6" t="s">
        <v>132</v>
      </c>
      <c r="C1856" s="6" t="s">
        <v>1362</v>
      </c>
      <c r="D1856" s="6" t="s">
        <v>1330</v>
      </c>
      <c r="E1856" s="6"/>
      <c r="F1856" s="6" t="s">
        <v>1888</v>
      </c>
      <c r="G1856" s="6" t="s">
        <v>4540</v>
      </c>
      <c r="H1856" s="6" t="s">
        <v>4541</v>
      </c>
      <c r="I1856" s="6" t="n">
        <v>38</v>
      </c>
      <c r="J1856" s="6"/>
      <c r="K1856" s="6" t="s">
        <v>4542</v>
      </c>
      <c r="L1856" s="7"/>
      <c r="M1856" s="7"/>
    </row>
    <row r="1857" customFormat="false" ht="35.05" hidden="false" customHeight="false" outlineLevel="0" collapsed="false">
      <c r="A1857" s="6" t="s">
        <v>2350</v>
      </c>
      <c r="B1857" s="6" t="s">
        <v>132</v>
      </c>
      <c r="C1857" s="6" t="s">
        <v>1362</v>
      </c>
      <c r="D1857" s="6" t="s">
        <v>1330</v>
      </c>
      <c r="E1857" s="6"/>
      <c r="F1857" s="6" t="s">
        <v>1888</v>
      </c>
      <c r="G1857" s="6" t="s">
        <v>4543</v>
      </c>
      <c r="H1857" s="6" t="s">
        <v>4544</v>
      </c>
      <c r="I1857" s="6" t="n">
        <v>28</v>
      </c>
      <c r="J1857" s="6"/>
      <c r="K1857" s="6" t="s">
        <v>4545</v>
      </c>
      <c r="L1857" s="7"/>
      <c r="M1857" s="7"/>
    </row>
    <row r="1858" customFormat="false" ht="35.05" hidden="false" customHeight="false" outlineLevel="0" collapsed="false">
      <c r="A1858" s="6" t="s">
        <v>2350</v>
      </c>
      <c r="B1858" s="6" t="s">
        <v>132</v>
      </c>
      <c r="C1858" s="6" t="s">
        <v>1362</v>
      </c>
      <c r="D1858" s="6" t="s">
        <v>1330</v>
      </c>
      <c r="E1858" s="6"/>
      <c r="F1858" s="6" t="s">
        <v>1888</v>
      </c>
      <c r="G1858" s="6" t="s">
        <v>4546</v>
      </c>
      <c r="H1858" s="6" t="s">
        <v>4547</v>
      </c>
      <c r="I1858" s="6" t="n">
        <v>46</v>
      </c>
      <c r="J1858" s="6"/>
      <c r="K1858" s="6" t="s">
        <v>4548</v>
      </c>
      <c r="L1858" s="7"/>
      <c r="M1858" s="7"/>
    </row>
    <row r="1859" customFormat="false" ht="35.05" hidden="false" customHeight="false" outlineLevel="0" collapsed="false">
      <c r="A1859" s="6" t="s">
        <v>2352</v>
      </c>
      <c r="B1859" s="6" t="s">
        <v>132</v>
      </c>
      <c r="C1859" s="6" t="s">
        <v>1362</v>
      </c>
      <c r="D1859" s="6" t="s">
        <v>1330</v>
      </c>
      <c r="E1859" s="6"/>
      <c r="F1859" s="6" t="s">
        <v>1891</v>
      </c>
      <c r="G1859" s="6" t="s">
        <v>4537</v>
      </c>
      <c r="H1859" s="6" t="s">
        <v>4585</v>
      </c>
      <c r="I1859" s="6" t="n">
        <v>98</v>
      </c>
      <c r="J1859" s="6" t="s">
        <v>83</v>
      </c>
      <c r="K1859" s="6" t="s">
        <v>4586</v>
      </c>
      <c r="L1859" s="7"/>
      <c r="M1859" s="7"/>
    </row>
    <row r="1860" customFormat="false" ht="35.05" hidden="false" customHeight="false" outlineLevel="0" collapsed="false">
      <c r="A1860" s="6" t="s">
        <v>2352</v>
      </c>
      <c r="B1860" s="6" t="s">
        <v>132</v>
      </c>
      <c r="C1860" s="6" t="s">
        <v>1362</v>
      </c>
      <c r="D1860" s="6" t="s">
        <v>1330</v>
      </c>
      <c r="E1860" s="6"/>
      <c r="F1860" s="6" t="s">
        <v>1891</v>
      </c>
      <c r="G1860" s="6" t="s">
        <v>4540</v>
      </c>
      <c r="H1860" s="6" t="s">
        <v>4541</v>
      </c>
      <c r="I1860" s="6" t="n">
        <v>38</v>
      </c>
      <c r="J1860" s="6"/>
      <c r="K1860" s="6" t="s">
        <v>4542</v>
      </c>
      <c r="L1860" s="7"/>
      <c r="M1860" s="7"/>
    </row>
    <row r="1861" customFormat="false" ht="35.05" hidden="false" customHeight="false" outlineLevel="0" collapsed="false">
      <c r="A1861" s="6" t="s">
        <v>2352</v>
      </c>
      <c r="B1861" s="6" t="s">
        <v>132</v>
      </c>
      <c r="C1861" s="6" t="s">
        <v>1362</v>
      </c>
      <c r="D1861" s="6" t="s">
        <v>1330</v>
      </c>
      <c r="E1861" s="6"/>
      <c r="F1861" s="6" t="s">
        <v>1891</v>
      </c>
      <c r="G1861" s="6" t="s">
        <v>4543</v>
      </c>
      <c r="H1861" s="6" t="s">
        <v>4544</v>
      </c>
      <c r="I1861" s="6" t="n">
        <v>28</v>
      </c>
      <c r="J1861" s="6"/>
      <c r="K1861" s="6" t="s">
        <v>4545</v>
      </c>
      <c r="L1861" s="7"/>
      <c r="M1861" s="7"/>
    </row>
    <row r="1862" customFormat="false" ht="35.05" hidden="false" customHeight="false" outlineLevel="0" collapsed="false">
      <c r="A1862" s="6" t="s">
        <v>2352</v>
      </c>
      <c r="B1862" s="6" t="s">
        <v>132</v>
      </c>
      <c r="C1862" s="6" t="s">
        <v>1362</v>
      </c>
      <c r="D1862" s="6" t="s">
        <v>1330</v>
      </c>
      <c r="E1862" s="6"/>
      <c r="F1862" s="6" t="s">
        <v>1891</v>
      </c>
      <c r="G1862" s="6" t="s">
        <v>4546</v>
      </c>
      <c r="H1862" s="6" t="s">
        <v>4547</v>
      </c>
      <c r="I1862" s="6" t="n">
        <v>46</v>
      </c>
      <c r="J1862" s="6"/>
      <c r="K1862" s="6" t="s">
        <v>4548</v>
      </c>
      <c r="L1862" s="7"/>
      <c r="M1862" s="7"/>
    </row>
    <row r="1863" customFormat="false" ht="35.05" hidden="false" customHeight="false" outlineLevel="0" collapsed="false">
      <c r="A1863" s="6" t="s">
        <v>2354</v>
      </c>
      <c r="B1863" s="6" t="s">
        <v>132</v>
      </c>
      <c r="C1863" s="6" t="s">
        <v>1362</v>
      </c>
      <c r="D1863" s="6" t="s">
        <v>1330</v>
      </c>
      <c r="E1863" s="6"/>
      <c r="F1863" s="6" t="s">
        <v>1894</v>
      </c>
      <c r="G1863" s="6" t="s">
        <v>4537</v>
      </c>
      <c r="H1863" s="6" t="s">
        <v>4585</v>
      </c>
      <c r="I1863" s="6" t="n">
        <v>98</v>
      </c>
      <c r="J1863" s="6" t="s">
        <v>83</v>
      </c>
      <c r="K1863" s="6" t="s">
        <v>4586</v>
      </c>
      <c r="L1863" s="7"/>
      <c r="M1863" s="7"/>
    </row>
    <row r="1864" customFormat="false" ht="35.05" hidden="false" customHeight="false" outlineLevel="0" collapsed="false">
      <c r="A1864" s="6" t="s">
        <v>2354</v>
      </c>
      <c r="B1864" s="6" t="s">
        <v>132</v>
      </c>
      <c r="C1864" s="6" t="s">
        <v>1362</v>
      </c>
      <c r="D1864" s="6" t="s">
        <v>1330</v>
      </c>
      <c r="E1864" s="6"/>
      <c r="F1864" s="6" t="s">
        <v>1894</v>
      </c>
      <c r="G1864" s="6" t="s">
        <v>4540</v>
      </c>
      <c r="H1864" s="6" t="s">
        <v>4541</v>
      </c>
      <c r="I1864" s="6" t="n">
        <v>38</v>
      </c>
      <c r="J1864" s="6"/>
      <c r="K1864" s="6" t="s">
        <v>4542</v>
      </c>
      <c r="L1864" s="7"/>
      <c r="M1864" s="7"/>
    </row>
    <row r="1865" customFormat="false" ht="35.05" hidden="false" customHeight="false" outlineLevel="0" collapsed="false">
      <c r="A1865" s="6" t="s">
        <v>2354</v>
      </c>
      <c r="B1865" s="6" t="s">
        <v>132</v>
      </c>
      <c r="C1865" s="6" t="s">
        <v>1362</v>
      </c>
      <c r="D1865" s="6" t="s">
        <v>1330</v>
      </c>
      <c r="E1865" s="6"/>
      <c r="F1865" s="6" t="s">
        <v>1894</v>
      </c>
      <c r="G1865" s="6" t="s">
        <v>4543</v>
      </c>
      <c r="H1865" s="6" t="s">
        <v>4544</v>
      </c>
      <c r="I1865" s="6" t="n">
        <v>28</v>
      </c>
      <c r="J1865" s="6"/>
      <c r="K1865" s="6" t="s">
        <v>4545</v>
      </c>
      <c r="L1865" s="7"/>
      <c r="M1865" s="7"/>
    </row>
    <row r="1866" customFormat="false" ht="35.05" hidden="false" customHeight="false" outlineLevel="0" collapsed="false">
      <c r="A1866" s="6" t="s">
        <v>2354</v>
      </c>
      <c r="B1866" s="6" t="s">
        <v>132</v>
      </c>
      <c r="C1866" s="6" t="s">
        <v>1362</v>
      </c>
      <c r="D1866" s="6" t="s">
        <v>1330</v>
      </c>
      <c r="E1866" s="6"/>
      <c r="F1866" s="6" t="s">
        <v>1894</v>
      </c>
      <c r="G1866" s="6" t="s">
        <v>4546</v>
      </c>
      <c r="H1866" s="6" t="s">
        <v>4547</v>
      </c>
      <c r="I1866" s="6" t="n">
        <v>46</v>
      </c>
      <c r="J1866" s="6"/>
      <c r="K1866" s="6" t="s">
        <v>4548</v>
      </c>
      <c r="L1866" s="7"/>
      <c r="M1866" s="7"/>
    </row>
    <row r="1867" customFormat="false" ht="35.05" hidden="false" customHeight="false" outlineLevel="0" collapsed="false">
      <c r="A1867" s="6" t="s">
        <v>2356</v>
      </c>
      <c r="B1867" s="6" t="s">
        <v>132</v>
      </c>
      <c r="C1867" s="6" t="s">
        <v>1362</v>
      </c>
      <c r="D1867" s="6" t="s">
        <v>1330</v>
      </c>
      <c r="E1867" s="6"/>
      <c r="F1867" s="6" t="s">
        <v>1897</v>
      </c>
      <c r="G1867" s="6" t="s">
        <v>4537</v>
      </c>
      <c r="H1867" s="6" t="s">
        <v>4585</v>
      </c>
      <c r="I1867" s="6" t="n">
        <v>98</v>
      </c>
      <c r="J1867" s="6" t="s">
        <v>83</v>
      </c>
      <c r="K1867" s="6" t="s">
        <v>4586</v>
      </c>
      <c r="L1867" s="7"/>
      <c r="M1867" s="7"/>
    </row>
    <row r="1868" customFormat="false" ht="35.05" hidden="false" customHeight="false" outlineLevel="0" collapsed="false">
      <c r="A1868" s="6" t="s">
        <v>2356</v>
      </c>
      <c r="B1868" s="6" t="s">
        <v>132</v>
      </c>
      <c r="C1868" s="6" t="s">
        <v>1362</v>
      </c>
      <c r="D1868" s="6" t="s">
        <v>1330</v>
      </c>
      <c r="E1868" s="6"/>
      <c r="F1868" s="6" t="s">
        <v>1897</v>
      </c>
      <c r="G1868" s="6" t="s">
        <v>4540</v>
      </c>
      <c r="H1868" s="6" t="s">
        <v>4541</v>
      </c>
      <c r="I1868" s="6" t="n">
        <v>38</v>
      </c>
      <c r="J1868" s="6"/>
      <c r="K1868" s="6" t="s">
        <v>4542</v>
      </c>
      <c r="L1868" s="7"/>
      <c r="M1868" s="7"/>
    </row>
    <row r="1869" customFormat="false" ht="35.05" hidden="false" customHeight="false" outlineLevel="0" collapsed="false">
      <c r="A1869" s="6" t="s">
        <v>2356</v>
      </c>
      <c r="B1869" s="6" t="s">
        <v>132</v>
      </c>
      <c r="C1869" s="6" t="s">
        <v>1362</v>
      </c>
      <c r="D1869" s="6" t="s">
        <v>1330</v>
      </c>
      <c r="E1869" s="6"/>
      <c r="F1869" s="6" t="s">
        <v>1897</v>
      </c>
      <c r="G1869" s="6" t="s">
        <v>4543</v>
      </c>
      <c r="H1869" s="6" t="s">
        <v>4544</v>
      </c>
      <c r="I1869" s="6" t="n">
        <v>28</v>
      </c>
      <c r="J1869" s="6"/>
      <c r="K1869" s="6" t="s">
        <v>4545</v>
      </c>
      <c r="L1869" s="7"/>
      <c r="M1869" s="7"/>
    </row>
    <row r="1870" customFormat="false" ht="35.05" hidden="false" customHeight="false" outlineLevel="0" collapsed="false">
      <c r="A1870" s="6" t="s">
        <v>2356</v>
      </c>
      <c r="B1870" s="6" t="s">
        <v>132</v>
      </c>
      <c r="C1870" s="6" t="s">
        <v>1362</v>
      </c>
      <c r="D1870" s="6" t="s">
        <v>1330</v>
      </c>
      <c r="E1870" s="6"/>
      <c r="F1870" s="6" t="s">
        <v>1897</v>
      </c>
      <c r="G1870" s="6" t="s">
        <v>4546</v>
      </c>
      <c r="H1870" s="6" t="s">
        <v>4547</v>
      </c>
      <c r="I1870" s="6" t="n">
        <v>46</v>
      </c>
      <c r="J1870" s="6"/>
      <c r="K1870" s="6" t="s">
        <v>4548</v>
      </c>
      <c r="L1870" s="7"/>
      <c r="M1870" s="7"/>
    </row>
    <row r="1871" customFormat="false" ht="35.05" hidden="false" customHeight="false" outlineLevel="0" collapsed="false">
      <c r="A1871" s="6" t="s">
        <v>2358</v>
      </c>
      <c r="B1871" s="6" t="s">
        <v>132</v>
      </c>
      <c r="C1871" s="6" t="s">
        <v>1362</v>
      </c>
      <c r="D1871" s="6" t="s">
        <v>1330</v>
      </c>
      <c r="E1871" s="6"/>
      <c r="F1871" s="6" t="s">
        <v>1900</v>
      </c>
      <c r="G1871" s="6" t="s">
        <v>4537</v>
      </c>
      <c r="H1871" s="6" t="s">
        <v>4585</v>
      </c>
      <c r="I1871" s="6" t="n">
        <v>98</v>
      </c>
      <c r="J1871" s="6" t="s">
        <v>83</v>
      </c>
      <c r="K1871" s="6" t="s">
        <v>4586</v>
      </c>
      <c r="L1871" s="7"/>
      <c r="M1871" s="7"/>
    </row>
    <row r="1872" customFormat="false" ht="35.05" hidden="false" customHeight="false" outlineLevel="0" collapsed="false">
      <c r="A1872" s="6" t="s">
        <v>2358</v>
      </c>
      <c r="B1872" s="6" t="s">
        <v>132</v>
      </c>
      <c r="C1872" s="6" t="s">
        <v>1362</v>
      </c>
      <c r="D1872" s="6" t="s">
        <v>1330</v>
      </c>
      <c r="E1872" s="6"/>
      <c r="F1872" s="6" t="s">
        <v>1900</v>
      </c>
      <c r="G1872" s="6" t="s">
        <v>4540</v>
      </c>
      <c r="H1872" s="6" t="s">
        <v>4541</v>
      </c>
      <c r="I1872" s="6" t="n">
        <v>38</v>
      </c>
      <c r="J1872" s="6"/>
      <c r="K1872" s="6" t="s">
        <v>4542</v>
      </c>
      <c r="L1872" s="7"/>
      <c r="M1872" s="7"/>
    </row>
    <row r="1873" customFormat="false" ht="35.05" hidden="false" customHeight="false" outlineLevel="0" collapsed="false">
      <c r="A1873" s="6" t="s">
        <v>2358</v>
      </c>
      <c r="B1873" s="6" t="s">
        <v>132</v>
      </c>
      <c r="C1873" s="6" t="s">
        <v>1362</v>
      </c>
      <c r="D1873" s="6" t="s">
        <v>1330</v>
      </c>
      <c r="E1873" s="6"/>
      <c r="F1873" s="6" t="s">
        <v>1900</v>
      </c>
      <c r="G1873" s="6" t="s">
        <v>4543</v>
      </c>
      <c r="H1873" s="6" t="s">
        <v>4544</v>
      </c>
      <c r="I1873" s="6" t="n">
        <v>28</v>
      </c>
      <c r="J1873" s="6"/>
      <c r="K1873" s="6" t="s">
        <v>4545</v>
      </c>
      <c r="L1873" s="7"/>
      <c r="M1873" s="7"/>
    </row>
    <row r="1874" customFormat="false" ht="35.05" hidden="false" customHeight="false" outlineLevel="0" collapsed="false">
      <c r="A1874" s="6" t="s">
        <v>2358</v>
      </c>
      <c r="B1874" s="6" t="s">
        <v>132</v>
      </c>
      <c r="C1874" s="6" t="s">
        <v>1362</v>
      </c>
      <c r="D1874" s="6" t="s">
        <v>1330</v>
      </c>
      <c r="E1874" s="6"/>
      <c r="F1874" s="6" t="s">
        <v>1900</v>
      </c>
      <c r="G1874" s="6" t="s">
        <v>4546</v>
      </c>
      <c r="H1874" s="6" t="s">
        <v>4547</v>
      </c>
      <c r="I1874" s="6" t="n">
        <v>46</v>
      </c>
      <c r="J1874" s="6"/>
      <c r="K1874" s="6" t="s">
        <v>4548</v>
      </c>
      <c r="L1874" s="7"/>
      <c r="M1874" s="7"/>
    </row>
    <row r="1875" customFormat="false" ht="35.05" hidden="false" customHeight="false" outlineLevel="0" collapsed="false">
      <c r="A1875" s="6" t="s">
        <v>2360</v>
      </c>
      <c r="B1875" s="6" t="s">
        <v>132</v>
      </c>
      <c r="C1875" s="6" t="s">
        <v>1362</v>
      </c>
      <c r="D1875" s="6" t="s">
        <v>1330</v>
      </c>
      <c r="E1875" s="6"/>
      <c r="F1875" s="6" t="s">
        <v>1903</v>
      </c>
      <c r="G1875" s="6" t="s">
        <v>4537</v>
      </c>
      <c r="H1875" s="6" t="s">
        <v>4585</v>
      </c>
      <c r="I1875" s="6" t="n">
        <v>98</v>
      </c>
      <c r="J1875" s="6" t="s">
        <v>83</v>
      </c>
      <c r="K1875" s="6" t="s">
        <v>4586</v>
      </c>
      <c r="L1875" s="7"/>
      <c r="M1875" s="7"/>
    </row>
    <row r="1876" customFormat="false" ht="35.05" hidden="false" customHeight="false" outlineLevel="0" collapsed="false">
      <c r="A1876" s="6" t="s">
        <v>2360</v>
      </c>
      <c r="B1876" s="6" t="s">
        <v>132</v>
      </c>
      <c r="C1876" s="6" t="s">
        <v>1362</v>
      </c>
      <c r="D1876" s="6" t="s">
        <v>1330</v>
      </c>
      <c r="E1876" s="6"/>
      <c r="F1876" s="6" t="s">
        <v>1903</v>
      </c>
      <c r="G1876" s="6" t="s">
        <v>4540</v>
      </c>
      <c r="H1876" s="6" t="s">
        <v>4541</v>
      </c>
      <c r="I1876" s="6" t="n">
        <v>38</v>
      </c>
      <c r="J1876" s="6"/>
      <c r="K1876" s="6" t="s">
        <v>4542</v>
      </c>
      <c r="L1876" s="7"/>
      <c r="M1876" s="7"/>
    </row>
    <row r="1877" customFormat="false" ht="35.05" hidden="false" customHeight="false" outlineLevel="0" collapsed="false">
      <c r="A1877" s="6" t="s">
        <v>2360</v>
      </c>
      <c r="B1877" s="6" t="s">
        <v>132</v>
      </c>
      <c r="C1877" s="6" t="s">
        <v>1362</v>
      </c>
      <c r="D1877" s="6" t="s">
        <v>1330</v>
      </c>
      <c r="E1877" s="6"/>
      <c r="F1877" s="6" t="s">
        <v>1903</v>
      </c>
      <c r="G1877" s="6" t="s">
        <v>4543</v>
      </c>
      <c r="H1877" s="6" t="s">
        <v>4544</v>
      </c>
      <c r="I1877" s="6" t="n">
        <v>28</v>
      </c>
      <c r="J1877" s="6"/>
      <c r="K1877" s="6" t="s">
        <v>4545</v>
      </c>
      <c r="L1877" s="7"/>
      <c r="M1877" s="7"/>
    </row>
    <row r="1878" customFormat="false" ht="35.05" hidden="false" customHeight="false" outlineLevel="0" collapsed="false">
      <c r="A1878" s="6" t="s">
        <v>2360</v>
      </c>
      <c r="B1878" s="6" t="s">
        <v>132</v>
      </c>
      <c r="C1878" s="6" t="s">
        <v>1362</v>
      </c>
      <c r="D1878" s="6" t="s">
        <v>1330</v>
      </c>
      <c r="E1878" s="6"/>
      <c r="F1878" s="6" t="s">
        <v>1903</v>
      </c>
      <c r="G1878" s="6" t="s">
        <v>4546</v>
      </c>
      <c r="H1878" s="6" t="s">
        <v>4547</v>
      </c>
      <c r="I1878" s="6" t="n">
        <v>46</v>
      </c>
      <c r="J1878" s="6"/>
      <c r="K1878" s="6" t="s">
        <v>4548</v>
      </c>
      <c r="L1878" s="7"/>
      <c r="M1878" s="7"/>
    </row>
    <row r="1879" customFormat="false" ht="35.05" hidden="false" customHeight="false" outlineLevel="0" collapsed="false">
      <c r="A1879" s="6" t="s">
        <v>2362</v>
      </c>
      <c r="B1879" s="6" t="s">
        <v>132</v>
      </c>
      <c r="C1879" s="6" t="s">
        <v>1362</v>
      </c>
      <c r="D1879" s="6" t="s">
        <v>1330</v>
      </c>
      <c r="E1879" s="6"/>
      <c r="F1879" s="6" t="s">
        <v>1906</v>
      </c>
      <c r="G1879" s="6" t="s">
        <v>4537</v>
      </c>
      <c r="H1879" s="6" t="s">
        <v>4585</v>
      </c>
      <c r="I1879" s="6" t="n">
        <v>98</v>
      </c>
      <c r="J1879" s="6" t="s">
        <v>83</v>
      </c>
      <c r="K1879" s="6" t="s">
        <v>4586</v>
      </c>
      <c r="L1879" s="7"/>
      <c r="M1879" s="7"/>
    </row>
    <row r="1880" customFormat="false" ht="35.05" hidden="false" customHeight="false" outlineLevel="0" collapsed="false">
      <c r="A1880" s="6" t="s">
        <v>2362</v>
      </c>
      <c r="B1880" s="6" t="s">
        <v>132</v>
      </c>
      <c r="C1880" s="6" t="s">
        <v>1362</v>
      </c>
      <c r="D1880" s="6" t="s">
        <v>1330</v>
      </c>
      <c r="E1880" s="6"/>
      <c r="F1880" s="6" t="s">
        <v>1906</v>
      </c>
      <c r="G1880" s="6" t="s">
        <v>4540</v>
      </c>
      <c r="H1880" s="6" t="s">
        <v>4541</v>
      </c>
      <c r="I1880" s="6" t="n">
        <v>38</v>
      </c>
      <c r="J1880" s="6"/>
      <c r="K1880" s="6" t="s">
        <v>4542</v>
      </c>
      <c r="L1880" s="7"/>
      <c r="M1880" s="7"/>
    </row>
    <row r="1881" customFormat="false" ht="35.05" hidden="false" customHeight="false" outlineLevel="0" collapsed="false">
      <c r="A1881" s="6" t="s">
        <v>2362</v>
      </c>
      <c r="B1881" s="6" t="s">
        <v>132</v>
      </c>
      <c r="C1881" s="6" t="s">
        <v>1362</v>
      </c>
      <c r="D1881" s="6" t="s">
        <v>1330</v>
      </c>
      <c r="E1881" s="6"/>
      <c r="F1881" s="6" t="s">
        <v>1906</v>
      </c>
      <c r="G1881" s="6" t="s">
        <v>4543</v>
      </c>
      <c r="H1881" s="6" t="s">
        <v>4544</v>
      </c>
      <c r="I1881" s="6" t="n">
        <v>28</v>
      </c>
      <c r="J1881" s="6"/>
      <c r="K1881" s="6" t="s">
        <v>4545</v>
      </c>
      <c r="L1881" s="7"/>
      <c r="M1881" s="7"/>
    </row>
    <row r="1882" customFormat="false" ht="35.05" hidden="false" customHeight="false" outlineLevel="0" collapsed="false">
      <c r="A1882" s="6" t="s">
        <v>2362</v>
      </c>
      <c r="B1882" s="6" t="s">
        <v>132</v>
      </c>
      <c r="C1882" s="6" t="s">
        <v>1362</v>
      </c>
      <c r="D1882" s="6" t="s">
        <v>1330</v>
      </c>
      <c r="E1882" s="6"/>
      <c r="F1882" s="6" t="s">
        <v>1906</v>
      </c>
      <c r="G1882" s="6" t="s">
        <v>4546</v>
      </c>
      <c r="H1882" s="6" t="s">
        <v>4547</v>
      </c>
      <c r="I1882" s="6" t="n">
        <v>46</v>
      </c>
      <c r="J1882" s="6"/>
      <c r="K1882" s="6" t="s">
        <v>4548</v>
      </c>
      <c r="L1882" s="7"/>
      <c r="M1882" s="7"/>
    </row>
    <row r="1883" customFormat="false" ht="35.05" hidden="false" customHeight="false" outlineLevel="0" collapsed="false">
      <c r="A1883" s="6" t="s">
        <v>2364</v>
      </c>
      <c r="B1883" s="6" t="s">
        <v>132</v>
      </c>
      <c r="C1883" s="6" t="s">
        <v>1362</v>
      </c>
      <c r="D1883" s="6" t="s">
        <v>1330</v>
      </c>
      <c r="E1883" s="6"/>
      <c r="F1883" s="6" t="s">
        <v>1909</v>
      </c>
      <c r="G1883" s="6" t="s">
        <v>4537</v>
      </c>
      <c r="H1883" s="6" t="s">
        <v>4585</v>
      </c>
      <c r="I1883" s="6" t="n">
        <v>98</v>
      </c>
      <c r="J1883" s="6" t="s">
        <v>83</v>
      </c>
      <c r="K1883" s="6" t="s">
        <v>4586</v>
      </c>
      <c r="L1883" s="7"/>
      <c r="M1883" s="7"/>
    </row>
    <row r="1884" customFormat="false" ht="35.05" hidden="false" customHeight="false" outlineLevel="0" collapsed="false">
      <c r="A1884" s="6" t="s">
        <v>2364</v>
      </c>
      <c r="B1884" s="6" t="s">
        <v>132</v>
      </c>
      <c r="C1884" s="6" t="s">
        <v>1362</v>
      </c>
      <c r="D1884" s="6" t="s">
        <v>1330</v>
      </c>
      <c r="E1884" s="6"/>
      <c r="F1884" s="6" t="s">
        <v>1909</v>
      </c>
      <c r="G1884" s="6" t="s">
        <v>4540</v>
      </c>
      <c r="H1884" s="6" t="s">
        <v>4541</v>
      </c>
      <c r="I1884" s="6" t="n">
        <v>38</v>
      </c>
      <c r="J1884" s="6"/>
      <c r="K1884" s="6" t="s">
        <v>4542</v>
      </c>
      <c r="L1884" s="7"/>
      <c r="M1884" s="7"/>
    </row>
    <row r="1885" customFormat="false" ht="35.05" hidden="false" customHeight="false" outlineLevel="0" collapsed="false">
      <c r="A1885" s="6" t="s">
        <v>2364</v>
      </c>
      <c r="B1885" s="6" t="s">
        <v>132</v>
      </c>
      <c r="C1885" s="6" t="s">
        <v>1362</v>
      </c>
      <c r="D1885" s="6" t="s">
        <v>1330</v>
      </c>
      <c r="E1885" s="6"/>
      <c r="F1885" s="6" t="s">
        <v>1909</v>
      </c>
      <c r="G1885" s="6" t="s">
        <v>4543</v>
      </c>
      <c r="H1885" s="6" t="s">
        <v>4544</v>
      </c>
      <c r="I1885" s="6" t="n">
        <v>28</v>
      </c>
      <c r="J1885" s="6"/>
      <c r="K1885" s="6" t="s">
        <v>4545</v>
      </c>
      <c r="L1885" s="7"/>
      <c r="M1885" s="7"/>
    </row>
    <row r="1886" customFormat="false" ht="35.05" hidden="false" customHeight="false" outlineLevel="0" collapsed="false">
      <c r="A1886" s="6" t="s">
        <v>2364</v>
      </c>
      <c r="B1886" s="6" t="s">
        <v>132</v>
      </c>
      <c r="C1886" s="6" t="s">
        <v>1362</v>
      </c>
      <c r="D1886" s="6" t="s">
        <v>1330</v>
      </c>
      <c r="E1886" s="6"/>
      <c r="F1886" s="6" t="s">
        <v>1909</v>
      </c>
      <c r="G1886" s="6" t="s">
        <v>4546</v>
      </c>
      <c r="H1886" s="6" t="s">
        <v>4547</v>
      </c>
      <c r="I1886" s="6" t="n">
        <v>46</v>
      </c>
      <c r="J1886" s="6"/>
      <c r="K1886" s="6" t="s">
        <v>4548</v>
      </c>
      <c r="L1886" s="7"/>
      <c r="M1886" s="7"/>
    </row>
    <row r="1887" customFormat="false" ht="23.85" hidden="false" customHeight="false" outlineLevel="0" collapsed="false">
      <c r="A1887" s="6" t="s">
        <v>2366</v>
      </c>
      <c r="B1887" s="6" t="s">
        <v>145</v>
      </c>
      <c r="C1887" s="6" t="s">
        <v>1362</v>
      </c>
      <c r="D1887" s="6" t="s">
        <v>1330</v>
      </c>
      <c r="E1887" s="6"/>
      <c r="F1887" s="6" t="s">
        <v>1879</v>
      </c>
      <c r="G1887" s="6" t="s">
        <v>4537</v>
      </c>
      <c r="H1887" s="6" t="s">
        <v>4587</v>
      </c>
      <c r="I1887" s="6" t="n">
        <v>98</v>
      </c>
      <c r="J1887" s="6" t="s">
        <v>83</v>
      </c>
      <c r="K1887" s="6" t="s">
        <v>4588</v>
      </c>
      <c r="L1887" s="7"/>
      <c r="M1887" s="7"/>
    </row>
    <row r="1888" customFormat="false" ht="23.85" hidden="false" customHeight="false" outlineLevel="0" collapsed="false">
      <c r="A1888" s="6" t="s">
        <v>2366</v>
      </c>
      <c r="B1888" s="6" t="s">
        <v>145</v>
      </c>
      <c r="C1888" s="6" t="s">
        <v>1362</v>
      </c>
      <c r="D1888" s="6" t="s">
        <v>1330</v>
      </c>
      <c r="E1888" s="6"/>
      <c r="F1888" s="6" t="s">
        <v>1879</v>
      </c>
      <c r="G1888" s="6" t="s">
        <v>4540</v>
      </c>
      <c r="H1888" s="6" t="s">
        <v>4541</v>
      </c>
      <c r="I1888" s="6" t="n">
        <v>38</v>
      </c>
      <c r="J1888" s="6"/>
      <c r="K1888" s="6" t="s">
        <v>4542</v>
      </c>
      <c r="L1888" s="7"/>
      <c r="M1888" s="7"/>
    </row>
    <row r="1889" customFormat="false" ht="23.85" hidden="false" customHeight="false" outlineLevel="0" collapsed="false">
      <c r="A1889" s="6" t="s">
        <v>2366</v>
      </c>
      <c r="B1889" s="6" t="s">
        <v>145</v>
      </c>
      <c r="C1889" s="6" t="s">
        <v>1362</v>
      </c>
      <c r="D1889" s="6" t="s">
        <v>1330</v>
      </c>
      <c r="E1889" s="6"/>
      <c r="F1889" s="6" t="s">
        <v>1879</v>
      </c>
      <c r="G1889" s="6" t="s">
        <v>4543</v>
      </c>
      <c r="H1889" s="6" t="s">
        <v>4544</v>
      </c>
      <c r="I1889" s="6" t="n">
        <v>28</v>
      </c>
      <c r="J1889" s="6"/>
      <c r="K1889" s="6" t="s">
        <v>4545</v>
      </c>
      <c r="L1889" s="7"/>
      <c r="M1889" s="7"/>
    </row>
    <row r="1890" customFormat="false" ht="35.05" hidden="false" customHeight="false" outlineLevel="0" collapsed="false">
      <c r="A1890" s="6" t="s">
        <v>2366</v>
      </c>
      <c r="B1890" s="6" t="s">
        <v>145</v>
      </c>
      <c r="C1890" s="6" t="s">
        <v>1362</v>
      </c>
      <c r="D1890" s="6" t="s">
        <v>1330</v>
      </c>
      <c r="E1890" s="6"/>
      <c r="F1890" s="6" t="s">
        <v>1879</v>
      </c>
      <c r="G1890" s="6" t="s">
        <v>4546</v>
      </c>
      <c r="H1890" s="6" t="s">
        <v>4547</v>
      </c>
      <c r="I1890" s="6" t="n">
        <v>46</v>
      </c>
      <c r="J1890" s="6"/>
      <c r="K1890" s="6" t="s">
        <v>4548</v>
      </c>
      <c r="L1890" s="7"/>
      <c r="M1890" s="7"/>
    </row>
    <row r="1891" customFormat="false" ht="23.85" hidden="false" customHeight="false" outlineLevel="0" collapsed="false">
      <c r="A1891" s="6" t="s">
        <v>2372</v>
      </c>
      <c r="B1891" s="6" t="s">
        <v>145</v>
      </c>
      <c r="C1891" s="6" t="s">
        <v>1362</v>
      </c>
      <c r="D1891" s="6" t="s">
        <v>1330</v>
      </c>
      <c r="E1891" s="6"/>
      <c r="F1891" s="6" t="s">
        <v>1885</v>
      </c>
      <c r="G1891" s="6" t="s">
        <v>4537</v>
      </c>
      <c r="H1891" s="6" t="s">
        <v>4587</v>
      </c>
      <c r="I1891" s="6" t="n">
        <v>98</v>
      </c>
      <c r="J1891" s="6" t="s">
        <v>83</v>
      </c>
      <c r="K1891" s="6" t="s">
        <v>4588</v>
      </c>
      <c r="L1891" s="7"/>
      <c r="M1891" s="7"/>
    </row>
    <row r="1892" customFormat="false" ht="23.85" hidden="false" customHeight="false" outlineLevel="0" collapsed="false">
      <c r="A1892" s="6" t="s">
        <v>2372</v>
      </c>
      <c r="B1892" s="6" t="s">
        <v>145</v>
      </c>
      <c r="C1892" s="6" t="s">
        <v>1362</v>
      </c>
      <c r="D1892" s="6" t="s">
        <v>1330</v>
      </c>
      <c r="E1892" s="6"/>
      <c r="F1892" s="6" t="s">
        <v>1885</v>
      </c>
      <c r="G1892" s="6" t="s">
        <v>4540</v>
      </c>
      <c r="H1892" s="6" t="s">
        <v>4541</v>
      </c>
      <c r="I1892" s="6" t="n">
        <v>38</v>
      </c>
      <c r="J1892" s="6"/>
      <c r="K1892" s="6" t="s">
        <v>4542</v>
      </c>
      <c r="L1892" s="7"/>
      <c r="M1892" s="7"/>
    </row>
    <row r="1893" customFormat="false" ht="23.85" hidden="false" customHeight="false" outlineLevel="0" collapsed="false">
      <c r="A1893" s="6" t="s">
        <v>2372</v>
      </c>
      <c r="B1893" s="6" t="s">
        <v>145</v>
      </c>
      <c r="C1893" s="6" t="s">
        <v>1362</v>
      </c>
      <c r="D1893" s="6" t="s">
        <v>1330</v>
      </c>
      <c r="E1893" s="6"/>
      <c r="F1893" s="6" t="s">
        <v>1885</v>
      </c>
      <c r="G1893" s="6" t="s">
        <v>4543</v>
      </c>
      <c r="H1893" s="6" t="s">
        <v>4544</v>
      </c>
      <c r="I1893" s="6" t="n">
        <v>28</v>
      </c>
      <c r="J1893" s="6"/>
      <c r="K1893" s="6" t="s">
        <v>4545</v>
      </c>
      <c r="L1893" s="7"/>
      <c r="M1893" s="7"/>
    </row>
    <row r="1894" customFormat="false" ht="35.05" hidden="false" customHeight="false" outlineLevel="0" collapsed="false">
      <c r="A1894" s="6" t="s">
        <v>2372</v>
      </c>
      <c r="B1894" s="6" t="s">
        <v>145</v>
      </c>
      <c r="C1894" s="6" t="s">
        <v>1362</v>
      </c>
      <c r="D1894" s="6" t="s">
        <v>1330</v>
      </c>
      <c r="E1894" s="6"/>
      <c r="F1894" s="6" t="s">
        <v>1885</v>
      </c>
      <c r="G1894" s="6" t="s">
        <v>4546</v>
      </c>
      <c r="H1894" s="6" t="s">
        <v>4547</v>
      </c>
      <c r="I1894" s="6" t="n">
        <v>46</v>
      </c>
      <c r="J1894" s="6"/>
      <c r="K1894" s="6" t="s">
        <v>4548</v>
      </c>
      <c r="L1894" s="7"/>
      <c r="M1894" s="7"/>
    </row>
    <row r="1895" customFormat="false" ht="23.85" hidden="false" customHeight="false" outlineLevel="0" collapsed="false">
      <c r="A1895" s="6" t="s">
        <v>2374</v>
      </c>
      <c r="B1895" s="6" t="s">
        <v>145</v>
      </c>
      <c r="C1895" s="6" t="s">
        <v>1362</v>
      </c>
      <c r="D1895" s="6" t="s">
        <v>1330</v>
      </c>
      <c r="E1895" s="6"/>
      <c r="F1895" s="6" t="s">
        <v>1888</v>
      </c>
      <c r="G1895" s="6" t="s">
        <v>4537</v>
      </c>
      <c r="H1895" s="6" t="s">
        <v>4587</v>
      </c>
      <c r="I1895" s="6" t="n">
        <v>98</v>
      </c>
      <c r="J1895" s="6" t="s">
        <v>83</v>
      </c>
      <c r="K1895" s="6" t="s">
        <v>4588</v>
      </c>
      <c r="L1895" s="7"/>
      <c r="M1895" s="7"/>
    </row>
    <row r="1896" customFormat="false" ht="23.85" hidden="false" customHeight="false" outlineLevel="0" collapsed="false">
      <c r="A1896" s="6" t="s">
        <v>2374</v>
      </c>
      <c r="B1896" s="6" t="s">
        <v>145</v>
      </c>
      <c r="C1896" s="6" t="s">
        <v>1362</v>
      </c>
      <c r="D1896" s="6" t="s">
        <v>1330</v>
      </c>
      <c r="E1896" s="6"/>
      <c r="F1896" s="6" t="s">
        <v>1888</v>
      </c>
      <c r="G1896" s="6" t="s">
        <v>4540</v>
      </c>
      <c r="H1896" s="6" t="s">
        <v>4541</v>
      </c>
      <c r="I1896" s="6" t="n">
        <v>38</v>
      </c>
      <c r="J1896" s="6"/>
      <c r="K1896" s="6" t="s">
        <v>4542</v>
      </c>
      <c r="L1896" s="7"/>
      <c r="M1896" s="7"/>
    </row>
    <row r="1897" customFormat="false" ht="23.85" hidden="false" customHeight="false" outlineLevel="0" collapsed="false">
      <c r="A1897" s="6" t="s">
        <v>2374</v>
      </c>
      <c r="B1897" s="6" t="s">
        <v>145</v>
      </c>
      <c r="C1897" s="6" t="s">
        <v>1362</v>
      </c>
      <c r="D1897" s="6" t="s">
        <v>1330</v>
      </c>
      <c r="E1897" s="6"/>
      <c r="F1897" s="6" t="s">
        <v>1888</v>
      </c>
      <c r="G1897" s="6" t="s">
        <v>4543</v>
      </c>
      <c r="H1897" s="6" t="s">
        <v>4544</v>
      </c>
      <c r="I1897" s="6" t="n">
        <v>28</v>
      </c>
      <c r="J1897" s="6"/>
      <c r="K1897" s="6" t="s">
        <v>4545</v>
      </c>
      <c r="L1897" s="7"/>
      <c r="M1897" s="7"/>
    </row>
    <row r="1898" customFormat="false" ht="35.05" hidden="false" customHeight="false" outlineLevel="0" collapsed="false">
      <c r="A1898" s="6" t="s">
        <v>2374</v>
      </c>
      <c r="B1898" s="6" t="s">
        <v>145</v>
      </c>
      <c r="C1898" s="6" t="s">
        <v>1362</v>
      </c>
      <c r="D1898" s="6" t="s">
        <v>1330</v>
      </c>
      <c r="E1898" s="6"/>
      <c r="F1898" s="6" t="s">
        <v>1888</v>
      </c>
      <c r="G1898" s="6" t="s">
        <v>4546</v>
      </c>
      <c r="H1898" s="6" t="s">
        <v>4547</v>
      </c>
      <c r="I1898" s="6" t="n">
        <v>46</v>
      </c>
      <c r="J1898" s="6"/>
      <c r="K1898" s="6" t="s">
        <v>4548</v>
      </c>
      <c r="L1898" s="7"/>
      <c r="M1898" s="7"/>
    </row>
    <row r="1899" customFormat="false" ht="23.85" hidden="false" customHeight="false" outlineLevel="0" collapsed="false">
      <c r="A1899" s="6" t="s">
        <v>2376</v>
      </c>
      <c r="B1899" s="6" t="s">
        <v>145</v>
      </c>
      <c r="C1899" s="6" t="s">
        <v>1362</v>
      </c>
      <c r="D1899" s="6" t="s">
        <v>1330</v>
      </c>
      <c r="E1899" s="6"/>
      <c r="F1899" s="6" t="s">
        <v>1891</v>
      </c>
      <c r="G1899" s="6" t="s">
        <v>4537</v>
      </c>
      <c r="H1899" s="6" t="s">
        <v>4587</v>
      </c>
      <c r="I1899" s="6" t="n">
        <v>98</v>
      </c>
      <c r="J1899" s="6" t="s">
        <v>83</v>
      </c>
      <c r="K1899" s="6" t="s">
        <v>4588</v>
      </c>
      <c r="L1899" s="7"/>
      <c r="M1899" s="7"/>
    </row>
    <row r="1900" customFormat="false" ht="23.85" hidden="false" customHeight="false" outlineLevel="0" collapsed="false">
      <c r="A1900" s="6" t="s">
        <v>2376</v>
      </c>
      <c r="B1900" s="6" t="s">
        <v>145</v>
      </c>
      <c r="C1900" s="6" t="s">
        <v>1362</v>
      </c>
      <c r="D1900" s="6" t="s">
        <v>1330</v>
      </c>
      <c r="E1900" s="6"/>
      <c r="F1900" s="6" t="s">
        <v>1891</v>
      </c>
      <c r="G1900" s="6" t="s">
        <v>4540</v>
      </c>
      <c r="H1900" s="6" t="s">
        <v>4541</v>
      </c>
      <c r="I1900" s="6" t="n">
        <v>38</v>
      </c>
      <c r="J1900" s="6"/>
      <c r="K1900" s="6" t="s">
        <v>4542</v>
      </c>
      <c r="L1900" s="7"/>
      <c r="M1900" s="7"/>
    </row>
    <row r="1901" customFormat="false" ht="23.85" hidden="false" customHeight="false" outlineLevel="0" collapsed="false">
      <c r="A1901" s="6" t="s">
        <v>2376</v>
      </c>
      <c r="B1901" s="6" t="s">
        <v>145</v>
      </c>
      <c r="C1901" s="6" t="s">
        <v>1362</v>
      </c>
      <c r="D1901" s="6" t="s">
        <v>1330</v>
      </c>
      <c r="E1901" s="6"/>
      <c r="F1901" s="6" t="s">
        <v>1891</v>
      </c>
      <c r="G1901" s="6" t="s">
        <v>4543</v>
      </c>
      <c r="H1901" s="6" t="s">
        <v>4544</v>
      </c>
      <c r="I1901" s="6" t="n">
        <v>28</v>
      </c>
      <c r="J1901" s="6"/>
      <c r="K1901" s="6" t="s">
        <v>4545</v>
      </c>
      <c r="L1901" s="7"/>
      <c r="M1901" s="7"/>
    </row>
    <row r="1902" customFormat="false" ht="35.05" hidden="false" customHeight="false" outlineLevel="0" collapsed="false">
      <c r="A1902" s="6" t="s">
        <v>2376</v>
      </c>
      <c r="B1902" s="6" t="s">
        <v>145</v>
      </c>
      <c r="C1902" s="6" t="s">
        <v>1362</v>
      </c>
      <c r="D1902" s="6" t="s">
        <v>1330</v>
      </c>
      <c r="E1902" s="6"/>
      <c r="F1902" s="6" t="s">
        <v>1891</v>
      </c>
      <c r="G1902" s="6" t="s">
        <v>4546</v>
      </c>
      <c r="H1902" s="6" t="s">
        <v>4547</v>
      </c>
      <c r="I1902" s="6" t="n">
        <v>46</v>
      </c>
      <c r="J1902" s="6"/>
      <c r="K1902" s="6" t="s">
        <v>4548</v>
      </c>
      <c r="L1902" s="7"/>
      <c r="M1902" s="7"/>
    </row>
    <row r="1903" customFormat="false" ht="23.85" hidden="false" customHeight="false" outlineLevel="0" collapsed="false">
      <c r="A1903" s="6" t="s">
        <v>2378</v>
      </c>
      <c r="B1903" s="6" t="s">
        <v>145</v>
      </c>
      <c r="C1903" s="6" t="s">
        <v>1362</v>
      </c>
      <c r="D1903" s="6" t="s">
        <v>1330</v>
      </c>
      <c r="E1903" s="6"/>
      <c r="F1903" s="6" t="s">
        <v>1894</v>
      </c>
      <c r="G1903" s="6" t="s">
        <v>4537</v>
      </c>
      <c r="H1903" s="6" t="s">
        <v>4587</v>
      </c>
      <c r="I1903" s="6" t="n">
        <v>98</v>
      </c>
      <c r="J1903" s="6" t="s">
        <v>83</v>
      </c>
      <c r="K1903" s="6" t="s">
        <v>4588</v>
      </c>
      <c r="L1903" s="7"/>
      <c r="M1903" s="7"/>
    </row>
    <row r="1904" customFormat="false" ht="23.85" hidden="false" customHeight="false" outlineLevel="0" collapsed="false">
      <c r="A1904" s="6" t="s">
        <v>2378</v>
      </c>
      <c r="B1904" s="6" t="s">
        <v>145</v>
      </c>
      <c r="C1904" s="6" t="s">
        <v>1362</v>
      </c>
      <c r="D1904" s="6" t="s">
        <v>1330</v>
      </c>
      <c r="E1904" s="6"/>
      <c r="F1904" s="6" t="s">
        <v>1894</v>
      </c>
      <c r="G1904" s="6" t="s">
        <v>4540</v>
      </c>
      <c r="H1904" s="6" t="s">
        <v>4541</v>
      </c>
      <c r="I1904" s="6" t="n">
        <v>38</v>
      </c>
      <c r="J1904" s="6"/>
      <c r="K1904" s="6" t="s">
        <v>4542</v>
      </c>
      <c r="L1904" s="7"/>
      <c r="M1904" s="7"/>
    </row>
    <row r="1905" customFormat="false" ht="23.85" hidden="false" customHeight="false" outlineLevel="0" collapsed="false">
      <c r="A1905" s="6" t="s">
        <v>2378</v>
      </c>
      <c r="B1905" s="6" t="s">
        <v>145</v>
      </c>
      <c r="C1905" s="6" t="s">
        <v>1362</v>
      </c>
      <c r="D1905" s="6" t="s">
        <v>1330</v>
      </c>
      <c r="E1905" s="6"/>
      <c r="F1905" s="6" t="s">
        <v>1894</v>
      </c>
      <c r="G1905" s="6" t="s">
        <v>4543</v>
      </c>
      <c r="H1905" s="6" t="s">
        <v>4544</v>
      </c>
      <c r="I1905" s="6" t="n">
        <v>28</v>
      </c>
      <c r="J1905" s="6"/>
      <c r="K1905" s="6" t="s">
        <v>4545</v>
      </c>
      <c r="L1905" s="7"/>
      <c r="M1905" s="7"/>
    </row>
    <row r="1906" customFormat="false" ht="35.05" hidden="false" customHeight="false" outlineLevel="0" collapsed="false">
      <c r="A1906" s="6" t="s">
        <v>2378</v>
      </c>
      <c r="B1906" s="6" t="s">
        <v>145</v>
      </c>
      <c r="C1906" s="6" t="s">
        <v>1362</v>
      </c>
      <c r="D1906" s="6" t="s">
        <v>1330</v>
      </c>
      <c r="E1906" s="6"/>
      <c r="F1906" s="6" t="s">
        <v>1894</v>
      </c>
      <c r="G1906" s="6" t="s">
        <v>4546</v>
      </c>
      <c r="H1906" s="6" t="s">
        <v>4547</v>
      </c>
      <c r="I1906" s="6" t="n">
        <v>46</v>
      </c>
      <c r="J1906" s="6"/>
      <c r="K1906" s="6" t="s">
        <v>4548</v>
      </c>
      <c r="L1906" s="7"/>
      <c r="M1906" s="7"/>
    </row>
    <row r="1907" customFormat="false" ht="23.85" hidden="false" customHeight="false" outlineLevel="0" collapsed="false">
      <c r="A1907" s="6" t="s">
        <v>2380</v>
      </c>
      <c r="B1907" s="6" t="s">
        <v>145</v>
      </c>
      <c r="C1907" s="6" t="s">
        <v>1362</v>
      </c>
      <c r="D1907" s="6" t="s">
        <v>1330</v>
      </c>
      <c r="E1907" s="6"/>
      <c r="F1907" s="6" t="s">
        <v>1897</v>
      </c>
      <c r="G1907" s="6" t="s">
        <v>4537</v>
      </c>
      <c r="H1907" s="6" t="s">
        <v>4587</v>
      </c>
      <c r="I1907" s="6" t="n">
        <v>98</v>
      </c>
      <c r="J1907" s="6" t="s">
        <v>83</v>
      </c>
      <c r="K1907" s="6" t="s">
        <v>4588</v>
      </c>
      <c r="L1907" s="7"/>
      <c r="M1907" s="7"/>
    </row>
    <row r="1908" customFormat="false" ht="23.85" hidden="false" customHeight="false" outlineLevel="0" collapsed="false">
      <c r="A1908" s="6" t="s">
        <v>2380</v>
      </c>
      <c r="B1908" s="6" t="s">
        <v>145</v>
      </c>
      <c r="C1908" s="6" t="s">
        <v>1362</v>
      </c>
      <c r="D1908" s="6" t="s">
        <v>1330</v>
      </c>
      <c r="E1908" s="6"/>
      <c r="F1908" s="6" t="s">
        <v>1897</v>
      </c>
      <c r="G1908" s="6" t="s">
        <v>4540</v>
      </c>
      <c r="H1908" s="6" t="s">
        <v>4541</v>
      </c>
      <c r="I1908" s="6" t="n">
        <v>38</v>
      </c>
      <c r="J1908" s="6"/>
      <c r="K1908" s="6" t="s">
        <v>4542</v>
      </c>
      <c r="L1908" s="7"/>
      <c r="M1908" s="7"/>
    </row>
    <row r="1909" customFormat="false" ht="23.85" hidden="false" customHeight="false" outlineLevel="0" collapsed="false">
      <c r="A1909" s="6" t="s">
        <v>2380</v>
      </c>
      <c r="B1909" s="6" t="s">
        <v>145</v>
      </c>
      <c r="C1909" s="6" t="s">
        <v>1362</v>
      </c>
      <c r="D1909" s="6" t="s">
        <v>1330</v>
      </c>
      <c r="E1909" s="6"/>
      <c r="F1909" s="6" t="s">
        <v>1897</v>
      </c>
      <c r="G1909" s="6" t="s">
        <v>4543</v>
      </c>
      <c r="H1909" s="6" t="s">
        <v>4544</v>
      </c>
      <c r="I1909" s="6" t="n">
        <v>28</v>
      </c>
      <c r="J1909" s="6"/>
      <c r="K1909" s="6" t="s">
        <v>4545</v>
      </c>
      <c r="L1909" s="7"/>
      <c r="M1909" s="7"/>
    </row>
    <row r="1910" customFormat="false" ht="35.05" hidden="false" customHeight="false" outlineLevel="0" collapsed="false">
      <c r="A1910" s="6" t="s">
        <v>2380</v>
      </c>
      <c r="B1910" s="6" t="s">
        <v>145</v>
      </c>
      <c r="C1910" s="6" t="s">
        <v>1362</v>
      </c>
      <c r="D1910" s="6" t="s">
        <v>1330</v>
      </c>
      <c r="E1910" s="6"/>
      <c r="F1910" s="6" t="s">
        <v>1897</v>
      </c>
      <c r="G1910" s="6" t="s">
        <v>4546</v>
      </c>
      <c r="H1910" s="6" t="s">
        <v>4547</v>
      </c>
      <c r="I1910" s="6" t="n">
        <v>46</v>
      </c>
      <c r="J1910" s="6"/>
      <c r="K1910" s="6" t="s">
        <v>4548</v>
      </c>
      <c r="L1910" s="7"/>
      <c r="M1910" s="7"/>
    </row>
    <row r="1911" customFormat="false" ht="23.85" hidden="false" customHeight="false" outlineLevel="0" collapsed="false">
      <c r="A1911" s="6" t="s">
        <v>2382</v>
      </c>
      <c r="B1911" s="6" t="s">
        <v>145</v>
      </c>
      <c r="C1911" s="6" t="s">
        <v>1362</v>
      </c>
      <c r="D1911" s="6" t="s">
        <v>1330</v>
      </c>
      <c r="E1911" s="6"/>
      <c r="F1911" s="6" t="s">
        <v>1900</v>
      </c>
      <c r="G1911" s="6" t="s">
        <v>4537</v>
      </c>
      <c r="H1911" s="6" t="s">
        <v>4587</v>
      </c>
      <c r="I1911" s="6" t="n">
        <v>98</v>
      </c>
      <c r="J1911" s="6" t="s">
        <v>83</v>
      </c>
      <c r="K1911" s="6" t="s">
        <v>4588</v>
      </c>
      <c r="L1911" s="7"/>
      <c r="M1911" s="7"/>
    </row>
    <row r="1912" customFormat="false" ht="23.85" hidden="false" customHeight="false" outlineLevel="0" collapsed="false">
      <c r="A1912" s="6" t="s">
        <v>2382</v>
      </c>
      <c r="B1912" s="6" t="s">
        <v>145</v>
      </c>
      <c r="C1912" s="6" t="s">
        <v>1362</v>
      </c>
      <c r="D1912" s="6" t="s">
        <v>1330</v>
      </c>
      <c r="E1912" s="6"/>
      <c r="F1912" s="6" t="s">
        <v>1900</v>
      </c>
      <c r="G1912" s="6" t="s">
        <v>4540</v>
      </c>
      <c r="H1912" s="6" t="s">
        <v>4541</v>
      </c>
      <c r="I1912" s="6" t="n">
        <v>38</v>
      </c>
      <c r="J1912" s="6"/>
      <c r="K1912" s="6" t="s">
        <v>4542</v>
      </c>
      <c r="L1912" s="7"/>
      <c r="M1912" s="7"/>
    </row>
    <row r="1913" customFormat="false" ht="23.85" hidden="false" customHeight="false" outlineLevel="0" collapsed="false">
      <c r="A1913" s="6" t="s">
        <v>2382</v>
      </c>
      <c r="B1913" s="6" t="s">
        <v>145</v>
      </c>
      <c r="C1913" s="6" t="s">
        <v>1362</v>
      </c>
      <c r="D1913" s="6" t="s">
        <v>1330</v>
      </c>
      <c r="E1913" s="6"/>
      <c r="F1913" s="6" t="s">
        <v>1900</v>
      </c>
      <c r="G1913" s="6" t="s">
        <v>4543</v>
      </c>
      <c r="H1913" s="6" t="s">
        <v>4544</v>
      </c>
      <c r="I1913" s="6" t="n">
        <v>28</v>
      </c>
      <c r="J1913" s="6"/>
      <c r="K1913" s="6" t="s">
        <v>4545</v>
      </c>
      <c r="L1913" s="7"/>
      <c r="M1913" s="7"/>
    </row>
    <row r="1914" customFormat="false" ht="35.05" hidden="false" customHeight="false" outlineLevel="0" collapsed="false">
      <c r="A1914" s="6" t="s">
        <v>2382</v>
      </c>
      <c r="B1914" s="6" t="s">
        <v>145</v>
      </c>
      <c r="C1914" s="6" t="s">
        <v>1362</v>
      </c>
      <c r="D1914" s="6" t="s">
        <v>1330</v>
      </c>
      <c r="E1914" s="6"/>
      <c r="F1914" s="6" t="s">
        <v>1900</v>
      </c>
      <c r="G1914" s="6" t="s">
        <v>4546</v>
      </c>
      <c r="H1914" s="6" t="s">
        <v>4547</v>
      </c>
      <c r="I1914" s="6" t="n">
        <v>46</v>
      </c>
      <c r="J1914" s="6"/>
      <c r="K1914" s="6" t="s">
        <v>4548</v>
      </c>
      <c r="L1914" s="7"/>
      <c r="M1914" s="7"/>
    </row>
    <row r="1915" customFormat="false" ht="23.85" hidden="false" customHeight="false" outlineLevel="0" collapsed="false">
      <c r="A1915" s="6" t="s">
        <v>2384</v>
      </c>
      <c r="B1915" s="6" t="s">
        <v>145</v>
      </c>
      <c r="C1915" s="6" t="s">
        <v>1362</v>
      </c>
      <c r="D1915" s="6" t="s">
        <v>1330</v>
      </c>
      <c r="E1915" s="6"/>
      <c r="F1915" s="6" t="s">
        <v>1903</v>
      </c>
      <c r="G1915" s="6" t="s">
        <v>4537</v>
      </c>
      <c r="H1915" s="6" t="s">
        <v>4587</v>
      </c>
      <c r="I1915" s="6" t="n">
        <v>98</v>
      </c>
      <c r="J1915" s="6" t="s">
        <v>83</v>
      </c>
      <c r="K1915" s="6" t="s">
        <v>4588</v>
      </c>
      <c r="L1915" s="7"/>
      <c r="M1915" s="7"/>
    </row>
    <row r="1916" customFormat="false" ht="23.85" hidden="false" customHeight="false" outlineLevel="0" collapsed="false">
      <c r="A1916" s="6" t="s">
        <v>2384</v>
      </c>
      <c r="B1916" s="6" t="s">
        <v>145</v>
      </c>
      <c r="C1916" s="6" t="s">
        <v>1362</v>
      </c>
      <c r="D1916" s="6" t="s">
        <v>1330</v>
      </c>
      <c r="E1916" s="6"/>
      <c r="F1916" s="6" t="s">
        <v>1903</v>
      </c>
      <c r="G1916" s="6" t="s">
        <v>4540</v>
      </c>
      <c r="H1916" s="6" t="s">
        <v>4541</v>
      </c>
      <c r="I1916" s="6" t="n">
        <v>38</v>
      </c>
      <c r="J1916" s="6"/>
      <c r="K1916" s="6" t="s">
        <v>4542</v>
      </c>
      <c r="L1916" s="7"/>
      <c r="M1916" s="7"/>
    </row>
    <row r="1917" customFormat="false" ht="23.85" hidden="false" customHeight="false" outlineLevel="0" collapsed="false">
      <c r="A1917" s="6" t="s">
        <v>2384</v>
      </c>
      <c r="B1917" s="6" t="s">
        <v>145</v>
      </c>
      <c r="C1917" s="6" t="s">
        <v>1362</v>
      </c>
      <c r="D1917" s="6" t="s">
        <v>1330</v>
      </c>
      <c r="E1917" s="6"/>
      <c r="F1917" s="6" t="s">
        <v>1903</v>
      </c>
      <c r="G1917" s="6" t="s">
        <v>4543</v>
      </c>
      <c r="H1917" s="6" t="s">
        <v>4544</v>
      </c>
      <c r="I1917" s="6" t="n">
        <v>28</v>
      </c>
      <c r="J1917" s="6"/>
      <c r="K1917" s="6" t="s">
        <v>4545</v>
      </c>
      <c r="L1917" s="7"/>
      <c r="M1917" s="7"/>
    </row>
    <row r="1918" customFormat="false" ht="35.05" hidden="false" customHeight="false" outlineLevel="0" collapsed="false">
      <c r="A1918" s="6" t="s">
        <v>2384</v>
      </c>
      <c r="B1918" s="6" t="s">
        <v>145</v>
      </c>
      <c r="C1918" s="6" t="s">
        <v>1362</v>
      </c>
      <c r="D1918" s="6" t="s">
        <v>1330</v>
      </c>
      <c r="E1918" s="6"/>
      <c r="F1918" s="6" t="s">
        <v>1903</v>
      </c>
      <c r="G1918" s="6" t="s">
        <v>4546</v>
      </c>
      <c r="H1918" s="6" t="s">
        <v>4547</v>
      </c>
      <c r="I1918" s="6" t="n">
        <v>46</v>
      </c>
      <c r="J1918" s="6"/>
      <c r="K1918" s="6" t="s">
        <v>4548</v>
      </c>
      <c r="L1918" s="7"/>
      <c r="M1918" s="7"/>
    </row>
    <row r="1919" customFormat="false" ht="23.85" hidden="false" customHeight="false" outlineLevel="0" collapsed="false">
      <c r="A1919" s="6" t="s">
        <v>2386</v>
      </c>
      <c r="B1919" s="6" t="s">
        <v>145</v>
      </c>
      <c r="C1919" s="6" t="s">
        <v>1362</v>
      </c>
      <c r="D1919" s="6" t="s">
        <v>1330</v>
      </c>
      <c r="E1919" s="6"/>
      <c r="F1919" s="6" t="s">
        <v>1906</v>
      </c>
      <c r="G1919" s="6" t="s">
        <v>4537</v>
      </c>
      <c r="H1919" s="6" t="s">
        <v>4587</v>
      </c>
      <c r="I1919" s="6" t="n">
        <v>98</v>
      </c>
      <c r="J1919" s="6" t="s">
        <v>83</v>
      </c>
      <c r="K1919" s="6" t="s">
        <v>4588</v>
      </c>
      <c r="L1919" s="7"/>
      <c r="M1919" s="7"/>
    </row>
    <row r="1920" customFormat="false" ht="23.85" hidden="false" customHeight="false" outlineLevel="0" collapsed="false">
      <c r="A1920" s="6" t="s">
        <v>2386</v>
      </c>
      <c r="B1920" s="6" t="s">
        <v>145</v>
      </c>
      <c r="C1920" s="6" t="s">
        <v>1362</v>
      </c>
      <c r="D1920" s="6" t="s">
        <v>1330</v>
      </c>
      <c r="E1920" s="6"/>
      <c r="F1920" s="6" t="s">
        <v>1906</v>
      </c>
      <c r="G1920" s="6" t="s">
        <v>4540</v>
      </c>
      <c r="H1920" s="6" t="s">
        <v>4541</v>
      </c>
      <c r="I1920" s="6" t="n">
        <v>38</v>
      </c>
      <c r="J1920" s="6"/>
      <c r="K1920" s="6" t="s">
        <v>4542</v>
      </c>
      <c r="L1920" s="7"/>
      <c r="M1920" s="7"/>
    </row>
    <row r="1921" customFormat="false" ht="23.85" hidden="false" customHeight="false" outlineLevel="0" collapsed="false">
      <c r="A1921" s="6" t="s">
        <v>2386</v>
      </c>
      <c r="B1921" s="6" t="s">
        <v>145</v>
      </c>
      <c r="C1921" s="6" t="s">
        <v>1362</v>
      </c>
      <c r="D1921" s="6" t="s">
        <v>1330</v>
      </c>
      <c r="E1921" s="6"/>
      <c r="F1921" s="6" t="s">
        <v>1906</v>
      </c>
      <c r="G1921" s="6" t="s">
        <v>4543</v>
      </c>
      <c r="H1921" s="6" t="s">
        <v>4544</v>
      </c>
      <c r="I1921" s="6" t="n">
        <v>28</v>
      </c>
      <c r="J1921" s="6"/>
      <c r="K1921" s="6" t="s">
        <v>4545</v>
      </c>
      <c r="L1921" s="7"/>
      <c r="M1921" s="7"/>
    </row>
    <row r="1922" customFormat="false" ht="35.05" hidden="false" customHeight="false" outlineLevel="0" collapsed="false">
      <c r="A1922" s="6" t="s">
        <v>2386</v>
      </c>
      <c r="B1922" s="6" t="s">
        <v>145</v>
      </c>
      <c r="C1922" s="6" t="s">
        <v>1362</v>
      </c>
      <c r="D1922" s="6" t="s">
        <v>1330</v>
      </c>
      <c r="E1922" s="6"/>
      <c r="F1922" s="6" t="s">
        <v>1906</v>
      </c>
      <c r="G1922" s="6" t="s">
        <v>4546</v>
      </c>
      <c r="H1922" s="6" t="s">
        <v>4547</v>
      </c>
      <c r="I1922" s="6" t="n">
        <v>46</v>
      </c>
      <c r="J1922" s="6"/>
      <c r="K1922" s="6" t="s">
        <v>4548</v>
      </c>
      <c r="L1922" s="7"/>
      <c r="M1922" s="7"/>
    </row>
    <row r="1923" customFormat="false" ht="23.85" hidden="false" customHeight="false" outlineLevel="0" collapsed="false">
      <c r="A1923" s="6" t="s">
        <v>2388</v>
      </c>
      <c r="B1923" s="6" t="s">
        <v>145</v>
      </c>
      <c r="C1923" s="6" t="s">
        <v>1362</v>
      </c>
      <c r="D1923" s="6" t="s">
        <v>1330</v>
      </c>
      <c r="E1923" s="6"/>
      <c r="F1923" s="6" t="s">
        <v>1909</v>
      </c>
      <c r="G1923" s="6" t="s">
        <v>4537</v>
      </c>
      <c r="H1923" s="6" t="s">
        <v>4587</v>
      </c>
      <c r="I1923" s="6" t="n">
        <v>98</v>
      </c>
      <c r="J1923" s="6" t="s">
        <v>83</v>
      </c>
      <c r="K1923" s="6" t="s">
        <v>4588</v>
      </c>
      <c r="L1923" s="7"/>
      <c r="M1923" s="7"/>
    </row>
    <row r="1924" customFormat="false" ht="23.85" hidden="false" customHeight="false" outlineLevel="0" collapsed="false">
      <c r="A1924" s="6" t="s">
        <v>2388</v>
      </c>
      <c r="B1924" s="6" t="s">
        <v>145</v>
      </c>
      <c r="C1924" s="6" t="s">
        <v>1362</v>
      </c>
      <c r="D1924" s="6" t="s">
        <v>1330</v>
      </c>
      <c r="E1924" s="6"/>
      <c r="F1924" s="6" t="s">
        <v>1909</v>
      </c>
      <c r="G1924" s="6" t="s">
        <v>4540</v>
      </c>
      <c r="H1924" s="6" t="s">
        <v>4541</v>
      </c>
      <c r="I1924" s="6" t="n">
        <v>38</v>
      </c>
      <c r="J1924" s="6"/>
      <c r="K1924" s="6" t="s">
        <v>4542</v>
      </c>
      <c r="L1924" s="7"/>
      <c r="M1924" s="7"/>
    </row>
    <row r="1925" customFormat="false" ht="23.85" hidden="false" customHeight="false" outlineLevel="0" collapsed="false">
      <c r="A1925" s="6" t="s">
        <v>2388</v>
      </c>
      <c r="B1925" s="6" t="s">
        <v>145</v>
      </c>
      <c r="C1925" s="6" t="s">
        <v>1362</v>
      </c>
      <c r="D1925" s="6" t="s">
        <v>1330</v>
      </c>
      <c r="E1925" s="6"/>
      <c r="F1925" s="6" t="s">
        <v>1909</v>
      </c>
      <c r="G1925" s="6" t="s">
        <v>4543</v>
      </c>
      <c r="H1925" s="6" t="s">
        <v>4544</v>
      </c>
      <c r="I1925" s="6" t="n">
        <v>28</v>
      </c>
      <c r="J1925" s="6"/>
      <c r="K1925" s="6" t="s">
        <v>4545</v>
      </c>
      <c r="L1925" s="7"/>
      <c r="M1925" s="7"/>
    </row>
    <row r="1926" customFormat="false" ht="35.05" hidden="false" customHeight="false" outlineLevel="0" collapsed="false">
      <c r="A1926" s="6" t="s">
        <v>2388</v>
      </c>
      <c r="B1926" s="6" t="s">
        <v>145</v>
      </c>
      <c r="C1926" s="6" t="s">
        <v>1362</v>
      </c>
      <c r="D1926" s="6" t="s">
        <v>1330</v>
      </c>
      <c r="E1926" s="6"/>
      <c r="F1926" s="6" t="s">
        <v>1909</v>
      </c>
      <c r="G1926" s="6" t="s">
        <v>4546</v>
      </c>
      <c r="H1926" s="6" t="s">
        <v>4547</v>
      </c>
      <c r="I1926" s="6" t="n">
        <v>46</v>
      </c>
      <c r="J1926" s="6"/>
      <c r="K1926" s="6" t="s">
        <v>4548</v>
      </c>
      <c r="L1926" s="7"/>
      <c r="M1926" s="7"/>
    </row>
    <row r="1927" customFormat="false" ht="23.85" hidden="false" customHeight="false" outlineLevel="0" collapsed="false">
      <c r="A1927" s="6" t="s">
        <v>2390</v>
      </c>
      <c r="B1927" s="6" t="s">
        <v>145</v>
      </c>
      <c r="C1927" s="6" t="s">
        <v>1362</v>
      </c>
      <c r="D1927" s="6" t="s">
        <v>1330</v>
      </c>
      <c r="E1927" s="6"/>
      <c r="F1927" s="6" t="s">
        <v>1879</v>
      </c>
      <c r="G1927" s="6" t="s">
        <v>4537</v>
      </c>
      <c r="H1927" s="6" t="s">
        <v>4589</v>
      </c>
      <c r="I1927" s="6" t="n">
        <v>98</v>
      </c>
      <c r="J1927" s="6" t="s">
        <v>83</v>
      </c>
      <c r="K1927" s="6" t="s">
        <v>4590</v>
      </c>
      <c r="L1927" s="7"/>
      <c r="M1927" s="7"/>
    </row>
    <row r="1928" customFormat="false" ht="23.85" hidden="false" customHeight="false" outlineLevel="0" collapsed="false">
      <c r="A1928" s="6" t="s">
        <v>2390</v>
      </c>
      <c r="B1928" s="6" t="s">
        <v>145</v>
      </c>
      <c r="C1928" s="6" t="s">
        <v>1362</v>
      </c>
      <c r="D1928" s="6" t="s">
        <v>1330</v>
      </c>
      <c r="E1928" s="6"/>
      <c r="F1928" s="6" t="s">
        <v>1879</v>
      </c>
      <c r="G1928" s="6" t="s">
        <v>4540</v>
      </c>
      <c r="H1928" s="6" t="s">
        <v>4541</v>
      </c>
      <c r="I1928" s="6" t="n">
        <v>38</v>
      </c>
      <c r="J1928" s="6"/>
      <c r="K1928" s="6" t="s">
        <v>4542</v>
      </c>
      <c r="L1928" s="7"/>
      <c r="M1928" s="7"/>
    </row>
    <row r="1929" customFormat="false" ht="23.85" hidden="false" customHeight="false" outlineLevel="0" collapsed="false">
      <c r="A1929" s="6" t="s">
        <v>2390</v>
      </c>
      <c r="B1929" s="6" t="s">
        <v>145</v>
      </c>
      <c r="C1929" s="6" t="s">
        <v>1362</v>
      </c>
      <c r="D1929" s="6" t="s">
        <v>1330</v>
      </c>
      <c r="E1929" s="6"/>
      <c r="F1929" s="6" t="s">
        <v>1879</v>
      </c>
      <c r="G1929" s="6" t="s">
        <v>4543</v>
      </c>
      <c r="H1929" s="6" t="s">
        <v>4544</v>
      </c>
      <c r="I1929" s="6" t="n">
        <v>28</v>
      </c>
      <c r="J1929" s="6"/>
      <c r="K1929" s="6" t="s">
        <v>4545</v>
      </c>
      <c r="L1929" s="7"/>
      <c r="M1929" s="7"/>
    </row>
    <row r="1930" customFormat="false" ht="35.05" hidden="false" customHeight="false" outlineLevel="0" collapsed="false">
      <c r="A1930" s="6" t="s">
        <v>2390</v>
      </c>
      <c r="B1930" s="6" t="s">
        <v>145</v>
      </c>
      <c r="C1930" s="6" t="s">
        <v>1362</v>
      </c>
      <c r="D1930" s="6" t="s">
        <v>1330</v>
      </c>
      <c r="E1930" s="6"/>
      <c r="F1930" s="6" t="s">
        <v>1879</v>
      </c>
      <c r="G1930" s="6" t="s">
        <v>4546</v>
      </c>
      <c r="H1930" s="6" t="s">
        <v>4547</v>
      </c>
      <c r="I1930" s="6" t="n">
        <v>46</v>
      </c>
      <c r="J1930" s="6"/>
      <c r="K1930" s="6" t="s">
        <v>4548</v>
      </c>
      <c r="L1930" s="7"/>
      <c r="M1930" s="7"/>
    </row>
    <row r="1931" customFormat="false" ht="23.85" hidden="false" customHeight="false" outlineLevel="0" collapsed="false">
      <c r="A1931" s="6" t="s">
        <v>2396</v>
      </c>
      <c r="B1931" s="6" t="s">
        <v>145</v>
      </c>
      <c r="C1931" s="6" t="s">
        <v>1362</v>
      </c>
      <c r="D1931" s="6" t="s">
        <v>1330</v>
      </c>
      <c r="E1931" s="6"/>
      <c r="F1931" s="6" t="s">
        <v>1885</v>
      </c>
      <c r="G1931" s="6" t="s">
        <v>4537</v>
      </c>
      <c r="H1931" s="6" t="s">
        <v>4589</v>
      </c>
      <c r="I1931" s="6" t="n">
        <v>98</v>
      </c>
      <c r="J1931" s="6" t="s">
        <v>83</v>
      </c>
      <c r="K1931" s="6" t="s">
        <v>4590</v>
      </c>
      <c r="L1931" s="7"/>
      <c r="M1931" s="7"/>
    </row>
    <row r="1932" customFormat="false" ht="23.85" hidden="false" customHeight="false" outlineLevel="0" collapsed="false">
      <c r="A1932" s="6" t="s">
        <v>2396</v>
      </c>
      <c r="B1932" s="6" t="s">
        <v>145</v>
      </c>
      <c r="C1932" s="6" t="s">
        <v>1362</v>
      </c>
      <c r="D1932" s="6" t="s">
        <v>1330</v>
      </c>
      <c r="E1932" s="6"/>
      <c r="F1932" s="6" t="s">
        <v>1885</v>
      </c>
      <c r="G1932" s="6" t="s">
        <v>4540</v>
      </c>
      <c r="H1932" s="6" t="s">
        <v>4541</v>
      </c>
      <c r="I1932" s="6" t="n">
        <v>38</v>
      </c>
      <c r="J1932" s="6"/>
      <c r="K1932" s="6" t="s">
        <v>4542</v>
      </c>
      <c r="L1932" s="7"/>
      <c r="M1932" s="7"/>
    </row>
    <row r="1933" customFormat="false" ht="23.85" hidden="false" customHeight="false" outlineLevel="0" collapsed="false">
      <c r="A1933" s="6" t="s">
        <v>2396</v>
      </c>
      <c r="B1933" s="6" t="s">
        <v>145</v>
      </c>
      <c r="C1933" s="6" t="s">
        <v>1362</v>
      </c>
      <c r="D1933" s="6" t="s">
        <v>1330</v>
      </c>
      <c r="E1933" s="6"/>
      <c r="F1933" s="6" t="s">
        <v>1885</v>
      </c>
      <c r="G1933" s="6" t="s">
        <v>4543</v>
      </c>
      <c r="H1933" s="6" t="s">
        <v>4544</v>
      </c>
      <c r="I1933" s="6" t="n">
        <v>28</v>
      </c>
      <c r="J1933" s="6"/>
      <c r="K1933" s="6" t="s">
        <v>4545</v>
      </c>
      <c r="L1933" s="7"/>
      <c r="M1933" s="7"/>
    </row>
    <row r="1934" customFormat="false" ht="35.05" hidden="false" customHeight="false" outlineLevel="0" collapsed="false">
      <c r="A1934" s="6" t="s">
        <v>2396</v>
      </c>
      <c r="B1934" s="6" t="s">
        <v>145</v>
      </c>
      <c r="C1934" s="6" t="s">
        <v>1362</v>
      </c>
      <c r="D1934" s="6" t="s">
        <v>1330</v>
      </c>
      <c r="E1934" s="6"/>
      <c r="F1934" s="6" t="s">
        <v>1885</v>
      </c>
      <c r="G1934" s="6" t="s">
        <v>4546</v>
      </c>
      <c r="H1934" s="6" t="s">
        <v>4547</v>
      </c>
      <c r="I1934" s="6" t="n">
        <v>46</v>
      </c>
      <c r="J1934" s="6"/>
      <c r="K1934" s="6" t="s">
        <v>4548</v>
      </c>
      <c r="L1934" s="7"/>
      <c r="M1934" s="7"/>
    </row>
    <row r="1935" customFormat="false" ht="23.85" hidden="false" customHeight="false" outlineLevel="0" collapsed="false">
      <c r="A1935" s="6" t="s">
        <v>2398</v>
      </c>
      <c r="B1935" s="6" t="s">
        <v>145</v>
      </c>
      <c r="C1935" s="6" t="s">
        <v>1362</v>
      </c>
      <c r="D1935" s="6" t="s">
        <v>1330</v>
      </c>
      <c r="E1935" s="6"/>
      <c r="F1935" s="6" t="s">
        <v>1888</v>
      </c>
      <c r="G1935" s="6" t="s">
        <v>4537</v>
      </c>
      <c r="H1935" s="6" t="s">
        <v>4589</v>
      </c>
      <c r="I1935" s="6" t="n">
        <v>98</v>
      </c>
      <c r="J1935" s="6" t="s">
        <v>83</v>
      </c>
      <c r="K1935" s="6" t="s">
        <v>4590</v>
      </c>
      <c r="L1935" s="7"/>
      <c r="M1935" s="7"/>
    </row>
    <row r="1936" customFormat="false" ht="23.85" hidden="false" customHeight="false" outlineLevel="0" collapsed="false">
      <c r="A1936" s="6" t="s">
        <v>2398</v>
      </c>
      <c r="B1936" s="6" t="s">
        <v>145</v>
      </c>
      <c r="C1936" s="6" t="s">
        <v>1362</v>
      </c>
      <c r="D1936" s="6" t="s">
        <v>1330</v>
      </c>
      <c r="E1936" s="6"/>
      <c r="F1936" s="6" t="s">
        <v>1888</v>
      </c>
      <c r="G1936" s="6" t="s">
        <v>4540</v>
      </c>
      <c r="H1936" s="6" t="s">
        <v>4541</v>
      </c>
      <c r="I1936" s="6" t="n">
        <v>38</v>
      </c>
      <c r="J1936" s="6"/>
      <c r="K1936" s="6" t="s">
        <v>4542</v>
      </c>
      <c r="L1936" s="7"/>
      <c r="M1936" s="7"/>
    </row>
    <row r="1937" customFormat="false" ht="23.85" hidden="false" customHeight="false" outlineLevel="0" collapsed="false">
      <c r="A1937" s="6" t="s">
        <v>2398</v>
      </c>
      <c r="B1937" s="6" t="s">
        <v>145</v>
      </c>
      <c r="C1937" s="6" t="s">
        <v>1362</v>
      </c>
      <c r="D1937" s="6" t="s">
        <v>1330</v>
      </c>
      <c r="E1937" s="6"/>
      <c r="F1937" s="6" t="s">
        <v>1888</v>
      </c>
      <c r="G1937" s="6" t="s">
        <v>4543</v>
      </c>
      <c r="H1937" s="6" t="s">
        <v>4544</v>
      </c>
      <c r="I1937" s="6" t="n">
        <v>28</v>
      </c>
      <c r="J1937" s="6"/>
      <c r="K1937" s="6" t="s">
        <v>4545</v>
      </c>
      <c r="L1937" s="7"/>
      <c r="M1937" s="7"/>
    </row>
    <row r="1938" customFormat="false" ht="35.05" hidden="false" customHeight="false" outlineLevel="0" collapsed="false">
      <c r="A1938" s="6" t="s">
        <v>2398</v>
      </c>
      <c r="B1938" s="6" t="s">
        <v>145</v>
      </c>
      <c r="C1938" s="6" t="s">
        <v>1362</v>
      </c>
      <c r="D1938" s="6" t="s">
        <v>1330</v>
      </c>
      <c r="E1938" s="6"/>
      <c r="F1938" s="6" t="s">
        <v>1888</v>
      </c>
      <c r="G1938" s="6" t="s">
        <v>4546</v>
      </c>
      <c r="H1938" s="6" t="s">
        <v>4547</v>
      </c>
      <c r="I1938" s="6" t="n">
        <v>46</v>
      </c>
      <c r="J1938" s="6"/>
      <c r="K1938" s="6" t="s">
        <v>4548</v>
      </c>
      <c r="L1938" s="7"/>
      <c r="M1938" s="7"/>
    </row>
    <row r="1939" customFormat="false" ht="23.85" hidden="false" customHeight="false" outlineLevel="0" collapsed="false">
      <c r="A1939" s="6" t="s">
        <v>2400</v>
      </c>
      <c r="B1939" s="6" t="s">
        <v>145</v>
      </c>
      <c r="C1939" s="6" t="s">
        <v>1362</v>
      </c>
      <c r="D1939" s="6" t="s">
        <v>1330</v>
      </c>
      <c r="E1939" s="6"/>
      <c r="F1939" s="6" t="s">
        <v>1891</v>
      </c>
      <c r="G1939" s="6" t="s">
        <v>4537</v>
      </c>
      <c r="H1939" s="6" t="s">
        <v>4589</v>
      </c>
      <c r="I1939" s="6" t="n">
        <v>98</v>
      </c>
      <c r="J1939" s="6" t="s">
        <v>83</v>
      </c>
      <c r="K1939" s="6" t="s">
        <v>4590</v>
      </c>
      <c r="L1939" s="7"/>
      <c r="M1939" s="7"/>
    </row>
    <row r="1940" customFormat="false" ht="23.85" hidden="false" customHeight="false" outlineLevel="0" collapsed="false">
      <c r="A1940" s="6" t="s">
        <v>2400</v>
      </c>
      <c r="B1940" s="6" t="s">
        <v>145</v>
      </c>
      <c r="C1940" s="6" t="s">
        <v>1362</v>
      </c>
      <c r="D1940" s="6" t="s">
        <v>1330</v>
      </c>
      <c r="E1940" s="6"/>
      <c r="F1940" s="6" t="s">
        <v>1891</v>
      </c>
      <c r="G1940" s="6" t="s">
        <v>4540</v>
      </c>
      <c r="H1940" s="6" t="s">
        <v>4541</v>
      </c>
      <c r="I1940" s="6" t="n">
        <v>38</v>
      </c>
      <c r="J1940" s="6"/>
      <c r="K1940" s="6" t="s">
        <v>4542</v>
      </c>
      <c r="L1940" s="7"/>
      <c r="M1940" s="7"/>
    </row>
    <row r="1941" customFormat="false" ht="23.85" hidden="false" customHeight="false" outlineLevel="0" collapsed="false">
      <c r="A1941" s="6" t="s">
        <v>2400</v>
      </c>
      <c r="B1941" s="6" t="s">
        <v>145</v>
      </c>
      <c r="C1941" s="6" t="s">
        <v>1362</v>
      </c>
      <c r="D1941" s="6" t="s">
        <v>1330</v>
      </c>
      <c r="E1941" s="6"/>
      <c r="F1941" s="6" t="s">
        <v>1891</v>
      </c>
      <c r="G1941" s="6" t="s">
        <v>4543</v>
      </c>
      <c r="H1941" s="6" t="s">
        <v>4544</v>
      </c>
      <c r="I1941" s="6" t="n">
        <v>28</v>
      </c>
      <c r="J1941" s="6"/>
      <c r="K1941" s="6" t="s">
        <v>4545</v>
      </c>
      <c r="L1941" s="7"/>
      <c r="M1941" s="7"/>
    </row>
    <row r="1942" customFormat="false" ht="35.05" hidden="false" customHeight="false" outlineLevel="0" collapsed="false">
      <c r="A1942" s="6" t="s">
        <v>2400</v>
      </c>
      <c r="B1942" s="6" t="s">
        <v>145</v>
      </c>
      <c r="C1942" s="6" t="s">
        <v>1362</v>
      </c>
      <c r="D1942" s="6" t="s">
        <v>1330</v>
      </c>
      <c r="E1942" s="6"/>
      <c r="F1942" s="6" t="s">
        <v>1891</v>
      </c>
      <c r="G1942" s="6" t="s">
        <v>4546</v>
      </c>
      <c r="H1942" s="6" t="s">
        <v>4547</v>
      </c>
      <c r="I1942" s="6" t="n">
        <v>46</v>
      </c>
      <c r="J1942" s="6"/>
      <c r="K1942" s="6" t="s">
        <v>4548</v>
      </c>
      <c r="L1942" s="7"/>
      <c r="M1942" s="7"/>
    </row>
    <row r="1943" customFormat="false" ht="23.85" hidden="false" customHeight="false" outlineLevel="0" collapsed="false">
      <c r="A1943" s="6" t="s">
        <v>2402</v>
      </c>
      <c r="B1943" s="6" t="s">
        <v>145</v>
      </c>
      <c r="C1943" s="6" t="s">
        <v>1362</v>
      </c>
      <c r="D1943" s="6" t="s">
        <v>1330</v>
      </c>
      <c r="E1943" s="6"/>
      <c r="F1943" s="6" t="s">
        <v>1894</v>
      </c>
      <c r="G1943" s="6" t="s">
        <v>4537</v>
      </c>
      <c r="H1943" s="6" t="s">
        <v>4589</v>
      </c>
      <c r="I1943" s="6" t="n">
        <v>98</v>
      </c>
      <c r="J1943" s="6" t="s">
        <v>83</v>
      </c>
      <c r="K1943" s="6" t="s">
        <v>4590</v>
      </c>
      <c r="L1943" s="7"/>
      <c r="M1943" s="7"/>
    </row>
    <row r="1944" customFormat="false" ht="23.85" hidden="false" customHeight="false" outlineLevel="0" collapsed="false">
      <c r="A1944" s="6" t="s">
        <v>2402</v>
      </c>
      <c r="B1944" s="6" t="s">
        <v>145</v>
      </c>
      <c r="C1944" s="6" t="s">
        <v>1362</v>
      </c>
      <c r="D1944" s="6" t="s">
        <v>1330</v>
      </c>
      <c r="E1944" s="6"/>
      <c r="F1944" s="6" t="s">
        <v>1894</v>
      </c>
      <c r="G1944" s="6" t="s">
        <v>4540</v>
      </c>
      <c r="H1944" s="6" t="s">
        <v>4541</v>
      </c>
      <c r="I1944" s="6" t="n">
        <v>38</v>
      </c>
      <c r="J1944" s="6"/>
      <c r="K1944" s="6" t="s">
        <v>4542</v>
      </c>
      <c r="L1944" s="7"/>
      <c r="M1944" s="7"/>
    </row>
    <row r="1945" customFormat="false" ht="23.85" hidden="false" customHeight="false" outlineLevel="0" collapsed="false">
      <c r="A1945" s="6" t="s">
        <v>2402</v>
      </c>
      <c r="B1945" s="6" t="s">
        <v>145</v>
      </c>
      <c r="C1945" s="6" t="s">
        <v>1362</v>
      </c>
      <c r="D1945" s="6" t="s">
        <v>1330</v>
      </c>
      <c r="E1945" s="6"/>
      <c r="F1945" s="6" t="s">
        <v>1894</v>
      </c>
      <c r="G1945" s="6" t="s">
        <v>4543</v>
      </c>
      <c r="H1945" s="6" t="s">
        <v>4544</v>
      </c>
      <c r="I1945" s="6" t="n">
        <v>28</v>
      </c>
      <c r="J1945" s="6"/>
      <c r="K1945" s="6" t="s">
        <v>4545</v>
      </c>
      <c r="L1945" s="7"/>
      <c r="M1945" s="7"/>
    </row>
    <row r="1946" customFormat="false" ht="35.05" hidden="false" customHeight="false" outlineLevel="0" collapsed="false">
      <c r="A1946" s="6" t="s">
        <v>2402</v>
      </c>
      <c r="B1946" s="6" t="s">
        <v>145</v>
      </c>
      <c r="C1946" s="6" t="s">
        <v>1362</v>
      </c>
      <c r="D1946" s="6" t="s">
        <v>1330</v>
      </c>
      <c r="E1946" s="6"/>
      <c r="F1946" s="6" t="s">
        <v>1894</v>
      </c>
      <c r="G1946" s="6" t="s">
        <v>4546</v>
      </c>
      <c r="H1946" s="6" t="s">
        <v>4547</v>
      </c>
      <c r="I1946" s="6" t="n">
        <v>46</v>
      </c>
      <c r="J1946" s="6"/>
      <c r="K1946" s="6" t="s">
        <v>4548</v>
      </c>
      <c r="L1946" s="7"/>
      <c r="M1946" s="7"/>
    </row>
    <row r="1947" customFormat="false" ht="23.85" hidden="false" customHeight="false" outlineLevel="0" collapsed="false">
      <c r="A1947" s="6" t="s">
        <v>2404</v>
      </c>
      <c r="B1947" s="6" t="s">
        <v>145</v>
      </c>
      <c r="C1947" s="6" t="s">
        <v>1362</v>
      </c>
      <c r="D1947" s="6" t="s">
        <v>1330</v>
      </c>
      <c r="E1947" s="6"/>
      <c r="F1947" s="6" t="s">
        <v>1897</v>
      </c>
      <c r="G1947" s="6" t="s">
        <v>4537</v>
      </c>
      <c r="H1947" s="6" t="s">
        <v>4589</v>
      </c>
      <c r="I1947" s="6" t="n">
        <v>98</v>
      </c>
      <c r="J1947" s="6" t="s">
        <v>83</v>
      </c>
      <c r="K1947" s="6" t="s">
        <v>4590</v>
      </c>
      <c r="L1947" s="7"/>
      <c r="M1947" s="7"/>
    </row>
    <row r="1948" customFormat="false" ht="23.85" hidden="false" customHeight="false" outlineLevel="0" collapsed="false">
      <c r="A1948" s="6" t="s">
        <v>2404</v>
      </c>
      <c r="B1948" s="6" t="s">
        <v>145</v>
      </c>
      <c r="C1948" s="6" t="s">
        <v>1362</v>
      </c>
      <c r="D1948" s="6" t="s">
        <v>1330</v>
      </c>
      <c r="E1948" s="6"/>
      <c r="F1948" s="6" t="s">
        <v>1897</v>
      </c>
      <c r="G1948" s="6" t="s">
        <v>4540</v>
      </c>
      <c r="H1948" s="6" t="s">
        <v>4541</v>
      </c>
      <c r="I1948" s="6" t="n">
        <v>38</v>
      </c>
      <c r="J1948" s="6"/>
      <c r="K1948" s="6" t="s">
        <v>4542</v>
      </c>
      <c r="L1948" s="7"/>
      <c r="M1948" s="7"/>
    </row>
    <row r="1949" customFormat="false" ht="23.85" hidden="false" customHeight="false" outlineLevel="0" collapsed="false">
      <c r="A1949" s="6" t="s">
        <v>2404</v>
      </c>
      <c r="B1949" s="6" t="s">
        <v>145</v>
      </c>
      <c r="C1949" s="6" t="s">
        <v>1362</v>
      </c>
      <c r="D1949" s="6" t="s">
        <v>1330</v>
      </c>
      <c r="E1949" s="6"/>
      <c r="F1949" s="6" t="s">
        <v>1897</v>
      </c>
      <c r="G1949" s="6" t="s">
        <v>4543</v>
      </c>
      <c r="H1949" s="6" t="s">
        <v>4544</v>
      </c>
      <c r="I1949" s="6" t="n">
        <v>28</v>
      </c>
      <c r="J1949" s="6"/>
      <c r="K1949" s="6" t="s">
        <v>4545</v>
      </c>
      <c r="L1949" s="7"/>
      <c r="M1949" s="7"/>
    </row>
    <row r="1950" customFormat="false" ht="35.05" hidden="false" customHeight="false" outlineLevel="0" collapsed="false">
      <c r="A1950" s="6" t="s">
        <v>2404</v>
      </c>
      <c r="B1950" s="6" t="s">
        <v>145</v>
      </c>
      <c r="C1950" s="6" t="s">
        <v>1362</v>
      </c>
      <c r="D1950" s="6" t="s">
        <v>1330</v>
      </c>
      <c r="E1950" s="6"/>
      <c r="F1950" s="6" t="s">
        <v>1897</v>
      </c>
      <c r="G1950" s="6" t="s">
        <v>4546</v>
      </c>
      <c r="H1950" s="6" t="s">
        <v>4547</v>
      </c>
      <c r="I1950" s="6" t="n">
        <v>46</v>
      </c>
      <c r="J1950" s="6"/>
      <c r="K1950" s="6" t="s">
        <v>4548</v>
      </c>
      <c r="L1950" s="7"/>
      <c r="M1950" s="7"/>
    </row>
    <row r="1951" customFormat="false" ht="23.85" hidden="false" customHeight="false" outlineLevel="0" collapsed="false">
      <c r="A1951" s="6" t="s">
        <v>2406</v>
      </c>
      <c r="B1951" s="6" t="s">
        <v>145</v>
      </c>
      <c r="C1951" s="6" t="s">
        <v>1362</v>
      </c>
      <c r="D1951" s="6" t="s">
        <v>1330</v>
      </c>
      <c r="E1951" s="6"/>
      <c r="F1951" s="6" t="s">
        <v>1900</v>
      </c>
      <c r="G1951" s="6" t="s">
        <v>4537</v>
      </c>
      <c r="H1951" s="6" t="s">
        <v>4589</v>
      </c>
      <c r="I1951" s="6" t="n">
        <v>98</v>
      </c>
      <c r="J1951" s="6" t="s">
        <v>83</v>
      </c>
      <c r="K1951" s="6" t="s">
        <v>4590</v>
      </c>
      <c r="L1951" s="7"/>
      <c r="M1951" s="7"/>
    </row>
    <row r="1952" customFormat="false" ht="23.85" hidden="false" customHeight="false" outlineLevel="0" collapsed="false">
      <c r="A1952" s="6" t="s">
        <v>2406</v>
      </c>
      <c r="B1952" s="6" t="s">
        <v>145</v>
      </c>
      <c r="C1952" s="6" t="s">
        <v>1362</v>
      </c>
      <c r="D1952" s="6" t="s">
        <v>1330</v>
      </c>
      <c r="E1952" s="6"/>
      <c r="F1952" s="6" t="s">
        <v>1900</v>
      </c>
      <c r="G1952" s="6" t="s">
        <v>4540</v>
      </c>
      <c r="H1952" s="6" t="s">
        <v>4541</v>
      </c>
      <c r="I1952" s="6" t="n">
        <v>38</v>
      </c>
      <c r="J1952" s="6"/>
      <c r="K1952" s="6" t="s">
        <v>4542</v>
      </c>
      <c r="L1952" s="7"/>
      <c r="M1952" s="7"/>
    </row>
    <row r="1953" customFormat="false" ht="23.85" hidden="false" customHeight="false" outlineLevel="0" collapsed="false">
      <c r="A1953" s="6" t="s">
        <v>2406</v>
      </c>
      <c r="B1953" s="6" t="s">
        <v>145</v>
      </c>
      <c r="C1953" s="6" t="s">
        <v>1362</v>
      </c>
      <c r="D1953" s="6" t="s">
        <v>1330</v>
      </c>
      <c r="E1953" s="6"/>
      <c r="F1953" s="6" t="s">
        <v>1900</v>
      </c>
      <c r="G1953" s="6" t="s">
        <v>4543</v>
      </c>
      <c r="H1953" s="6" t="s">
        <v>4544</v>
      </c>
      <c r="I1953" s="6" t="n">
        <v>28</v>
      </c>
      <c r="J1953" s="6"/>
      <c r="K1953" s="6" t="s">
        <v>4545</v>
      </c>
      <c r="L1953" s="7"/>
      <c r="M1953" s="7"/>
    </row>
    <row r="1954" customFormat="false" ht="35.05" hidden="false" customHeight="false" outlineLevel="0" collapsed="false">
      <c r="A1954" s="6" t="s">
        <v>2406</v>
      </c>
      <c r="B1954" s="6" t="s">
        <v>145</v>
      </c>
      <c r="C1954" s="6" t="s">
        <v>1362</v>
      </c>
      <c r="D1954" s="6" t="s">
        <v>1330</v>
      </c>
      <c r="E1954" s="6"/>
      <c r="F1954" s="6" t="s">
        <v>1900</v>
      </c>
      <c r="G1954" s="6" t="s">
        <v>4546</v>
      </c>
      <c r="H1954" s="6" t="s">
        <v>4547</v>
      </c>
      <c r="I1954" s="6" t="n">
        <v>46</v>
      </c>
      <c r="J1954" s="6"/>
      <c r="K1954" s="6" t="s">
        <v>4548</v>
      </c>
      <c r="L1954" s="7"/>
      <c r="M1954" s="7"/>
    </row>
    <row r="1955" customFormat="false" ht="23.85" hidden="false" customHeight="false" outlineLevel="0" collapsed="false">
      <c r="A1955" s="6" t="s">
        <v>2408</v>
      </c>
      <c r="B1955" s="6" t="s">
        <v>145</v>
      </c>
      <c r="C1955" s="6" t="s">
        <v>1362</v>
      </c>
      <c r="D1955" s="6" t="s">
        <v>1330</v>
      </c>
      <c r="E1955" s="6"/>
      <c r="F1955" s="6" t="s">
        <v>1903</v>
      </c>
      <c r="G1955" s="6" t="s">
        <v>4537</v>
      </c>
      <c r="H1955" s="6" t="s">
        <v>4589</v>
      </c>
      <c r="I1955" s="6" t="n">
        <v>98</v>
      </c>
      <c r="J1955" s="6" t="s">
        <v>83</v>
      </c>
      <c r="K1955" s="6" t="s">
        <v>4590</v>
      </c>
      <c r="L1955" s="7"/>
      <c r="M1955" s="7"/>
    </row>
    <row r="1956" customFormat="false" ht="23.85" hidden="false" customHeight="false" outlineLevel="0" collapsed="false">
      <c r="A1956" s="6" t="s">
        <v>2408</v>
      </c>
      <c r="B1956" s="6" t="s">
        <v>145</v>
      </c>
      <c r="C1956" s="6" t="s">
        <v>1362</v>
      </c>
      <c r="D1956" s="6" t="s">
        <v>1330</v>
      </c>
      <c r="E1956" s="6"/>
      <c r="F1956" s="6" t="s">
        <v>1903</v>
      </c>
      <c r="G1956" s="6" t="s">
        <v>4540</v>
      </c>
      <c r="H1956" s="6" t="s">
        <v>4541</v>
      </c>
      <c r="I1956" s="6" t="n">
        <v>38</v>
      </c>
      <c r="J1956" s="6"/>
      <c r="K1956" s="6" t="s">
        <v>4542</v>
      </c>
      <c r="L1956" s="7"/>
      <c r="M1956" s="7"/>
    </row>
    <row r="1957" customFormat="false" ht="23.85" hidden="false" customHeight="false" outlineLevel="0" collapsed="false">
      <c r="A1957" s="6" t="s">
        <v>2408</v>
      </c>
      <c r="B1957" s="6" t="s">
        <v>145</v>
      </c>
      <c r="C1957" s="6" t="s">
        <v>1362</v>
      </c>
      <c r="D1957" s="6" t="s">
        <v>1330</v>
      </c>
      <c r="E1957" s="6"/>
      <c r="F1957" s="6" t="s">
        <v>1903</v>
      </c>
      <c r="G1957" s="6" t="s">
        <v>4543</v>
      </c>
      <c r="H1957" s="6" t="s">
        <v>4544</v>
      </c>
      <c r="I1957" s="6" t="n">
        <v>28</v>
      </c>
      <c r="J1957" s="6"/>
      <c r="K1957" s="6" t="s">
        <v>4545</v>
      </c>
      <c r="L1957" s="7"/>
      <c r="M1957" s="7"/>
    </row>
    <row r="1958" customFormat="false" ht="35.05" hidden="false" customHeight="false" outlineLevel="0" collapsed="false">
      <c r="A1958" s="6" t="s">
        <v>2408</v>
      </c>
      <c r="B1958" s="6" t="s">
        <v>145</v>
      </c>
      <c r="C1958" s="6" t="s">
        <v>1362</v>
      </c>
      <c r="D1958" s="6" t="s">
        <v>1330</v>
      </c>
      <c r="E1958" s="6"/>
      <c r="F1958" s="6" t="s">
        <v>1903</v>
      </c>
      <c r="G1958" s="6" t="s">
        <v>4546</v>
      </c>
      <c r="H1958" s="6" t="s">
        <v>4547</v>
      </c>
      <c r="I1958" s="6" t="n">
        <v>46</v>
      </c>
      <c r="J1958" s="6"/>
      <c r="K1958" s="6" t="s">
        <v>4548</v>
      </c>
      <c r="L1958" s="7"/>
      <c r="M1958" s="7"/>
    </row>
    <row r="1959" customFormat="false" ht="23.85" hidden="false" customHeight="false" outlineLevel="0" collapsed="false">
      <c r="A1959" s="6" t="s">
        <v>2410</v>
      </c>
      <c r="B1959" s="6" t="s">
        <v>145</v>
      </c>
      <c r="C1959" s="6" t="s">
        <v>1362</v>
      </c>
      <c r="D1959" s="6" t="s">
        <v>1330</v>
      </c>
      <c r="E1959" s="6"/>
      <c r="F1959" s="6" t="s">
        <v>1906</v>
      </c>
      <c r="G1959" s="6" t="s">
        <v>4537</v>
      </c>
      <c r="H1959" s="6" t="s">
        <v>4589</v>
      </c>
      <c r="I1959" s="6" t="n">
        <v>98</v>
      </c>
      <c r="J1959" s="6" t="s">
        <v>83</v>
      </c>
      <c r="K1959" s="6" t="s">
        <v>4590</v>
      </c>
      <c r="L1959" s="7"/>
      <c r="M1959" s="7"/>
    </row>
    <row r="1960" customFormat="false" ht="23.85" hidden="false" customHeight="false" outlineLevel="0" collapsed="false">
      <c r="A1960" s="6" t="s">
        <v>2410</v>
      </c>
      <c r="B1960" s="6" t="s">
        <v>145</v>
      </c>
      <c r="C1960" s="6" t="s">
        <v>1362</v>
      </c>
      <c r="D1960" s="6" t="s">
        <v>1330</v>
      </c>
      <c r="E1960" s="6"/>
      <c r="F1960" s="6" t="s">
        <v>1906</v>
      </c>
      <c r="G1960" s="6" t="s">
        <v>4540</v>
      </c>
      <c r="H1960" s="6" t="s">
        <v>4541</v>
      </c>
      <c r="I1960" s="6" t="n">
        <v>38</v>
      </c>
      <c r="J1960" s="6"/>
      <c r="K1960" s="6" t="s">
        <v>4542</v>
      </c>
      <c r="L1960" s="7"/>
      <c r="M1960" s="7"/>
    </row>
    <row r="1961" customFormat="false" ht="23.85" hidden="false" customHeight="false" outlineLevel="0" collapsed="false">
      <c r="A1961" s="6" t="s">
        <v>2410</v>
      </c>
      <c r="B1961" s="6" t="s">
        <v>145</v>
      </c>
      <c r="C1961" s="6" t="s">
        <v>1362</v>
      </c>
      <c r="D1961" s="6" t="s">
        <v>1330</v>
      </c>
      <c r="E1961" s="6"/>
      <c r="F1961" s="6" t="s">
        <v>1906</v>
      </c>
      <c r="G1961" s="6" t="s">
        <v>4543</v>
      </c>
      <c r="H1961" s="6" t="s">
        <v>4544</v>
      </c>
      <c r="I1961" s="6" t="n">
        <v>28</v>
      </c>
      <c r="J1961" s="6"/>
      <c r="K1961" s="6" t="s">
        <v>4545</v>
      </c>
      <c r="L1961" s="7"/>
      <c r="M1961" s="7"/>
    </row>
    <row r="1962" customFormat="false" ht="35.05" hidden="false" customHeight="false" outlineLevel="0" collapsed="false">
      <c r="A1962" s="6" t="s">
        <v>2410</v>
      </c>
      <c r="B1962" s="6" t="s">
        <v>145</v>
      </c>
      <c r="C1962" s="6" t="s">
        <v>1362</v>
      </c>
      <c r="D1962" s="6" t="s">
        <v>1330</v>
      </c>
      <c r="E1962" s="6"/>
      <c r="F1962" s="6" t="s">
        <v>1906</v>
      </c>
      <c r="G1962" s="6" t="s">
        <v>4546</v>
      </c>
      <c r="H1962" s="6" t="s">
        <v>4547</v>
      </c>
      <c r="I1962" s="6" t="n">
        <v>46</v>
      </c>
      <c r="J1962" s="6"/>
      <c r="K1962" s="6" t="s">
        <v>4548</v>
      </c>
      <c r="L1962" s="7"/>
      <c r="M1962" s="7"/>
    </row>
    <row r="1963" customFormat="false" ht="23.85" hidden="false" customHeight="false" outlineLevel="0" collapsed="false">
      <c r="A1963" s="6" t="s">
        <v>2412</v>
      </c>
      <c r="B1963" s="6" t="s">
        <v>145</v>
      </c>
      <c r="C1963" s="6" t="s">
        <v>1362</v>
      </c>
      <c r="D1963" s="6" t="s">
        <v>1330</v>
      </c>
      <c r="E1963" s="6"/>
      <c r="F1963" s="6" t="s">
        <v>1909</v>
      </c>
      <c r="G1963" s="6" t="s">
        <v>4537</v>
      </c>
      <c r="H1963" s="6" t="s">
        <v>4589</v>
      </c>
      <c r="I1963" s="6" t="n">
        <v>98</v>
      </c>
      <c r="J1963" s="6" t="s">
        <v>83</v>
      </c>
      <c r="K1963" s="6" t="s">
        <v>4590</v>
      </c>
      <c r="L1963" s="7"/>
      <c r="M1963" s="7"/>
    </row>
    <row r="1964" customFormat="false" ht="23.85" hidden="false" customHeight="false" outlineLevel="0" collapsed="false">
      <c r="A1964" s="6" t="s">
        <v>2412</v>
      </c>
      <c r="B1964" s="6" t="s">
        <v>145</v>
      </c>
      <c r="C1964" s="6" t="s">
        <v>1362</v>
      </c>
      <c r="D1964" s="6" t="s">
        <v>1330</v>
      </c>
      <c r="E1964" s="6"/>
      <c r="F1964" s="6" t="s">
        <v>1909</v>
      </c>
      <c r="G1964" s="6" t="s">
        <v>4540</v>
      </c>
      <c r="H1964" s="6" t="s">
        <v>4541</v>
      </c>
      <c r="I1964" s="6" t="n">
        <v>38</v>
      </c>
      <c r="J1964" s="6"/>
      <c r="K1964" s="6" t="s">
        <v>4542</v>
      </c>
      <c r="L1964" s="7"/>
      <c r="M1964" s="7"/>
    </row>
    <row r="1965" customFormat="false" ht="23.85" hidden="false" customHeight="false" outlineLevel="0" collapsed="false">
      <c r="A1965" s="6" t="s">
        <v>2412</v>
      </c>
      <c r="B1965" s="6" t="s">
        <v>145</v>
      </c>
      <c r="C1965" s="6" t="s">
        <v>1362</v>
      </c>
      <c r="D1965" s="6" t="s">
        <v>1330</v>
      </c>
      <c r="E1965" s="6"/>
      <c r="F1965" s="6" t="s">
        <v>1909</v>
      </c>
      <c r="G1965" s="6" t="s">
        <v>4543</v>
      </c>
      <c r="H1965" s="6" t="s">
        <v>4544</v>
      </c>
      <c r="I1965" s="6" t="n">
        <v>28</v>
      </c>
      <c r="J1965" s="6"/>
      <c r="K1965" s="6" t="s">
        <v>4545</v>
      </c>
      <c r="L1965" s="7"/>
      <c r="M1965" s="7"/>
    </row>
    <row r="1966" customFormat="false" ht="35.05" hidden="false" customHeight="false" outlineLevel="0" collapsed="false">
      <c r="A1966" s="6" t="s">
        <v>2412</v>
      </c>
      <c r="B1966" s="6" t="s">
        <v>145</v>
      </c>
      <c r="C1966" s="6" t="s">
        <v>1362</v>
      </c>
      <c r="D1966" s="6" t="s">
        <v>1330</v>
      </c>
      <c r="E1966" s="6"/>
      <c r="F1966" s="6" t="s">
        <v>1909</v>
      </c>
      <c r="G1966" s="6" t="s">
        <v>4546</v>
      </c>
      <c r="H1966" s="6" t="s">
        <v>4547</v>
      </c>
      <c r="I1966" s="6" t="n">
        <v>46</v>
      </c>
      <c r="J1966" s="6"/>
      <c r="K1966" s="6" t="s">
        <v>4548</v>
      </c>
      <c r="L1966" s="7"/>
      <c r="M1966" s="7"/>
    </row>
    <row r="1967" customFormat="false" ht="23.85" hidden="false" customHeight="false" outlineLevel="0" collapsed="false">
      <c r="A1967" s="6" t="s">
        <v>2414</v>
      </c>
      <c r="B1967" s="6" t="s">
        <v>145</v>
      </c>
      <c r="C1967" s="6" t="s">
        <v>1362</v>
      </c>
      <c r="D1967" s="6" t="s">
        <v>1330</v>
      </c>
      <c r="E1967" s="6"/>
      <c r="F1967" s="6" t="s">
        <v>1879</v>
      </c>
      <c r="G1967" s="6" t="s">
        <v>4537</v>
      </c>
      <c r="H1967" s="6" t="s">
        <v>4591</v>
      </c>
      <c r="I1967" s="6" t="n">
        <v>98</v>
      </c>
      <c r="J1967" s="6" t="s">
        <v>83</v>
      </c>
      <c r="K1967" s="6" t="s">
        <v>4592</v>
      </c>
      <c r="L1967" s="7"/>
      <c r="M1967" s="7"/>
    </row>
    <row r="1968" customFormat="false" ht="23.85" hidden="false" customHeight="false" outlineLevel="0" collapsed="false">
      <c r="A1968" s="6" t="s">
        <v>2414</v>
      </c>
      <c r="B1968" s="6" t="s">
        <v>145</v>
      </c>
      <c r="C1968" s="6" t="s">
        <v>1362</v>
      </c>
      <c r="D1968" s="6" t="s">
        <v>1330</v>
      </c>
      <c r="E1968" s="6"/>
      <c r="F1968" s="6" t="s">
        <v>1879</v>
      </c>
      <c r="G1968" s="6" t="s">
        <v>4540</v>
      </c>
      <c r="H1968" s="6" t="s">
        <v>4541</v>
      </c>
      <c r="I1968" s="6" t="n">
        <v>38</v>
      </c>
      <c r="J1968" s="6"/>
      <c r="K1968" s="6" t="s">
        <v>4542</v>
      </c>
      <c r="L1968" s="7"/>
      <c r="M1968" s="7"/>
    </row>
    <row r="1969" customFormat="false" ht="23.85" hidden="false" customHeight="false" outlineLevel="0" collapsed="false">
      <c r="A1969" s="6" t="s">
        <v>2414</v>
      </c>
      <c r="B1969" s="6" t="s">
        <v>145</v>
      </c>
      <c r="C1969" s="6" t="s">
        <v>1362</v>
      </c>
      <c r="D1969" s="6" t="s">
        <v>1330</v>
      </c>
      <c r="E1969" s="6"/>
      <c r="F1969" s="6" t="s">
        <v>1879</v>
      </c>
      <c r="G1969" s="6" t="s">
        <v>4543</v>
      </c>
      <c r="H1969" s="6" t="s">
        <v>4544</v>
      </c>
      <c r="I1969" s="6" t="n">
        <v>28</v>
      </c>
      <c r="J1969" s="6"/>
      <c r="K1969" s="6" t="s">
        <v>4545</v>
      </c>
      <c r="L1969" s="7"/>
      <c r="M1969" s="7"/>
    </row>
    <row r="1970" customFormat="false" ht="35.05" hidden="false" customHeight="false" outlineLevel="0" collapsed="false">
      <c r="A1970" s="6" t="s">
        <v>2414</v>
      </c>
      <c r="B1970" s="6" t="s">
        <v>145</v>
      </c>
      <c r="C1970" s="6" t="s">
        <v>1362</v>
      </c>
      <c r="D1970" s="6" t="s">
        <v>1330</v>
      </c>
      <c r="E1970" s="6"/>
      <c r="F1970" s="6" t="s">
        <v>1879</v>
      </c>
      <c r="G1970" s="6" t="s">
        <v>4546</v>
      </c>
      <c r="H1970" s="6" t="s">
        <v>4547</v>
      </c>
      <c r="I1970" s="6" t="n">
        <v>46</v>
      </c>
      <c r="J1970" s="6"/>
      <c r="K1970" s="6" t="s">
        <v>4548</v>
      </c>
      <c r="L1970" s="7"/>
      <c r="M1970" s="7"/>
    </row>
    <row r="1971" customFormat="false" ht="23.85" hidden="false" customHeight="false" outlineLevel="0" collapsed="false">
      <c r="A1971" s="6" t="s">
        <v>2420</v>
      </c>
      <c r="B1971" s="6" t="s">
        <v>145</v>
      </c>
      <c r="C1971" s="6" t="s">
        <v>1362</v>
      </c>
      <c r="D1971" s="6" t="s">
        <v>1330</v>
      </c>
      <c r="E1971" s="6"/>
      <c r="F1971" s="6" t="s">
        <v>1885</v>
      </c>
      <c r="G1971" s="6" t="s">
        <v>4537</v>
      </c>
      <c r="H1971" s="6" t="s">
        <v>4591</v>
      </c>
      <c r="I1971" s="6" t="n">
        <v>98</v>
      </c>
      <c r="J1971" s="6" t="s">
        <v>83</v>
      </c>
      <c r="K1971" s="6" t="s">
        <v>4592</v>
      </c>
      <c r="L1971" s="7"/>
      <c r="M1971" s="7"/>
    </row>
    <row r="1972" customFormat="false" ht="23.85" hidden="false" customHeight="false" outlineLevel="0" collapsed="false">
      <c r="A1972" s="6" t="s">
        <v>2420</v>
      </c>
      <c r="B1972" s="6" t="s">
        <v>145</v>
      </c>
      <c r="C1972" s="6" t="s">
        <v>1362</v>
      </c>
      <c r="D1972" s="6" t="s">
        <v>1330</v>
      </c>
      <c r="E1972" s="6"/>
      <c r="F1972" s="6" t="s">
        <v>1885</v>
      </c>
      <c r="G1972" s="6" t="s">
        <v>4540</v>
      </c>
      <c r="H1972" s="6" t="s">
        <v>4541</v>
      </c>
      <c r="I1972" s="6" t="n">
        <v>38</v>
      </c>
      <c r="J1972" s="6"/>
      <c r="K1972" s="6" t="s">
        <v>4542</v>
      </c>
      <c r="L1972" s="7"/>
      <c r="M1972" s="7"/>
    </row>
    <row r="1973" customFormat="false" ht="23.85" hidden="false" customHeight="false" outlineLevel="0" collapsed="false">
      <c r="A1973" s="6" t="s">
        <v>2420</v>
      </c>
      <c r="B1973" s="6" t="s">
        <v>145</v>
      </c>
      <c r="C1973" s="6" t="s">
        <v>1362</v>
      </c>
      <c r="D1973" s="6" t="s">
        <v>1330</v>
      </c>
      <c r="E1973" s="6"/>
      <c r="F1973" s="6" t="s">
        <v>1885</v>
      </c>
      <c r="G1973" s="6" t="s">
        <v>4543</v>
      </c>
      <c r="H1973" s="6" t="s">
        <v>4544</v>
      </c>
      <c r="I1973" s="6" t="n">
        <v>28</v>
      </c>
      <c r="J1973" s="6"/>
      <c r="K1973" s="6" t="s">
        <v>4545</v>
      </c>
      <c r="L1973" s="7"/>
      <c r="M1973" s="7"/>
    </row>
    <row r="1974" customFormat="false" ht="35.05" hidden="false" customHeight="false" outlineLevel="0" collapsed="false">
      <c r="A1974" s="6" t="s">
        <v>2420</v>
      </c>
      <c r="B1974" s="6" t="s">
        <v>145</v>
      </c>
      <c r="C1974" s="6" t="s">
        <v>1362</v>
      </c>
      <c r="D1974" s="6" t="s">
        <v>1330</v>
      </c>
      <c r="E1974" s="6"/>
      <c r="F1974" s="6" t="s">
        <v>1885</v>
      </c>
      <c r="G1974" s="6" t="s">
        <v>4546</v>
      </c>
      <c r="H1974" s="6" t="s">
        <v>4547</v>
      </c>
      <c r="I1974" s="6" t="n">
        <v>46</v>
      </c>
      <c r="J1974" s="6"/>
      <c r="K1974" s="6" t="s">
        <v>4548</v>
      </c>
      <c r="L1974" s="7"/>
      <c r="M1974" s="7"/>
    </row>
    <row r="1975" customFormat="false" ht="23.85" hidden="false" customHeight="false" outlineLevel="0" collapsed="false">
      <c r="A1975" s="6" t="s">
        <v>2422</v>
      </c>
      <c r="B1975" s="6" t="s">
        <v>145</v>
      </c>
      <c r="C1975" s="6" t="s">
        <v>1362</v>
      </c>
      <c r="D1975" s="6" t="s">
        <v>1330</v>
      </c>
      <c r="E1975" s="6"/>
      <c r="F1975" s="6" t="s">
        <v>1888</v>
      </c>
      <c r="G1975" s="6" t="s">
        <v>4537</v>
      </c>
      <c r="H1975" s="6" t="s">
        <v>4591</v>
      </c>
      <c r="I1975" s="6" t="n">
        <v>98</v>
      </c>
      <c r="J1975" s="6" t="s">
        <v>83</v>
      </c>
      <c r="K1975" s="6" t="s">
        <v>4592</v>
      </c>
      <c r="L1975" s="7"/>
      <c r="M1975" s="7"/>
    </row>
    <row r="1976" customFormat="false" ht="23.85" hidden="false" customHeight="false" outlineLevel="0" collapsed="false">
      <c r="A1976" s="6" t="s">
        <v>2422</v>
      </c>
      <c r="B1976" s="6" t="s">
        <v>145</v>
      </c>
      <c r="C1976" s="6" t="s">
        <v>1362</v>
      </c>
      <c r="D1976" s="6" t="s">
        <v>1330</v>
      </c>
      <c r="E1976" s="6"/>
      <c r="F1976" s="6" t="s">
        <v>1888</v>
      </c>
      <c r="G1976" s="6" t="s">
        <v>4540</v>
      </c>
      <c r="H1976" s="6" t="s">
        <v>4541</v>
      </c>
      <c r="I1976" s="6" t="n">
        <v>38</v>
      </c>
      <c r="J1976" s="6"/>
      <c r="K1976" s="6" t="s">
        <v>4542</v>
      </c>
      <c r="L1976" s="7"/>
      <c r="M1976" s="7"/>
    </row>
    <row r="1977" customFormat="false" ht="23.85" hidden="false" customHeight="false" outlineLevel="0" collapsed="false">
      <c r="A1977" s="6" t="s">
        <v>2422</v>
      </c>
      <c r="B1977" s="6" t="s">
        <v>145</v>
      </c>
      <c r="C1977" s="6" t="s">
        <v>1362</v>
      </c>
      <c r="D1977" s="6" t="s">
        <v>1330</v>
      </c>
      <c r="E1977" s="6"/>
      <c r="F1977" s="6" t="s">
        <v>1888</v>
      </c>
      <c r="G1977" s="6" t="s">
        <v>4543</v>
      </c>
      <c r="H1977" s="6" t="s">
        <v>4544</v>
      </c>
      <c r="I1977" s="6" t="n">
        <v>28</v>
      </c>
      <c r="J1977" s="6"/>
      <c r="K1977" s="6" t="s">
        <v>4545</v>
      </c>
      <c r="L1977" s="7"/>
      <c r="M1977" s="7"/>
    </row>
    <row r="1978" customFormat="false" ht="35.05" hidden="false" customHeight="false" outlineLevel="0" collapsed="false">
      <c r="A1978" s="6" t="s">
        <v>2422</v>
      </c>
      <c r="B1978" s="6" t="s">
        <v>145</v>
      </c>
      <c r="C1978" s="6" t="s">
        <v>1362</v>
      </c>
      <c r="D1978" s="6" t="s">
        <v>1330</v>
      </c>
      <c r="E1978" s="6"/>
      <c r="F1978" s="6" t="s">
        <v>1888</v>
      </c>
      <c r="G1978" s="6" t="s">
        <v>4546</v>
      </c>
      <c r="H1978" s="6" t="s">
        <v>4547</v>
      </c>
      <c r="I1978" s="6" t="n">
        <v>46</v>
      </c>
      <c r="J1978" s="6"/>
      <c r="K1978" s="6" t="s">
        <v>4548</v>
      </c>
      <c r="L1978" s="7"/>
      <c r="M1978" s="7"/>
    </row>
    <row r="1979" customFormat="false" ht="23.85" hidden="false" customHeight="false" outlineLevel="0" collapsed="false">
      <c r="A1979" s="6" t="s">
        <v>2424</v>
      </c>
      <c r="B1979" s="6" t="s">
        <v>145</v>
      </c>
      <c r="C1979" s="6" t="s">
        <v>1362</v>
      </c>
      <c r="D1979" s="6" t="s">
        <v>1330</v>
      </c>
      <c r="E1979" s="6"/>
      <c r="F1979" s="6" t="s">
        <v>1891</v>
      </c>
      <c r="G1979" s="6" t="s">
        <v>4537</v>
      </c>
      <c r="H1979" s="6" t="s">
        <v>4591</v>
      </c>
      <c r="I1979" s="6" t="n">
        <v>98</v>
      </c>
      <c r="J1979" s="6" t="s">
        <v>83</v>
      </c>
      <c r="K1979" s="6" t="s">
        <v>4592</v>
      </c>
      <c r="L1979" s="7"/>
      <c r="M1979" s="7"/>
    </row>
    <row r="1980" customFormat="false" ht="23.85" hidden="false" customHeight="false" outlineLevel="0" collapsed="false">
      <c r="A1980" s="6" t="s">
        <v>2424</v>
      </c>
      <c r="B1980" s="6" t="s">
        <v>145</v>
      </c>
      <c r="C1980" s="6" t="s">
        <v>1362</v>
      </c>
      <c r="D1980" s="6" t="s">
        <v>1330</v>
      </c>
      <c r="E1980" s="6"/>
      <c r="F1980" s="6" t="s">
        <v>1891</v>
      </c>
      <c r="G1980" s="6" t="s">
        <v>4540</v>
      </c>
      <c r="H1980" s="6" t="s">
        <v>4541</v>
      </c>
      <c r="I1980" s="6" t="n">
        <v>38</v>
      </c>
      <c r="J1980" s="6"/>
      <c r="K1980" s="6" t="s">
        <v>4542</v>
      </c>
      <c r="L1980" s="7"/>
      <c r="M1980" s="7"/>
    </row>
    <row r="1981" customFormat="false" ht="23.85" hidden="false" customHeight="false" outlineLevel="0" collapsed="false">
      <c r="A1981" s="6" t="s">
        <v>2424</v>
      </c>
      <c r="B1981" s="6" t="s">
        <v>145</v>
      </c>
      <c r="C1981" s="6" t="s">
        <v>1362</v>
      </c>
      <c r="D1981" s="6" t="s">
        <v>1330</v>
      </c>
      <c r="E1981" s="6"/>
      <c r="F1981" s="6" t="s">
        <v>1891</v>
      </c>
      <c r="G1981" s="6" t="s">
        <v>4543</v>
      </c>
      <c r="H1981" s="6" t="s">
        <v>4544</v>
      </c>
      <c r="I1981" s="6" t="n">
        <v>28</v>
      </c>
      <c r="J1981" s="6"/>
      <c r="K1981" s="6" t="s">
        <v>4545</v>
      </c>
      <c r="L1981" s="7"/>
      <c r="M1981" s="7"/>
    </row>
    <row r="1982" customFormat="false" ht="35.05" hidden="false" customHeight="false" outlineLevel="0" collapsed="false">
      <c r="A1982" s="6" t="s">
        <v>2424</v>
      </c>
      <c r="B1982" s="6" t="s">
        <v>145</v>
      </c>
      <c r="C1982" s="6" t="s">
        <v>1362</v>
      </c>
      <c r="D1982" s="6" t="s">
        <v>1330</v>
      </c>
      <c r="E1982" s="6"/>
      <c r="F1982" s="6" t="s">
        <v>1891</v>
      </c>
      <c r="G1982" s="6" t="s">
        <v>4546</v>
      </c>
      <c r="H1982" s="6" t="s">
        <v>4547</v>
      </c>
      <c r="I1982" s="6" t="n">
        <v>46</v>
      </c>
      <c r="J1982" s="6"/>
      <c r="K1982" s="6" t="s">
        <v>4548</v>
      </c>
      <c r="L1982" s="7"/>
      <c r="M1982" s="7"/>
    </row>
    <row r="1983" customFormat="false" ht="23.85" hidden="false" customHeight="false" outlineLevel="0" collapsed="false">
      <c r="A1983" s="6" t="s">
        <v>2426</v>
      </c>
      <c r="B1983" s="6" t="s">
        <v>145</v>
      </c>
      <c r="C1983" s="6" t="s">
        <v>1362</v>
      </c>
      <c r="D1983" s="6" t="s">
        <v>1330</v>
      </c>
      <c r="E1983" s="6"/>
      <c r="F1983" s="6" t="s">
        <v>1894</v>
      </c>
      <c r="G1983" s="6" t="s">
        <v>4537</v>
      </c>
      <c r="H1983" s="6" t="s">
        <v>4591</v>
      </c>
      <c r="I1983" s="6" t="n">
        <v>98</v>
      </c>
      <c r="J1983" s="6" t="s">
        <v>83</v>
      </c>
      <c r="K1983" s="6" t="s">
        <v>4592</v>
      </c>
      <c r="L1983" s="7"/>
      <c r="M1983" s="7"/>
    </row>
    <row r="1984" customFormat="false" ht="23.85" hidden="false" customHeight="false" outlineLevel="0" collapsed="false">
      <c r="A1984" s="6" t="s">
        <v>2426</v>
      </c>
      <c r="B1984" s="6" t="s">
        <v>145</v>
      </c>
      <c r="C1984" s="6" t="s">
        <v>1362</v>
      </c>
      <c r="D1984" s="6" t="s">
        <v>1330</v>
      </c>
      <c r="E1984" s="6"/>
      <c r="F1984" s="6" t="s">
        <v>1894</v>
      </c>
      <c r="G1984" s="6" t="s">
        <v>4540</v>
      </c>
      <c r="H1984" s="6" t="s">
        <v>4541</v>
      </c>
      <c r="I1984" s="6" t="n">
        <v>38</v>
      </c>
      <c r="J1984" s="6"/>
      <c r="K1984" s="6" t="s">
        <v>4542</v>
      </c>
      <c r="L1984" s="7"/>
      <c r="M1984" s="7"/>
    </row>
    <row r="1985" customFormat="false" ht="23.85" hidden="false" customHeight="false" outlineLevel="0" collapsed="false">
      <c r="A1985" s="6" t="s">
        <v>2426</v>
      </c>
      <c r="B1985" s="6" t="s">
        <v>145</v>
      </c>
      <c r="C1985" s="6" t="s">
        <v>1362</v>
      </c>
      <c r="D1985" s="6" t="s">
        <v>1330</v>
      </c>
      <c r="E1985" s="6"/>
      <c r="F1985" s="6" t="s">
        <v>1894</v>
      </c>
      <c r="G1985" s="6" t="s">
        <v>4543</v>
      </c>
      <c r="H1985" s="6" t="s">
        <v>4544</v>
      </c>
      <c r="I1985" s="6" t="n">
        <v>28</v>
      </c>
      <c r="J1985" s="6"/>
      <c r="K1985" s="6" t="s">
        <v>4545</v>
      </c>
      <c r="L1985" s="7"/>
      <c r="M1985" s="7"/>
    </row>
    <row r="1986" customFormat="false" ht="35.05" hidden="false" customHeight="false" outlineLevel="0" collapsed="false">
      <c r="A1986" s="6" t="s">
        <v>2426</v>
      </c>
      <c r="B1986" s="6" t="s">
        <v>145</v>
      </c>
      <c r="C1986" s="6" t="s">
        <v>1362</v>
      </c>
      <c r="D1986" s="6" t="s">
        <v>1330</v>
      </c>
      <c r="E1986" s="6"/>
      <c r="F1986" s="6" t="s">
        <v>1894</v>
      </c>
      <c r="G1986" s="6" t="s">
        <v>4546</v>
      </c>
      <c r="H1986" s="6" t="s">
        <v>4547</v>
      </c>
      <c r="I1986" s="6" t="n">
        <v>46</v>
      </c>
      <c r="J1986" s="6"/>
      <c r="K1986" s="6" t="s">
        <v>4548</v>
      </c>
      <c r="L1986" s="7"/>
      <c r="M1986" s="7"/>
    </row>
    <row r="1987" customFormat="false" ht="23.85" hidden="false" customHeight="false" outlineLevel="0" collapsed="false">
      <c r="A1987" s="6" t="s">
        <v>2428</v>
      </c>
      <c r="B1987" s="6" t="s">
        <v>145</v>
      </c>
      <c r="C1987" s="6" t="s">
        <v>1362</v>
      </c>
      <c r="D1987" s="6" t="s">
        <v>1330</v>
      </c>
      <c r="E1987" s="6"/>
      <c r="F1987" s="6" t="s">
        <v>1897</v>
      </c>
      <c r="G1987" s="6" t="s">
        <v>4537</v>
      </c>
      <c r="H1987" s="6" t="s">
        <v>4591</v>
      </c>
      <c r="I1987" s="6" t="n">
        <v>98</v>
      </c>
      <c r="J1987" s="6" t="s">
        <v>83</v>
      </c>
      <c r="K1987" s="6" t="s">
        <v>4592</v>
      </c>
      <c r="L1987" s="7"/>
      <c r="M1987" s="7"/>
    </row>
    <row r="1988" customFormat="false" ht="23.85" hidden="false" customHeight="false" outlineLevel="0" collapsed="false">
      <c r="A1988" s="6" t="s">
        <v>2428</v>
      </c>
      <c r="B1988" s="6" t="s">
        <v>145</v>
      </c>
      <c r="C1988" s="6" t="s">
        <v>1362</v>
      </c>
      <c r="D1988" s="6" t="s">
        <v>1330</v>
      </c>
      <c r="E1988" s="6"/>
      <c r="F1988" s="6" t="s">
        <v>1897</v>
      </c>
      <c r="G1988" s="6" t="s">
        <v>4540</v>
      </c>
      <c r="H1988" s="6" t="s">
        <v>4541</v>
      </c>
      <c r="I1988" s="6" t="n">
        <v>38</v>
      </c>
      <c r="J1988" s="6"/>
      <c r="K1988" s="6" t="s">
        <v>4542</v>
      </c>
      <c r="L1988" s="7"/>
      <c r="M1988" s="7"/>
    </row>
    <row r="1989" customFormat="false" ht="23.85" hidden="false" customHeight="false" outlineLevel="0" collapsed="false">
      <c r="A1989" s="6" t="s">
        <v>2428</v>
      </c>
      <c r="B1989" s="6" t="s">
        <v>145</v>
      </c>
      <c r="C1989" s="6" t="s">
        <v>1362</v>
      </c>
      <c r="D1989" s="6" t="s">
        <v>1330</v>
      </c>
      <c r="E1989" s="6"/>
      <c r="F1989" s="6" t="s">
        <v>1897</v>
      </c>
      <c r="G1989" s="6" t="s">
        <v>4543</v>
      </c>
      <c r="H1989" s="6" t="s">
        <v>4544</v>
      </c>
      <c r="I1989" s="6" t="n">
        <v>28</v>
      </c>
      <c r="J1989" s="6"/>
      <c r="K1989" s="6" t="s">
        <v>4545</v>
      </c>
      <c r="L1989" s="7"/>
      <c r="M1989" s="7"/>
    </row>
    <row r="1990" customFormat="false" ht="35.05" hidden="false" customHeight="false" outlineLevel="0" collapsed="false">
      <c r="A1990" s="6" t="s">
        <v>2428</v>
      </c>
      <c r="B1990" s="6" t="s">
        <v>145</v>
      </c>
      <c r="C1990" s="6" t="s">
        <v>1362</v>
      </c>
      <c r="D1990" s="6" t="s">
        <v>1330</v>
      </c>
      <c r="E1990" s="6"/>
      <c r="F1990" s="6" t="s">
        <v>1897</v>
      </c>
      <c r="G1990" s="6" t="s">
        <v>4546</v>
      </c>
      <c r="H1990" s="6" t="s">
        <v>4547</v>
      </c>
      <c r="I1990" s="6" t="n">
        <v>46</v>
      </c>
      <c r="J1990" s="6"/>
      <c r="K1990" s="6" t="s">
        <v>4548</v>
      </c>
      <c r="L1990" s="7"/>
      <c r="M1990" s="7"/>
    </row>
    <row r="1991" customFormat="false" ht="23.85" hidden="false" customHeight="false" outlineLevel="0" collapsed="false">
      <c r="A1991" s="6" t="s">
        <v>2430</v>
      </c>
      <c r="B1991" s="6" t="s">
        <v>145</v>
      </c>
      <c r="C1991" s="6" t="s">
        <v>1362</v>
      </c>
      <c r="D1991" s="6" t="s">
        <v>1330</v>
      </c>
      <c r="E1991" s="6"/>
      <c r="F1991" s="6" t="s">
        <v>1900</v>
      </c>
      <c r="G1991" s="6" t="s">
        <v>4537</v>
      </c>
      <c r="H1991" s="6" t="s">
        <v>4591</v>
      </c>
      <c r="I1991" s="6" t="n">
        <v>98</v>
      </c>
      <c r="J1991" s="6" t="s">
        <v>83</v>
      </c>
      <c r="K1991" s="6" t="s">
        <v>4592</v>
      </c>
      <c r="L1991" s="7"/>
      <c r="M1991" s="7"/>
    </row>
    <row r="1992" customFormat="false" ht="23.85" hidden="false" customHeight="false" outlineLevel="0" collapsed="false">
      <c r="A1992" s="6" t="s">
        <v>2430</v>
      </c>
      <c r="B1992" s="6" t="s">
        <v>145</v>
      </c>
      <c r="C1992" s="6" t="s">
        <v>1362</v>
      </c>
      <c r="D1992" s="6" t="s">
        <v>1330</v>
      </c>
      <c r="E1992" s="6"/>
      <c r="F1992" s="6" t="s">
        <v>1900</v>
      </c>
      <c r="G1992" s="6" t="s">
        <v>4540</v>
      </c>
      <c r="H1992" s="6" t="s">
        <v>4541</v>
      </c>
      <c r="I1992" s="6" t="n">
        <v>38</v>
      </c>
      <c r="J1992" s="6"/>
      <c r="K1992" s="6" t="s">
        <v>4542</v>
      </c>
      <c r="L1992" s="7"/>
      <c r="M1992" s="7"/>
    </row>
    <row r="1993" customFormat="false" ht="23.85" hidden="false" customHeight="false" outlineLevel="0" collapsed="false">
      <c r="A1993" s="6" t="s">
        <v>2430</v>
      </c>
      <c r="B1993" s="6" t="s">
        <v>145</v>
      </c>
      <c r="C1993" s="6" t="s">
        <v>1362</v>
      </c>
      <c r="D1993" s="6" t="s">
        <v>1330</v>
      </c>
      <c r="E1993" s="6"/>
      <c r="F1993" s="6" t="s">
        <v>1900</v>
      </c>
      <c r="G1993" s="6" t="s">
        <v>4543</v>
      </c>
      <c r="H1993" s="6" t="s">
        <v>4544</v>
      </c>
      <c r="I1993" s="6" t="n">
        <v>28</v>
      </c>
      <c r="J1993" s="6"/>
      <c r="K1993" s="6" t="s">
        <v>4545</v>
      </c>
      <c r="L1993" s="7"/>
      <c r="M1993" s="7"/>
    </row>
    <row r="1994" customFormat="false" ht="35.05" hidden="false" customHeight="false" outlineLevel="0" collapsed="false">
      <c r="A1994" s="6" t="s">
        <v>2430</v>
      </c>
      <c r="B1994" s="6" t="s">
        <v>145</v>
      </c>
      <c r="C1994" s="6" t="s">
        <v>1362</v>
      </c>
      <c r="D1994" s="6" t="s">
        <v>1330</v>
      </c>
      <c r="E1994" s="6"/>
      <c r="F1994" s="6" t="s">
        <v>1900</v>
      </c>
      <c r="G1994" s="6" t="s">
        <v>4546</v>
      </c>
      <c r="H1994" s="6" t="s">
        <v>4547</v>
      </c>
      <c r="I1994" s="6" t="n">
        <v>46</v>
      </c>
      <c r="J1994" s="6"/>
      <c r="K1994" s="6" t="s">
        <v>4548</v>
      </c>
      <c r="L1994" s="7"/>
      <c r="M1994" s="7"/>
    </row>
    <row r="1995" customFormat="false" ht="23.85" hidden="false" customHeight="false" outlineLevel="0" collapsed="false">
      <c r="A1995" s="6" t="s">
        <v>2432</v>
      </c>
      <c r="B1995" s="6" t="s">
        <v>145</v>
      </c>
      <c r="C1995" s="6" t="s">
        <v>1362</v>
      </c>
      <c r="D1995" s="6" t="s">
        <v>1330</v>
      </c>
      <c r="E1995" s="6"/>
      <c r="F1995" s="6" t="s">
        <v>1903</v>
      </c>
      <c r="G1995" s="6" t="s">
        <v>4537</v>
      </c>
      <c r="H1995" s="6" t="s">
        <v>4591</v>
      </c>
      <c r="I1995" s="6" t="n">
        <v>98</v>
      </c>
      <c r="J1995" s="6" t="s">
        <v>83</v>
      </c>
      <c r="K1995" s="6" t="s">
        <v>4592</v>
      </c>
      <c r="L1995" s="7"/>
      <c r="M1995" s="7"/>
    </row>
    <row r="1996" customFormat="false" ht="23.85" hidden="false" customHeight="false" outlineLevel="0" collapsed="false">
      <c r="A1996" s="6" t="s">
        <v>2432</v>
      </c>
      <c r="B1996" s="6" t="s">
        <v>145</v>
      </c>
      <c r="C1996" s="6" t="s">
        <v>1362</v>
      </c>
      <c r="D1996" s="6" t="s">
        <v>1330</v>
      </c>
      <c r="E1996" s="6"/>
      <c r="F1996" s="6" t="s">
        <v>1903</v>
      </c>
      <c r="G1996" s="6" t="s">
        <v>4540</v>
      </c>
      <c r="H1996" s="6" t="s">
        <v>4541</v>
      </c>
      <c r="I1996" s="6" t="n">
        <v>38</v>
      </c>
      <c r="J1996" s="6"/>
      <c r="K1996" s="6" t="s">
        <v>4542</v>
      </c>
      <c r="L1996" s="7"/>
      <c r="M1996" s="7"/>
    </row>
    <row r="1997" customFormat="false" ht="23.85" hidden="false" customHeight="false" outlineLevel="0" collapsed="false">
      <c r="A1997" s="6" t="s">
        <v>2432</v>
      </c>
      <c r="B1997" s="6" t="s">
        <v>145</v>
      </c>
      <c r="C1997" s="6" t="s">
        <v>1362</v>
      </c>
      <c r="D1997" s="6" t="s">
        <v>1330</v>
      </c>
      <c r="E1997" s="6"/>
      <c r="F1997" s="6" t="s">
        <v>1903</v>
      </c>
      <c r="G1997" s="6" t="s">
        <v>4543</v>
      </c>
      <c r="H1997" s="6" t="s">
        <v>4544</v>
      </c>
      <c r="I1997" s="6" t="n">
        <v>28</v>
      </c>
      <c r="J1997" s="6"/>
      <c r="K1997" s="6" t="s">
        <v>4545</v>
      </c>
      <c r="L1997" s="7"/>
      <c r="M1997" s="7"/>
    </row>
    <row r="1998" customFormat="false" ht="35.05" hidden="false" customHeight="false" outlineLevel="0" collapsed="false">
      <c r="A1998" s="6" t="s">
        <v>2432</v>
      </c>
      <c r="B1998" s="6" t="s">
        <v>145</v>
      </c>
      <c r="C1998" s="6" t="s">
        <v>1362</v>
      </c>
      <c r="D1998" s="6" t="s">
        <v>1330</v>
      </c>
      <c r="E1998" s="6"/>
      <c r="F1998" s="6" t="s">
        <v>1903</v>
      </c>
      <c r="G1998" s="6" t="s">
        <v>4546</v>
      </c>
      <c r="H1998" s="6" t="s">
        <v>4547</v>
      </c>
      <c r="I1998" s="6" t="n">
        <v>46</v>
      </c>
      <c r="J1998" s="6"/>
      <c r="K1998" s="6" t="s">
        <v>4548</v>
      </c>
      <c r="L1998" s="7"/>
      <c r="M1998" s="7"/>
    </row>
    <row r="1999" customFormat="false" ht="23.85" hidden="false" customHeight="false" outlineLevel="0" collapsed="false">
      <c r="A1999" s="6" t="s">
        <v>2434</v>
      </c>
      <c r="B1999" s="6" t="s">
        <v>145</v>
      </c>
      <c r="C1999" s="6" t="s">
        <v>1362</v>
      </c>
      <c r="D1999" s="6" t="s">
        <v>1330</v>
      </c>
      <c r="E1999" s="6"/>
      <c r="F1999" s="6" t="s">
        <v>1906</v>
      </c>
      <c r="G1999" s="6" t="s">
        <v>4537</v>
      </c>
      <c r="H1999" s="6" t="s">
        <v>4591</v>
      </c>
      <c r="I1999" s="6" t="n">
        <v>98</v>
      </c>
      <c r="J1999" s="6" t="s">
        <v>83</v>
      </c>
      <c r="K1999" s="6" t="s">
        <v>4592</v>
      </c>
      <c r="L1999" s="7"/>
      <c r="M1999" s="7"/>
    </row>
    <row r="2000" customFormat="false" ht="23.85" hidden="false" customHeight="false" outlineLevel="0" collapsed="false">
      <c r="A2000" s="6" t="s">
        <v>2434</v>
      </c>
      <c r="B2000" s="6" t="s">
        <v>145</v>
      </c>
      <c r="C2000" s="6" t="s">
        <v>1362</v>
      </c>
      <c r="D2000" s="6" t="s">
        <v>1330</v>
      </c>
      <c r="E2000" s="6"/>
      <c r="F2000" s="6" t="s">
        <v>1906</v>
      </c>
      <c r="G2000" s="6" t="s">
        <v>4540</v>
      </c>
      <c r="H2000" s="6" t="s">
        <v>4541</v>
      </c>
      <c r="I2000" s="6" t="n">
        <v>38</v>
      </c>
      <c r="J2000" s="6"/>
      <c r="K2000" s="6" t="s">
        <v>4542</v>
      </c>
      <c r="L2000" s="7"/>
      <c r="M2000" s="7"/>
    </row>
    <row r="2001" customFormat="false" ht="23.85" hidden="false" customHeight="false" outlineLevel="0" collapsed="false">
      <c r="A2001" s="6" t="s">
        <v>2434</v>
      </c>
      <c r="B2001" s="6" t="s">
        <v>145</v>
      </c>
      <c r="C2001" s="6" t="s">
        <v>1362</v>
      </c>
      <c r="D2001" s="6" t="s">
        <v>1330</v>
      </c>
      <c r="E2001" s="6"/>
      <c r="F2001" s="6" t="s">
        <v>1906</v>
      </c>
      <c r="G2001" s="6" t="s">
        <v>4543</v>
      </c>
      <c r="H2001" s="6" t="s">
        <v>4544</v>
      </c>
      <c r="I2001" s="6" t="n">
        <v>28</v>
      </c>
      <c r="J2001" s="6"/>
      <c r="K2001" s="6" t="s">
        <v>4545</v>
      </c>
      <c r="L2001" s="7"/>
      <c r="M2001" s="7"/>
    </row>
    <row r="2002" customFormat="false" ht="35.05" hidden="false" customHeight="false" outlineLevel="0" collapsed="false">
      <c r="A2002" s="6" t="s">
        <v>2434</v>
      </c>
      <c r="B2002" s="6" t="s">
        <v>145</v>
      </c>
      <c r="C2002" s="6" t="s">
        <v>1362</v>
      </c>
      <c r="D2002" s="6" t="s">
        <v>1330</v>
      </c>
      <c r="E2002" s="6"/>
      <c r="F2002" s="6" t="s">
        <v>1906</v>
      </c>
      <c r="G2002" s="6" t="s">
        <v>4546</v>
      </c>
      <c r="H2002" s="6" t="s">
        <v>4547</v>
      </c>
      <c r="I2002" s="6" t="n">
        <v>46</v>
      </c>
      <c r="J2002" s="6"/>
      <c r="K2002" s="6" t="s">
        <v>4548</v>
      </c>
      <c r="L2002" s="7"/>
      <c r="M2002" s="7"/>
    </row>
    <row r="2003" customFormat="false" ht="23.85" hidden="false" customHeight="false" outlineLevel="0" collapsed="false">
      <c r="A2003" s="6" t="s">
        <v>2436</v>
      </c>
      <c r="B2003" s="6" t="s">
        <v>145</v>
      </c>
      <c r="C2003" s="6" t="s">
        <v>1362</v>
      </c>
      <c r="D2003" s="6" t="s">
        <v>1330</v>
      </c>
      <c r="E2003" s="6"/>
      <c r="F2003" s="6" t="s">
        <v>1909</v>
      </c>
      <c r="G2003" s="6" t="s">
        <v>4537</v>
      </c>
      <c r="H2003" s="6" t="s">
        <v>4591</v>
      </c>
      <c r="I2003" s="6" t="n">
        <v>98</v>
      </c>
      <c r="J2003" s="6" t="s">
        <v>83</v>
      </c>
      <c r="K2003" s="6" t="s">
        <v>4592</v>
      </c>
      <c r="L2003" s="7"/>
      <c r="M2003" s="7"/>
    </row>
    <row r="2004" customFormat="false" ht="23.85" hidden="false" customHeight="false" outlineLevel="0" collapsed="false">
      <c r="A2004" s="6" t="s">
        <v>2436</v>
      </c>
      <c r="B2004" s="6" t="s">
        <v>145</v>
      </c>
      <c r="C2004" s="6" t="s">
        <v>1362</v>
      </c>
      <c r="D2004" s="6" t="s">
        <v>1330</v>
      </c>
      <c r="E2004" s="6"/>
      <c r="F2004" s="6" t="s">
        <v>1909</v>
      </c>
      <c r="G2004" s="6" t="s">
        <v>4540</v>
      </c>
      <c r="H2004" s="6" t="s">
        <v>4541</v>
      </c>
      <c r="I2004" s="6" t="n">
        <v>38</v>
      </c>
      <c r="J2004" s="6"/>
      <c r="K2004" s="6" t="s">
        <v>4542</v>
      </c>
      <c r="L2004" s="7"/>
      <c r="M2004" s="7"/>
    </row>
    <row r="2005" customFormat="false" ht="23.85" hidden="false" customHeight="false" outlineLevel="0" collapsed="false">
      <c r="A2005" s="6" t="s">
        <v>2436</v>
      </c>
      <c r="B2005" s="6" t="s">
        <v>145</v>
      </c>
      <c r="C2005" s="6" t="s">
        <v>1362</v>
      </c>
      <c r="D2005" s="6" t="s">
        <v>1330</v>
      </c>
      <c r="E2005" s="6"/>
      <c r="F2005" s="6" t="s">
        <v>1909</v>
      </c>
      <c r="G2005" s="6" t="s">
        <v>4543</v>
      </c>
      <c r="H2005" s="6" t="s">
        <v>4544</v>
      </c>
      <c r="I2005" s="6" t="n">
        <v>28</v>
      </c>
      <c r="J2005" s="6"/>
      <c r="K2005" s="6" t="s">
        <v>4545</v>
      </c>
      <c r="L2005" s="7"/>
      <c r="M2005" s="7"/>
    </row>
    <row r="2006" customFormat="false" ht="35.05" hidden="false" customHeight="false" outlineLevel="0" collapsed="false">
      <c r="A2006" s="6" t="s">
        <v>2436</v>
      </c>
      <c r="B2006" s="6" t="s">
        <v>145</v>
      </c>
      <c r="C2006" s="6" t="s">
        <v>1362</v>
      </c>
      <c r="D2006" s="6" t="s">
        <v>1330</v>
      </c>
      <c r="E2006" s="6"/>
      <c r="F2006" s="6" t="s">
        <v>1909</v>
      </c>
      <c r="G2006" s="6" t="s">
        <v>4546</v>
      </c>
      <c r="H2006" s="6" t="s">
        <v>4547</v>
      </c>
      <c r="I2006" s="6" t="n">
        <v>46</v>
      </c>
      <c r="J2006" s="6"/>
      <c r="K2006" s="6" t="s">
        <v>4548</v>
      </c>
      <c r="L2006" s="7"/>
      <c r="M2006" s="7"/>
    </row>
    <row r="2007" customFormat="false" ht="35.05" hidden="false" customHeight="false" outlineLevel="0" collapsed="false">
      <c r="A2007" s="6" t="s">
        <v>2438</v>
      </c>
      <c r="B2007" s="6" t="s">
        <v>145</v>
      </c>
      <c r="C2007" s="6" t="s">
        <v>1362</v>
      </c>
      <c r="D2007" s="6" t="s">
        <v>1330</v>
      </c>
      <c r="E2007" s="6"/>
      <c r="F2007" s="6" t="s">
        <v>1879</v>
      </c>
      <c r="G2007" s="6" t="s">
        <v>4537</v>
      </c>
      <c r="H2007" s="6" t="s">
        <v>4593</v>
      </c>
      <c r="I2007" s="6" t="n">
        <v>98</v>
      </c>
      <c r="J2007" s="6" t="s">
        <v>83</v>
      </c>
      <c r="K2007" s="6" t="s">
        <v>4594</v>
      </c>
      <c r="L2007" s="7"/>
      <c r="M2007" s="7"/>
    </row>
    <row r="2008" customFormat="false" ht="23.85" hidden="false" customHeight="false" outlineLevel="0" collapsed="false">
      <c r="A2008" s="6" t="s">
        <v>2438</v>
      </c>
      <c r="B2008" s="6" t="s">
        <v>145</v>
      </c>
      <c r="C2008" s="6" t="s">
        <v>1362</v>
      </c>
      <c r="D2008" s="6" t="s">
        <v>1330</v>
      </c>
      <c r="E2008" s="6"/>
      <c r="F2008" s="6" t="s">
        <v>1879</v>
      </c>
      <c r="G2008" s="6" t="s">
        <v>4540</v>
      </c>
      <c r="H2008" s="6" t="s">
        <v>4541</v>
      </c>
      <c r="I2008" s="6" t="n">
        <v>38</v>
      </c>
      <c r="J2008" s="6"/>
      <c r="K2008" s="6" t="s">
        <v>4542</v>
      </c>
      <c r="L2008" s="7"/>
      <c r="M2008" s="7"/>
    </row>
    <row r="2009" customFormat="false" ht="23.85" hidden="false" customHeight="false" outlineLevel="0" collapsed="false">
      <c r="A2009" s="6" t="s">
        <v>2438</v>
      </c>
      <c r="B2009" s="6" t="s">
        <v>145</v>
      </c>
      <c r="C2009" s="6" t="s">
        <v>1362</v>
      </c>
      <c r="D2009" s="6" t="s">
        <v>1330</v>
      </c>
      <c r="E2009" s="6"/>
      <c r="F2009" s="6" t="s">
        <v>1879</v>
      </c>
      <c r="G2009" s="6" t="s">
        <v>4543</v>
      </c>
      <c r="H2009" s="6" t="s">
        <v>4544</v>
      </c>
      <c r="I2009" s="6" t="n">
        <v>28</v>
      </c>
      <c r="J2009" s="6"/>
      <c r="K2009" s="6" t="s">
        <v>4545</v>
      </c>
      <c r="L2009" s="7"/>
      <c r="M2009" s="7"/>
    </row>
    <row r="2010" customFormat="false" ht="35.05" hidden="false" customHeight="false" outlineLevel="0" collapsed="false">
      <c r="A2010" s="6" t="s">
        <v>2438</v>
      </c>
      <c r="B2010" s="6" t="s">
        <v>145</v>
      </c>
      <c r="C2010" s="6" t="s">
        <v>1362</v>
      </c>
      <c r="D2010" s="6" t="s">
        <v>1330</v>
      </c>
      <c r="E2010" s="6"/>
      <c r="F2010" s="6" t="s">
        <v>1879</v>
      </c>
      <c r="G2010" s="6" t="s">
        <v>4546</v>
      </c>
      <c r="H2010" s="6" t="s">
        <v>4547</v>
      </c>
      <c r="I2010" s="6" t="n">
        <v>46</v>
      </c>
      <c r="J2010" s="6"/>
      <c r="K2010" s="6" t="s">
        <v>4548</v>
      </c>
      <c r="L2010" s="7"/>
      <c r="M2010" s="7"/>
    </row>
    <row r="2011" customFormat="false" ht="35.05" hidden="false" customHeight="false" outlineLevel="0" collapsed="false">
      <c r="A2011" s="6" t="s">
        <v>2444</v>
      </c>
      <c r="B2011" s="6" t="s">
        <v>145</v>
      </c>
      <c r="C2011" s="6" t="s">
        <v>1362</v>
      </c>
      <c r="D2011" s="6" t="s">
        <v>1330</v>
      </c>
      <c r="E2011" s="6"/>
      <c r="F2011" s="6" t="s">
        <v>1885</v>
      </c>
      <c r="G2011" s="6" t="s">
        <v>4537</v>
      </c>
      <c r="H2011" s="6" t="s">
        <v>4593</v>
      </c>
      <c r="I2011" s="6" t="n">
        <v>98</v>
      </c>
      <c r="J2011" s="6" t="s">
        <v>83</v>
      </c>
      <c r="K2011" s="6" t="s">
        <v>4594</v>
      </c>
      <c r="L2011" s="7"/>
      <c r="M2011" s="7"/>
    </row>
    <row r="2012" customFormat="false" ht="23.85" hidden="false" customHeight="false" outlineLevel="0" collapsed="false">
      <c r="A2012" s="6" t="s">
        <v>2444</v>
      </c>
      <c r="B2012" s="6" t="s">
        <v>145</v>
      </c>
      <c r="C2012" s="6" t="s">
        <v>1362</v>
      </c>
      <c r="D2012" s="6" t="s">
        <v>1330</v>
      </c>
      <c r="E2012" s="6"/>
      <c r="F2012" s="6" t="s">
        <v>1885</v>
      </c>
      <c r="G2012" s="6" t="s">
        <v>4540</v>
      </c>
      <c r="H2012" s="6" t="s">
        <v>4541</v>
      </c>
      <c r="I2012" s="6" t="n">
        <v>38</v>
      </c>
      <c r="J2012" s="6"/>
      <c r="K2012" s="6" t="s">
        <v>4542</v>
      </c>
      <c r="L2012" s="7"/>
      <c r="M2012" s="7"/>
    </row>
    <row r="2013" customFormat="false" ht="23.85" hidden="false" customHeight="false" outlineLevel="0" collapsed="false">
      <c r="A2013" s="6" t="s">
        <v>2444</v>
      </c>
      <c r="B2013" s="6" t="s">
        <v>145</v>
      </c>
      <c r="C2013" s="6" t="s">
        <v>1362</v>
      </c>
      <c r="D2013" s="6" t="s">
        <v>1330</v>
      </c>
      <c r="E2013" s="6"/>
      <c r="F2013" s="6" t="s">
        <v>1885</v>
      </c>
      <c r="G2013" s="6" t="s">
        <v>4543</v>
      </c>
      <c r="H2013" s="6" t="s">
        <v>4544</v>
      </c>
      <c r="I2013" s="6" t="n">
        <v>28</v>
      </c>
      <c r="J2013" s="6"/>
      <c r="K2013" s="6" t="s">
        <v>4545</v>
      </c>
      <c r="L2013" s="7"/>
      <c r="M2013" s="7"/>
    </row>
    <row r="2014" customFormat="false" ht="35.05" hidden="false" customHeight="false" outlineLevel="0" collapsed="false">
      <c r="A2014" s="6" t="s">
        <v>2444</v>
      </c>
      <c r="B2014" s="6" t="s">
        <v>145</v>
      </c>
      <c r="C2014" s="6" t="s">
        <v>1362</v>
      </c>
      <c r="D2014" s="6" t="s">
        <v>1330</v>
      </c>
      <c r="E2014" s="6"/>
      <c r="F2014" s="6" t="s">
        <v>1885</v>
      </c>
      <c r="G2014" s="6" t="s">
        <v>4546</v>
      </c>
      <c r="H2014" s="6" t="s">
        <v>4547</v>
      </c>
      <c r="I2014" s="6" t="n">
        <v>46</v>
      </c>
      <c r="J2014" s="6"/>
      <c r="K2014" s="6" t="s">
        <v>4548</v>
      </c>
      <c r="L2014" s="7"/>
      <c r="M2014" s="7"/>
    </row>
    <row r="2015" customFormat="false" ht="35.05" hidden="false" customHeight="false" outlineLevel="0" collapsed="false">
      <c r="A2015" s="6" t="s">
        <v>2446</v>
      </c>
      <c r="B2015" s="6" t="s">
        <v>145</v>
      </c>
      <c r="C2015" s="6" t="s">
        <v>1362</v>
      </c>
      <c r="D2015" s="6" t="s">
        <v>1330</v>
      </c>
      <c r="E2015" s="6"/>
      <c r="F2015" s="6" t="s">
        <v>1888</v>
      </c>
      <c r="G2015" s="6" t="s">
        <v>4537</v>
      </c>
      <c r="H2015" s="6" t="s">
        <v>4593</v>
      </c>
      <c r="I2015" s="6" t="n">
        <v>98</v>
      </c>
      <c r="J2015" s="6" t="s">
        <v>83</v>
      </c>
      <c r="K2015" s="6" t="s">
        <v>4594</v>
      </c>
      <c r="L2015" s="7"/>
      <c r="M2015" s="7"/>
    </row>
    <row r="2016" customFormat="false" ht="23.85" hidden="false" customHeight="false" outlineLevel="0" collapsed="false">
      <c r="A2016" s="6" t="s">
        <v>2446</v>
      </c>
      <c r="B2016" s="6" t="s">
        <v>145</v>
      </c>
      <c r="C2016" s="6" t="s">
        <v>1362</v>
      </c>
      <c r="D2016" s="6" t="s">
        <v>1330</v>
      </c>
      <c r="E2016" s="6"/>
      <c r="F2016" s="6" t="s">
        <v>1888</v>
      </c>
      <c r="G2016" s="6" t="s">
        <v>4540</v>
      </c>
      <c r="H2016" s="6" t="s">
        <v>4541</v>
      </c>
      <c r="I2016" s="6" t="n">
        <v>38</v>
      </c>
      <c r="J2016" s="6"/>
      <c r="K2016" s="6" t="s">
        <v>4542</v>
      </c>
      <c r="L2016" s="7"/>
      <c r="M2016" s="7"/>
    </row>
    <row r="2017" customFormat="false" ht="23.85" hidden="false" customHeight="false" outlineLevel="0" collapsed="false">
      <c r="A2017" s="6" t="s">
        <v>2446</v>
      </c>
      <c r="B2017" s="6" t="s">
        <v>145</v>
      </c>
      <c r="C2017" s="6" t="s">
        <v>1362</v>
      </c>
      <c r="D2017" s="6" t="s">
        <v>1330</v>
      </c>
      <c r="E2017" s="6"/>
      <c r="F2017" s="6" t="s">
        <v>1888</v>
      </c>
      <c r="G2017" s="6" t="s">
        <v>4543</v>
      </c>
      <c r="H2017" s="6" t="s">
        <v>4544</v>
      </c>
      <c r="I2017" s="6" t="n">
        <v>28</v>
      </c>
      <c r="J2017" s="6"/>
      <c r="K2017" s="6" t="s">
        <v>4545</v>
      </c>
      <c r="L2017" s="7"/>
      <c r="M2017" s="7"/>
    </row>
    <row r="2018" customFormat="false" ht="35.05" hidden="false" customHeight="false" outlineLevel="0" collapsed="false">
      <c r="A2018" s="6" t="s">
        <v>2446</v>
      </c>
      <c r="B2018" s="6" t="s">
        <v>145</v>
      </c>
      <c r="C2018" s="6" t="s">
        <v>1362</v>
      </c>
      <c r="D2018" s="6" t="s">
        <v>1330</v>
      </c>
      <c r="E2018" s="6"/>
      <c r="F2018" s="6" t="s">
        <v>1888</v>
      </c>
      <c r="G2018" s="6" t="s">
        <v>4546</v>
      </c>
      <c r="H2018" s="6" t="s">
        <v>4547</v>
      </c>
      <c r="I2018" s="6" t="n">
        <v>46</v>
      </c>
      <c r="J2018" s="6"/>
      <c r="K2018" s="6" t="s">
        <v>4548</v>
      </c>
      <c r="L2018" s="7"/>
      <c r="M2018" s="7"/>
    </row>
    <row r="2019" customFormat="false" ht="35.05" hidden="false" customHeight="false" outlineLevel="0" collapsed="false">
      <c r="A2019" s="6" t="s">
        <v>2448</v>
      </c>
      <c r="B2019" s="6" t="s">
        <v>145</v>
      </c>
      <c r="C2019" s="6" t="s">
        <v>1362</v>
      </c>
      <c r="D2019" s="6" t="s">
        <v>1330</v>
      </c>
      <c r="E2019" s="6"/>
      <c r="F2019" s="6" t="s">
        <v>1891</v>
      </c>
      <c r="G2019" s="6" t="s">
        <v>4537</v>
      </c>
      <c r="H2019" s="6" t="s">
        <v>4593</v>
      </c>
      <c r="I2019" s="6" t="n">
        <v>98</v>
      </c>
      <c r="J2019" s="6" t="s">
        <v>83</v>
      </c>
      <c r="K2019" s="6" t="s">
        <v>4594</v>
      </c>
      <c r="L2019" s="7"/>
      <c r="M2019" s="7"/>
    </row>
    <row r="2020" customFormat="false" ht="23.85" hidden="false" customHeight="false" outlineLevel="0" collapsed="false">
      <c r="A2020" s="6" t="s">
        <v>2448</v>
      </c>
      <c r="B2020" s="6" t="s">
        <v>145</v>
      </c>
      <c r="C2020" s="6" t="s">
        <v>1362</v>
      </c>
      <c r="D2020" s="6" t="s">
        <v>1330</v>
      </c>
      <c r="E2020" s="6"/>
      <c r="F2020" s="6" t="s">
        <v>1891</v>
      </c>
      <c r="G2020" s="6" t="s">
        <v>4540</v>
      </c>
      <c r="H2020" s="6" t="s">
        <v>4541</v>
      </c>
      <c r="I2020" s="6" t="n">
        <v>38</v>
      </c>
      <c r="J2020" s="6"/>
      <c r="K2020" s="6" t="s">
        <v>4542</v>
      </c>
      <c r="L2020" s="7"/>
      <c r="M2020" s="7"/>
    </row>
    <row r="2021" customFormat="false" ht="23.85" hidden="false" customHeight="false" outlineLevel="0" collapsed="false">
      <c r="A2021" s="6" t="s">
        <v>2448</v>
      </c>
      <c r="B2021" s="6" t="s">
        <v>145</v>
      </c>
      <c r="C2021" s="6" t="s">
        <v>1362</v>
      </c>
      <c r="D2021" s="6" t="s">
        <v>1330</v>
      </c>
      <c r="E2021" s="6"/>
      <c r="F2021" s="6" t="s">
        <v>1891</v>
      </c>
      <c r="G2021" s="6" t="s">
        <v>4543</v>
      </c>
      <c r="H2021" s="6" t="s">
        <v>4544</v>
      </c>
      <c r="I2021" s="6" t="n">
        <v>28</v>
      </c>
      <c r="J2021" s="6"/>
      <c r="K2021" s="6" t="s">
        <v>4545</v>
      </c>
      <c r="L2021" s="7"/>
      <c r="M2021" s="7"/>
    </row>
    <row r="2022" customFormat="false" ht="35.05" hidden="false" customHeight="false" outlineLevel="0" collapsed="false">
      <c r="A2022" s="6" t="s">
        <v>2448</v>
      </c>
      <c r="B2022" s="6" t="s">
        <v>145</v>
      </c>
      <c r="C2022" s="6" t="s">
        <v>1362</v>
      </c>
      <c r="D2022" s="6" t="s">
        <v>1330</v>
      </c>
      <c r="E2022" s="6"/>
      <c r="F2022" s="6" t="s">
        <v>1891</v>
      </c>
      <c r="G2022" s="6" t="s">
        <v>4546</v>
      </c>
      <c r="H2022" s="6" t="s">
        <v>4547</v>
      </c>
      <c r="I2022" s="6" t="n">
        <v>46</v>
      </c>
      <c r="J2022" s="6"/>
      <c r="K2022" s="6" t="s">
        <v>4548</v>
      </c>
      <c r="L2022" s="7"/>
      <c r="M2022" s="7"/>
    </row>
    <row r="2023" customFormat="false" ht="35.05" hidden="false" customHeight="false" outlineLevel="0" collapsed="false">
      <c r="A2023" s="6" t="s">
        <v>2450</v>
      </c>
      <c r="B2023" s="6" t="s">
        <v>145</v>
      </c>
      <c r="C2023" s="6" t="s">
        <v>1362</v>
      </c>
      <c r="D2023" s="6" t="s">
        <v>1330</v>
      </c>
      <c r="E2023" s="6"/>
      <c r="F2023" s="6" t="s">
        <v>1894</v>
      </c>
      <c r="G2023" s="6" t="s">
        <v>4537</v>
      </c>
      <c r="H2023" s="6" t="s">
        <v>4593</v>
      </c>
      <c r="I2023" s="6" t="n">
        <v>98</v>
      </c>
      <c r="J2023" s="6" t="s">
        <v>83</v>
      </c>
      <c r="K2023" s="6" t="s">
        <v>4594</v>
      </c>
      <c r="L2023" s="7"/>
      <c r="M2023" s="7"/>
    </row>
    <row r="2024" customFormat="false" ht="23.85" hidden="false" customHeight="false" outlineLevel="0" collapsed="false">
      <c r="A2024" s="6" t="s">
        <v>2450</v>
      </c>
      <c r="B2024" s="6" t="s">
        <v>145</v>
      </c>
      <c r="C2024" s="6" t="s">
        <v>1362</v>
      </c>
      <c r="D2024" s="6" t="s">
        <v>1330</v>
      </c>
      <c r="E2024" s="6"/>
      <c r="F2024" s="6" t="s">
        <v>1894</v>
      </c>
      <c r="G2024" s="6" t="s">
        <v>4540</v>
      </c>
      <c r="H2024" s="6" t="s">
        <v>4541</v>
      </c>
      <c r="I2024" s="6" t="n">
        <v>38</v>
      </c>
      <c r="J2024" s="6"/>
      <c r="K2024" s="6" t="s">
        <v>4542</v>
      </c>
      <c r="L2024" s="7"/>
      <c r="M2024" s="7"/>
    </row>
    <row r="2025" customFormat="false" ht="23.85" hidden="false" customHeight="false" outlineLevel="0" collapsed="false">
      <c r="A2025" s="6" t="s">
        <v>2450</v>
      </c>
      <c r="B2025" s="6" t="s">
        <v>145</v>
      </c>
      <c r="C2025" s="6" t="s">
        <v>1362</v>
      </c>
      <c r="D2025" s="6" t="s">
        <v>1330</v>
      </c>
      <c r="E2025" s="6"/>
      <c r="F2025" s="6" t="s">
        <v>1894</v>
      </c>
      <c r="G2025" s="6" t="s">
        <v>4543</v>
      </c>
      <c r="H2025" s="6" t="s">
        <v>4544</v>
      </c>
      <c r="I2025" s="6" t="n">
        <v>28</v>
      </c>
      <c r="J2025" s="6"/>
      <c r="K2025" s="6" t="s">
        <v>4545</v>
      </c>
      <c r="L2025" s="7"/>
      <c r="M2025" s="7"/>
    </row>
    <row r="2026" customFormat="false" ht="35.05" hidden="false" customHeight="false" outlineLevel="0" collapsed="false">
      <c r="A2026" s="6" t="s">
        <v>2450</v>
      </c>
      <c r="B2026" s="6" t="s">
        <v>145</v>
      </c>
      <c r="C2026" s="6" t="s">
        <v>1362</v>
      </c>
      <c r="D2026" s="6" t="s">
        <v>1330</v>
      </c>
      <c r="E2026" s="6"/>
      <c r="F2026" s="6" t="s">
        <v>1894</v>
      </c>
      <c r="G2026" s="6" t="s">
        <v>4546</v>
      </c>
      <c r="H2026" s="6" t="s">
        <v>4547</v>
      </c>
      <c r="I2026" s="6" t="n">
        <v>46</v>
      </c>
      <c r="J2026" s="6"/>
      <c r="K2026" s="6" t="s">
        <v>4548</v>
      </c>
      <c r="L2026" s="7"/>
      <c r="M2026" s="7"/>
    </row>
    <row r="2027" customFormat="false" ht="35.05" hidden="false" customHeight="false" outlineLevel="0" collapsed="false">
      <c r="A2027" s="6" t="s">
        <v>2452</v>
      </c>
      <c r="B2027" s="6" t="s">
        <v>145</v>
      </c>
      <c r="C2027" s="6" t="s">
        <v>1362</v>
      </c>
      <c r="D2027" s="6" t="s">
        <v>1330</v>
      </c>
      <c r="E2027" s="6"/>
      <c r="F2027" s="6" t="s">
        <v>1897</v>
      </c>
      <c r="G2027" s="6" t="s">
        <v>4537</v>
      </c>
      <c r="H2027" s="6" t="s">
        <v>4593</v>
      </c>
      <c r="I2027" s="6" t="n">
        <v>98</v>
      </c>
      <c r="J2027" s="6" t="s">
        <v>83</v>
      </c>
      <c r="K2027" s="6" t="s">
        <v>4594</v>
      </c>
      <c r="L2027" s="7"/>
      <c r="M2027" s="7"/>
    </row>
    <row r="2028" customFormat="false" ht="23.85" hidden="false" customHeight="false" outlineLevel="0" collapsed="false">
      <c r="A2028" s="6" t="s">
        <v>2452</v>
      </c>
      <c r="B2028" s="6" t="s">
        <v>145</v>
      </c>
      <c r="C2028" s="6" t="s">
        <v>1362</v>
      </c>
      <c r="D2028" s="6" t="s">
        <v>1330</v>
      </c>
      <c r="E2028" s="6"/>
      <c r="F2028" s="6" t="s">
        <v>1897</v>
      </c>
      <c r="G2028" s="6" t="s">
        <v>4540</v>
      </c>
      <c r="H2028" s="6" t="s">
        <v>4541</v>
      </c>
      <c r="I2028" s="6" t="n">
        <v>38</v>
      </c>
      <c r="J2028" s="6"/>
      <c r="K2028" s="6" t="s">
        <v>4542</v>
      </c>
      <c r="L2028" s="7"/>
      <c r="M2028" s="7"/>
    </row>
    <row r="2029" customFormat="false" ht="23.85" hidden="false" customHeight="false" outlineLevel="0" collapsed="false">
      <c r="A2029" s="6" t="s">
        <v>2452</v>
      </c>
      <c r="B2029" s="6" t="s">
        <v>145</v>
      </c>
      <c r="C2029" s="6" t="s">
        <v>1362</v>
      </c>
      <c r="D2029" s="6" t="s">
        <v>1330</v>
      </c>
      <c r="E2029" s="6"/>
      <c r="F2029" s="6" t="s">
        <v>1897</v>
      </c>
      <c r="G2029" s="6" t="s">
        <v>4543</v>
      </c>
      <c r="H2029" s="6" t="s">
        <v>4544</v>
      </c>
      <c r="I2029" s="6" t="n">
        <v>28</v>
      </c>
      <c r="J2029" s="6"/>
      <c r="K2029" s="6" t="s">
        <v>4545</v>
      </c>
      <c r="L2029" s="7"/>
      <c r="M2029" s="7"/>
    </row>
    <row r="2030" customFormat="false" ht="35.05" hidden="false" customHeight="false" outlineLevel="0" collapsed="false">
      <c r="A2030" s="6" t="s">
        <v>2452</v>
      </c>
      <c r="B2030" s="6" t="s">
        <v>145</v>
      </c>
      <c r="C2030" s="6" t="s">
        <v>1362</v>
      </c>
      <c r="D2030" s="6" t="s">
        <v>1330</v>
      </c>
      <c r="E2030" s="6"/>
      <c r="F2030" s="6" t="s">
        <v>1897</v>
      </c>
      <c r="G2030" s="6" t="s">
        <v>4546</v>
      </c>
      <c r="H2030" s="6" t="s">
        <v>4547</v>
      </c>
      <c r="I2030" s="6" t="n">
        <v>46</v>
      </c>
      <c r="J2030" s="6"/>
      <c r="K2030" s="6" t="s">
        <v>4548</v>
      </c>
      <c r="L2030" s="7"/>
      <c r="M2030" s="7"/>
    </row>
    <row r="2031" customFormat="false" ht="35.05" hidden="false" customHeight="false" outlineLevel="0" collapsed="false">
      <c r="A2031" s="6" t="s">
        <v>2454</v>
      </c>
      <c r="B2031" s="6" t="s">
        <v>145</v>
      </c>
      <c r="C2031" s="6" t="s">
        <v>1362</v>
      </c>
      <c r="D2031" s="6" t="s">
        <v>1330</v>
      </c>
      <c r="E2031" s="6"/>
      <c r="F2031" s="6" t="s">
        <v>1900</v>
      </c>
      <c r="G2031" s="6" t="s">
        <v>4537</v>
      </c>
      <c r="H2031" s="6" t="s">
        <v>4593</v>
      </c>
      <c r="I2031" s="6" t="n">
        <v>98</v>
      </c>
      <c r="J2031" s="6" t="s">
        <v>83</v>
      </c>
      <c r="K2031" s="6" t="s">
        <v>4594</v>
      </c>
      <c r="L2031" s="7"/>
      <c r="M2031" s="7"/>
    </row>
    <row r="2032" customFormat="false" ht="23.85" hidden="false" customHeight="false" outlineLevel="0" collapsed="false">
      <c r="A2032" s="6" t="s">
        <v>2454</v>
      </c>
      <c r="B2032" s="6" t="s">
        <v>145</v>
      </c>
      <c r="C2032" s="6" t="s">
        <v>1362</v>
      </c>
      <c r="D2032" s="6" t="s">
        <v>1330</v>
      </c>
      <c r="E2032" s="6"/>
      <c r="F2032" s="6" t="s">
        <v>1900</v>
      </c>
      <c r="G2032" s="6" t="s">
        <v>4540</v>
      </c>
      <c r="H2032" s="6" t="s">
        <v>4541</v>
      </c>
      <c r="I2032" s="6" t="n">
        <v>38</v>
      </c>
      <c r="J2032" s="6"/>
      <c r="K2032" s="6" t="s">
        <v>4542</v>
      </c>
      <c r="L2032" s="7"/>
      <c r="M2032" s="7"/>
    </row>
    <row r="2033" customFormat="false" ht="23.85" hidden="false" customHeight="false" outlineLevel="0" collapsed="false">
      <c r="A2033" s="6" t="s">
        <v>2454</v>
      </c>
      <c r="B2033" s="6" t="s">
        <v>145</v>
      </c>
      <c r="C2033" s="6" t="s">
        <v>1362</v>
      </c>
      <c r="D2033" s="6" t="s">
        <v>1330</v>
      </c>
      <c r="E2033" s="6"/>
      <c r="F2033" s="6" t="s">
        <v>1900</v>
      </c>
      <c r="G2033" s="6" t="s">
        <v>4543</v>
      </c>
      <c r="H2033" s="6" t="s">
        <v>4544</v>
      </c>
      <c r="I2033" s="6" t="n">
        <v>28</v>
      </c>
      <c r="J2033" s="6"/>
      <c r="K2033" s="6" t="s">
        <v>4545</v>
      </c>
      <c r="L2033" s="7"/>
      <c r="M2033" s="7"/>
    </row>
    <row r="2034" customFormat="false" ht="35.05" hidden="false" customHeight="false" outlineLevel="0" collapsed="false">
      <c r="A2034" s="6" t="s">
        <v>2454</v>
      </c>
      <c r="B2034" s="6" t="s">
        <v>145</v>
      </c>
      <c r="C2034" s="6" t="s">
        <v>1362</v>
      </c>
      <c r="D2034" s="6" t="s">
        <v>1330</v>
      </c>
      <c r="E2034" s="6"/>
      <c r="F2034" s="6" t="s">
        <v>1900</v>
      </c>
      <c r="G2034" s="6" t="s">
        <v>4546</v>
      </c>
      <c r="H2034" s="6" t="s">
        <v>4547</v>
      </c>
      <c r="I2034" s="6" t="n">
        <v>46</v>
      </c>
      <c r="J2034" s="6"/>
      <c r="K2034" s="6" t="s">
        <v>4548</v>
      </c>
      <c r="L2034" s="7"/>
      <c r="M2034" s="7"/>
    </row>
    <row r="2035" customFormat="false" ht="35.05" hidden="false" customHeight="false" outlineLevel="0" collapsed="false">
      <c r="A2035" s="6" t="s">
        <v>2456</v>
      </c>
      <c r="B2035" s="6" t="s">
        <v>145</v>
      </c>
      <c r="C2035" s="6" t="s">
        <v>1362</v>
      </c>
      <c r="D2035" s="6" t="s">
        <v>1330</v>
      </c>
      <c r="E2035" s="6"/>
      <c r="F2035" s="6" t="s">
        <v>1903</v>
      </c>
      <c r="G2035" s="6" t="s">
        <v>4537</v>
      </c>
      <c r="H2035" s="6" t="s">
        <v>4593</v>
      </c>
      <c r="I2035" s="6" t="n">
        <v>98</v>
      </c>
      <c r="J2035" s="6" t="s">
        <v>83</v>
      </c>
      <c r="K2035" s="6" t="s">
        <v>4594</v>
      </c>
      <c r="L2035" s="7"/>
      <c r="M2035" s="7"/>
    </row>
    <row r="2036" customFormat="false" ht="23.85" hidden="false" customHeight="false" outlineLevel="0" collapsed="false">
      <c r="A2036" s="6" t="s">
        <v>2456</v>
      </c>
      <c r="B2036" s="6" t="s">
        <v>145</v>
      </c>
      <c r="C2036" s="6" t="s">
        <v>1362</v>
      </c>
      <c r="D2036" s="6" t="s">
        <v>1330</v>
      </c>
      <c r="E2036" s="6"/>
      <c r="F2036" s="6" t="s">
        <v>1903</v>
      </c>
      <c r="G2036" s="6" t="s">
        <v>4540</v>
      </c>
      <c r="H2036" s="6" t="s">
        <v>4541</v>
      </c>
      <c r="I2036" s="6" t="n">
        <v>38</v>
      </c>
      <c r="J2036" s="6"/>
      <c r="K2036" s="6" t="s">
        <v>4542</v>
      </c>
      <c r="L2036" s="7"/>
      <c r="M2036" s="7"/>
    </row>
    <row r="2037" customFormat="false" ht="23.85" hidden="false" customHeight="false" outlineLevel="0" collapsed="false">
      <c r="A2037" s="6" t="s">
        <v>2456</v>
      </c>
      <c r="B2037" s="6" t="s">
        <v>145</v>
      </c>
      <c r="C2037" s="6" t="s">
        <v>1362</v>
      </c>
      <c r="D2037" s="6" t="s">
        <v>1330</v>
      </c>
      <c r="E2037" s="6"/>
      <c r="F2037" s="6" t="s">
        <v>1903</v>
      </c>
      <c r="G2037" s="6" t="s">
        <v>4543</v>
      </c>
      <c r="H2037" s="6" t="s">
        <v>4544</v>
      </c>
      <c r="I2037" s="6" t="n">
        <v>28</v>
      </c>
      <c r="J2037" s="6"/>
      <c r="K2037" s="6" t="s">
        <v>4545</v>
      </c>
      <c r="L2037" s="7"/>
      <c r="M2037" s="7"/>
    </row>
    <row r="2038" customFormat="false" ht="35.05" hidden="false" customHeight="false" outlineLevel="0" collapsed="false">
      <c r="A2038" s="6" t="s">
        <v>2456</v>
      </c>
      <c r="B2038" s="6" t="s">
        <v>145</v>
      </c>
      <c r="C2038" s="6" t="s">
        <v>1362</v>
      </c>
      <c r="D2038" s="6" t="s">
        <v>1330</v>
      </c>
      <c r="E2038" s="6"/>
      <c r="F2038" s="6" t="s">
        <v>1903</v>
      </c>
      <c r="G2038" s="6" t="s">
        <v>4546</v>
      </c>
      <c r="H2038" s="6" t="s">
        <v>4547</v>
      </c>
      <c r="I2038" s="6" t="n">
        <v>46</v>
      </c>
      <c r="J2038" s="6"/>
      <c r="K2038" s="6" t="s">
        <v>4548</v>
      </c>
      <c r="L2038" s="7"/>
      <c r="M2038" s="7"/>
    </row>
    <row r="2039" customFormat="false" ht="35.05" hidden="false" customHeight="false" outlineLevel="0" collapsed="false">
      <c r="A2039" s="6" t="s">
        <v>2458</v>
      </c>
      <c r="B2039" s="6" t="s">
        <v>145</v>
      </c>
      <c r="C2039" s="6" t="s">
        <v>1362</v>
      </c>
      <c r="D2039" s="6" t="s">
        <v>1330</v>
      </c>
      <c r="E2039" s="6"/>
      <c r="F2039" s="6" t="s">
        <v>1906</v>
      </c>
      <c r="G2039" s="6" t="s">
        <v>4537</v>
      </c>
      <c r="H2039" s="6" t="s">
        <v>4593</v>
      </c>
      <c r="I2039" s="6" t="n">
        <v>98</v>
      </c>
      <c r="J2039" s="6" t="s">
        <v>83</v>
      </c>
      <c r="K2039" s="6" t="s">
        <v>4594</v>
      </c>
      <c r="L2039" s="7"/>
      <c r="M2039" s="7"/>
    </row>
    <row r="2040" customFormat="false" ht="23.85" hidden="false" customHeight="false" outlineLevel="0" collapsed="false">
      <c r="A2040" s="6" t="s">
        <v>2458</v>
      </c>
      <c r="B2040" s="6" t="s">
        <v>145</v>
      </c>
      <c r="C2040" s="6" t="s">
        <v>1362</v>
      </c>
      <c r="D2040" s="6" t="s">
        <v>1330</v>
      </c>
      <c r="E2040" s="6"/>
      <c r="F2040" s="6" t="s">
        <v>1906</v>
      </c>
      <c r="G2040" s="6" t="s">
        <v>4540</v>
      </c>
      <c r="H2040" s="6" t="s">
        <v>4541</v>
      </c>
      <c r="I2040" s="6" t="n">
        <v>38</v>
      </c>
      <c r="J2040" s="6"/>
      <c r="K2040" s="6" t="s">
        <v>4542</v>
      </c>
      <c r="L2040" s="7"/>
      <c r="M2040" s="7"/>
    </row>
    <row r="2041" customFormat="false" ht="23.85" hidden="false" customHeight="false" outlineLevel="0" collapsed="false">
      <c r="A2041" s="6" t="s">
        <v>2458</v>
      </c>
      <c r="B2041" s="6" t="s">
        <v>145</v>
      </c>
      <c r="C2041" s="6" t="s">
        <v>1362</v>
      </c>
      <c r="D2041" s="6" t="s">
        <v>1330</v>
      </c>
      <c r="E2041" s="6"/>
      <c r="F2041" s="6" t="s">
        <v>1906</v>
      </c>
      <c r="G2041" s="6" t="s">
        <v>4543</v>
      </c>
      <c r="H2041" s="6" t="s">
        <v>4544</v>
      </c>
      <c r="I2041" s="6" t="n">
        <v>28</v>
      </c>
      <c r="J2041" s="6"/>
      <c r="K2041" s="6" t="s">
        <v>4545</v>
      </c>
      <c r="L2041" s="7"/>
      <c r="M2041" s="7"/>
    </row>
    <row r="2042" customFormat="false" ht="35.05" hidden="false" customHeight="false" outlineLevel="0" collapsed="false">
      <c r="A2042" s="6" t="s">
        <v>2458</v>
      </c>
      <c r="B2042" s="6" t="s">
        <v>145</v>
      </c>
      <c r="C2042" s="6" t="s">
        <v>1362</v>
      </c>
      <c r="D2042" s="6" t="s">
        <v>1330</v>
      </c>
      <c r="E2042" s="6"/>
      <c r="F2042" s="6" t="s">
        <v>1906</v>
      </c>
      <c r="G2042" s="6" t="s">
        <v>4546</v>
      </c>
      <c r="H2042" s="6" t="s">
        <v>4547</v>
      </c>
      <c r="I2042" s="6" t="n">
        <v>46</v>
      </c>
      <c r="J2042" s="6"/>
      <c r="K2042" s="6" t="s">
        <v>4548</v>
      </c>
      <c r="L2042" s="7"/>
      <c r="M2042" s="7"/>
    </row>
    <row r="2043" customFormat="false" ht="35.05" hidden="false" customHeight="false" outlineLevel="0" collapsed="false">
      <c r="A2043" s="6" t="s">
        <v>2460</v>
      </c>
      <c r="B2043" s="6" t="s">
        <v>145</v>
      </c>
      <c r="C2043" s="6" t="s">
        <v>1362</v>
      </c>
      <c r="D2043" s="6" t="s">
        <v>1330</v>
      </c>
      <c r="E2043" s="6"/>
      <c r="F2043" s="6" t="s">
        <v>1909</v>
      </c>
      <c r="G2043" s="6" t="s">
        <v>4537</v>
      </c>
      <c r="H2043" s="6" t="s">
        <v>4593</v>
      </c>
      <c r="I2043" s="6" t="n">
        <v>98</v>
      </c>
      <c r="J2043" s="6" t="s">
        <v>83</v>
      </c>
      <c r="K2043" s="6" t="s">
        <v>4594</v>
      </c>
      <c r="L2043" s="7"/>
      <c r="M2043" s="7"/>
    </row>
    <row r="2044" customFormat="false" ht="23.85" hidden="false" customHeight="false" outlineLevel="0" collapsed="false">
      <c r="A2044" s="6" t="s">
        <v>2460</v>
      </c>
      <c r="B2044" s="6" t="s">
        <v>145</v>
      </c>
      <c r="C2044" s="6" t="s">
        <v>1362</v>
      </c>
      <c r="D2044" s="6" t="s">
        <v>1330</v>
      </c>
      <c r="E2044" s="6"/>
      <c r="F2044" s="6" t="s">
        <v>1909</v>
      </c>
      <c r="G2044" s="6" t="s">
        <v>4540</v>
      </c>
      <c r="H2044" s="6" t="s">
        <v>4541</v>
      </c>
      <c r="I2044" s="6" t="n">
        <v>38</v>
      </c>
      <c r="J2044" s="6"/>
      <c r="K2044" s="6" t="s">
        <v>4542</v>
      </c>
      <c r="L2044" s="7"/>
      <c r="M2044" s="7"/>
    </row>
    <row r="2045" customFormat="false" ht="23.85" hidden="false" customHeight="false" outlineLevel="0" collapsed="false">
      <c r="A2045" s="6" t="s">
        <v>2460</v>
      </c>
      <c r="B2045" s="6" t="s">
        <v>145</v>
      </c>
      <c r="C2045" s="6" t="s">
        <v>1362</v>
      </c>
      <c r="D2045" s="6" t="s">
        <v>1330</v>
      </c>
      <c r="E2045" s="6"/>
      <c r="F2045" s="6" t="s">
        <v>1909</v>
      </c>
      <c r="G2045" s="6" t="s">
        <v>4543</v>
      </c>
      <c r="H2045" s="6" t="s">
        <v>4544</v>
      </c>
      <c r="I2045" s="6" t="n">
        <v>28</v>
      </c>
      <c r="J2045" s="6"/>
      <c r="K2045" s="6" t="s">
        <v>4545</v>
      </c>
      <c r="L2045" s="7"/>
      <c r="M2045" s="7"/>
    </row>
    <row r="2046" customFormat="false" ht="35.05" hidden="false" customHeight="false" outlineLevel="0" collapsed="false">
      <c r="A2046" s="6" t="s">
        <v>2460</v>
      </c>
      <c r="B2046" s="6" t="s">
        <v>145</v>
      </c>
      <c r="C2046" s="6" t="s">
        <v>1362</v>
      </c>
      <c r="D2046" s="6" t="s">
        <v>1330</v>
      </c>
      <c r="E2046" s="6"/>
      <c r="F2046" s="6" t="s">
        <v>1909</v>
      </c>
      <c r="G2046" s="6" t="s">
        <v>4546</v>
      </c>
      <c r="H2046" s="6" t="s">
        <v>4547</v>
      </c>
      <c r="I2046" s="6" t="n">
        <v>46</v>
      </c>
      <c r="J2046" s="6"/>
      <c r="K2046" s="6" t="s">
        <v>4548</v>
      </c>
      <c r="L2046" s="7"/>
      <c r="M2046" s="7"/>
    </row>
    <row r="2047" customFormat="false" ht="23.85" hidden="false" customHeight="false" outlineLevel="0" collapsed="false">
      <c r="A2047" s="6" t="s">
        <v>2462</v>
      </c>
      <c r="B2047" s="6" t="s">
        <v>123</v>
      </c>
      <c r="C2047" s="6" t="s">
        <v>79</v>
      </c>
      <c r="D2047" s="6" t="s">
        <v>1062</v>
      </c>
      <c r="E2047" s="6" t="s">
        <v>4095</v>
      </c>
      <c r="F2047" s="6" t="s">
        <v>4595</v>
      </c>
      <c r="G2047" s="6" t="s">
        <v>3651</v>
      </c>
      <c r="H2047" s="6" t="s">
        <v>4596</v>
      </c>
      <c r="I2047" s="6" t="n">
        <v>20</v>
      </c>
      <c r="J2047" s="6"/>
      <c r="K2047" s="6" t="s">
        <v>4597</v>
      </c>
      <c r="L2047" s="7"/>
      <c r="M2047" s="7"/>
    </row>
    <row r="2048" customFormat="false" ht="23.85" hidden="false" customHeight="false" outlineLevel="0" collapsed="false">
      <c r="A2048" s="6" t="s">
        <v>2462</v>
      </c>
      <c r="B2048" s="6" t="s">
        <v>123</v>
      </c>
      <c r="C2048" s="6" t="s">
        <v>79</v>
      </c>
      <c r="D2048" s="6" t="s">
        <v>1062</v>
      </c>
      <c r="E2048" s="6" t="s">
        <v>4095</v>
      </c>
      <c r="F2048" s="6" t="s">
        <v>4595</v>
      </c>
      <c r="G2048" s="6" t="s">
        <v>3654</v>
      </c>
      <c r="H2048" s="6" t="s">
        <v>4598</v>
      </c>
      <c r="I2048" s="6" t="n">
        <v>95</v>
      </c>
      <c r="J2048" s="6" t="s">
        <v>83</v>
      </c>
      <c r="K2048" s="6" t="s">
        <v>4599</v>
      </c>
      <c r="L2048" s="7"/>
      <c r="M2048" s="7"/>
    </row>
    <row r="2049" customFormat="false" ht="23.85" hidden="false" customHeight="false" outlineLevel="0" collapsed="false">
      <c r="A2049" s="6" t="s">
        <v>2462</v>
      </c>
      <c r="B2049" s="6" t="s">
        <v>123</v>
      </c>
      <c r="C2049" s="6" t="s">
        <v>79</v>
      </c>
      <c r="D2049" s="6" t="s">
        <v>1062</v>
      </c>
      <c r="E2049" s="6" t="s">
        <v>4095</v>
      </c>
      <c r="F2049" s="6" t="s">
        <v>4595</v>
      </c>
      <c r="G2049" s="6" t="s">
        <v>3657</v>
      </c>
      <c r="H2049" s="6" t="s">
        <v>4600</v>
      </c>
      <c r="I2049" s="6" t="n">
        <v>25</v>
      </c>
      <c r="J2049" s="6"/>
      <c r="K2049" s="6" t="s">
        <v>4601</v>
      </c>
      <c r="L2049" s="7"/>
      <c r="M2049" s="7"/>
    </row>
    <row r="2050" customFormat="false" ht="23.85" hidden="false" customHeight="false" outlineLevel="0" collapsed="false">
      <c r="A2050" s="6" t="s">
        <v>2462</v>
      </c>
      <c r="B2050" s="6" t="s">
        <v>123</v>
      </c>
      <c r="C2050" s="6" t="s">
        <v>79</v>
      </c>
      <c r="D2050" s="6" t="s">
        <v>1062</v>
      </c>
      <c r="E2050" s="6" t="s">
        <v>4098</v>
      </c>
      <c r="F2050" s="6" t="s">
        <v>4602</v>
      </c>
      <c r="G2050" s="6" t="s">
        <v>3651</v>
      </c>
      <c r="H2050" s="6" t="s">
        <v>4603</v>
      </c>
      <c r="I2050" s="6" t="n">
        <v>95</v>
      </c>
      <c r="J2050" s="6" t="s">
        <v>83</v>
      </c>
      <c r="K2050" s="6" t="s">
        <v>4604</v>
      </c>
      <c r="L2050" s="7"/>
      <c r="M2050" s="7"/>
    </row>
    <row r="2051" customFormat="false" ht="23.85" hidden="false" customHeight="false" outlineLevel="0" collapsed="false">
      <c r="A2051" s="6" t="s">
        <v>2462</v>
      </c>
      <c r="B2051" s="6" t="s">
        <v>123</v>
      </c>
      <c r="C2051" s="6" t="s">
        <v>79</v>
      </c>
      <c r="D2051" s="6" t="s">
        <v>1062</v>
      </c>
      <c r="E2051" s="6" t="s">
        <v>4098</v>
      </c>
      <c r="F2051" s="6" t="s">
        <v>4602</v>
      </c>
      <c r="G2051" s="6" t="s">
        <v>3654</v>
      </c>
      <c r="H2051" s="6" t="s">
        <v>4605</v>
      </c>
      <c r="I2051" s="6" t="n">
        <v>20</v>
      </c>
      <c r="J2051" s="6"/>
      <c r="K2051" s="6" t="s">
        <v>4606</v>
      </c>
      <c r="L2051" s="7"/>
      <c r="M2051" s="7"/>
    </row>
    <row r="2052" customFormat="false" ht="23.85" hidden="false" customHeight="false" outlineLevel="0" collapsed="false">
      <c r="A2052" s="6" t="s">
        <v>2462</v>
      </c>
      <c r="B2052" s="6" t="s">
        <v>123</v>
      </c>
      <c r="C2052" s="6" t="s">
        <v>79</v>
      </c>
      <c r="D2052" s="6" t="s">
        <v>1062</v>
      </c>
      <c r="E2052" s="6" t="s">
        <v>4098</v>
      </c>
      <c r="F2052" s="6" t="s">
        <v>4602</v>
      </c>
      <c r="G2052" s="6" t="s">
        <v>3657</v>
      </c>
      <c r="H2052" s="6" t="s">
        <v>4607</v>
      </c>
      <c r="I2052" s="6" t="n">
        <v>5</v>
      </c>
      <c r="J2052" s="6"/>
      <c r="K2052" s="6" t="s">
        <v>4608</v>
      </c>
      <c r="L2052" s="7"/>
      <c r="M2052" s="7"/>
    </row>
    <row r="2053" customFormat="false" ht="23.85" hidden="false" customHeight="false" outlineLevel="0" collapsed="false">
      <c r="A2053" s="6" t="s">
        <v>2462</v>
      </c>
      <c r="B2053" s="6" t="s">
        <v>123</v>
      </c>
      <c r="C2053" s="6" t="s">
        <v>79</v>
      </c>
      <c r="D2053" s="6" t="s">
        <v>1062</v>
      </c>
      <c r="E2053" s="6" t="s">
        <v>4609</v>
      </c>
      <c r="F2053" s="6" t="s">
        <v>4610</v>
      </c>
      <c r="G2053" s="6" t="s">
        <v>3651</v>
      </c>
      <c r="H2053" s="6" t="s">
        <v>4611</v>
      </c>
      <c r="I2053" s="6" t="n">
        <v>25</v>
      </c>
      <c r="J2053" s="6"/>
      <c r="K2053" s="6" t="s">
        <v>4612</v>
      </c>
      <c r="L2053" s="7"/>
      <c r="M2053" s="7"/>
    </row>
    <row r="2054" customFormat="false" ht="23.85" hidden="false" customHeight="false" outlineLevel="0" collapsed="false">
      <c r="A2054" s="6" t="s">
        <v>2462</v>
      </c>
      <c r="B2054" s="6" t="s">
        <v>123</v>
      </c>
      <c r="C2054" s="6" t="s">
        <v>79</v>
      </c>
      <c r="D2054" s="6" t="s">
        <v>1062</v>
      </c>
      <c r="E2054" s="6" t="s">
        <v>4609</v>
      </c>
      <c r="F2054" s="6" t="s">
        <v>4610</v>
      </c>
      <c r="G2054" s="6" t="s">
        <v>3654</v>
      </c>
      <c r="H2054" s="6" t="s">
        <v>4613</v>
      </c>
      <c r="I2054" s="6" t="n">
        <v>5</v>
      </c>
      <c r="J2054" s="6"/>
      <c r="K2054" s="6" t="s">
        <v>4614</v>
      </c>
      <c r="L2054" s="7"/>
      <c r="M2054" s="7"/>
    </row>
    <row r="2055" customFormat="false" ht="23.85" hidden="false" customHeight="false" outlineLevel="0" collapsed="false">
      <c r="A2055" s="6" t="s">
        <v>2462</v>
      </c>
      <c r="B2055" s="6" t="s">
        <v>123</v>
      </c>
      <c r="C2055" s="6" t="s">
        <v>79</v>
      </c>
      <c r="D2055" s="6" t="s">
        <v>1062</v>
      </c>
      <c r="E2055" s="6" t="s">
        <v>4609</v>
      </c>
      <c r="F2055" s="6" t="s">
        <v>4610</v>
      </c>
      <c r="G2055" s="6" t="s">
        <v>3657</v>
      </c>
      <c r="H2055" s="6" t="s">
        <v>4615</v>
      </c>
      <c r="I2055" s="6" t="n">
        <v>95</v>
      </c>
      <c r="J2055" s="6" t="s">
        <v>83</v>
      </c>
      <c r="K2055" s="6" t="s">
        <v>4616</v>
      </c>
      <c r="L2055" s="7"/>
      <c r="M2055" s="7"/>
    </row>
    <row r="2056" customFormat="false" ht="23.85" hidden="false" customHeight="false" outlineLevel="0" collapsed="false">
      <c r="A2056" s="6" t="s">
        <v>2472</v>
      </c>
      <c r="B2056" s="6" t="s">
        <v>123</v>
      </c>
      <c r="C2056" s="6" t="s">
        <v>98</v>
      </c>
      <c r="D2056" s="6" t="s">
        <v>372</v>
      </c>
      <c r="E2056" s="6"/>
      <c r="F2056" s="6" t="s">
        <v>2478</v>
      </c>
      <c r="G2056" s="6" t="s">
        <v>3651</v>
      </c>
      <c r="H2056" s="6" t="s">
        <v>4617</v>
      </c>
      <c r="I2056" s="6" t="n">
        <v>96</v>
      </c>
      <c r="J2056" s="6" t="s">
        <v>83</v>
      </c>
      <c r="K2056" s="6" t="s">
        <v>4618</v>
      </c>
      <c r="L2056" s="7"/>
      <c r="M2056" s="7"/>
    </row>
    <row r="2057" customFormat="false" ht="23.85" hidden="false" customHeight="false" outlineLevel="0" collapsed="false">
      <c r="A2057" s="6" t="s">
        <v>2472</v>
      </c>
      <c r="B2057" s="6" t="s">
        <v>123</v>
      </c>
      <c r="C2057" s="6" t="s">
        <v>98</v>
      </c>
      <c r="D2057" s="6" t="s">
        <v>372</v>
      </c>
      <c r="E2057" s="6"/>
      <c r="F2057" s="6" t="s">
        <v>2478</v>
      </c>
      <c r="G2057" s="6" t="s">
        <v>3654</v>
      </c>
      <c r="H2057" s="6" t="s">
        <v>4619</v>
      </c>
      <c r="I2057" s="6" t="n">
        <v>15</v>
      </c>
      <c r="J2057" s="6"/>
      <c r="K2057" s="6" t="s">
        <v>4620</v>
      </c>
      <c r="L2057" s="7"/>
      <c r="M2057" s="7"/>
    </row>
    <row r="2058" customFormat="false" ht="15" hidden="false" customHeight="false" outlineLevel="0" collapsed="false">
      <c r="A2058" s="6" t="s">
        <v>2472</v>
      </c>
      <c r="B2058" s="6" t="s">
        <v>123</v>
      </c>
      <c r="C2058" s="6" t="s">
        <v>98</v>
      </c>
      <c r="D2058" s="6" t="s">
        <v>372</v>
      </c>
      <c r="E2058" s="6"/>
      <c r="F2058" s="6" t="s">
        <v>2478</v>
      </c>
      <c r="G2058" s="6" t="s">
        <v>3657</v>
      </c>
      <c r="H2058" s="6" t="s">
        <v>4621</v>
      </c>
      <c r="I2058" s="6" t="n">
        <v>5</v>
      </c>
      <c r="J2058" s="6"/>
      <c r="K2058" s="6" t="s">
        <v>4622</v>
      </c>
      <c r="L2058" s="7"/>
      <c r="M2058" s="7"/>
    </row>
    <row r="2059" customFormat="false" ht="15" hidden="false" customHeight="false" outlineLevel="0" collapsed="false">
      <c r="A2059" s="6" t="s">
        <v>2472</v>
      </c>
      <c r="B2059" s="6" t="s">
        <v>123</v>
      </c>
      <c r="C2059" s="6" t="s">
        <v>98</v>
      </c>
      <c r="D2059" s="6" t="s">
        <v>372</v>
      </c>
      <c r="E2059" s="6"/>
      <c r="F2059" s="6" t="s">
        <v>2478</v>
      </c>
      <c r="G2059" s="6" t="s">
        <v>3660</v>
      </c>
      <c r="H2059" s="6" t="s">
        <v>4623</v>
      </c>
      <c r="I2059" s="6" t="n">
        <v>35</v>
      </c>
      <c r="J2059" s="6"/>
      <c r="K2059" s="6" t="s">
        <v>4624</v>
      </c>
      <c r="L2059" s="7"/>
      <c r="M2059" s="7"/>
    </row>
    <row r="2060" customFormat="false" ht="23.85" hidden="false" customHeight="false" outlineLevel="0" collapsed="false">
      <c r="A2060" s="6" t="s">
        <v>2491</v>
      </c>
      <c r="B2060" s="6" t="s">
        <v>77</v>
      </c>
      <c r="C2060" s="6" t="s">
        <v>165</v>
      </c>
      <c r="D2060" s="6" t="s">
        <v>431</v>
      </c>
      <c r="E2060" s="6" t="s">
        <v>432</v>
      </c>
      <c r="F2060" s="6" t="s">
        <v>2500</v>
      </c>
      <c r="G2060" s="6" t="s">
        <v>3729</v>
      </c>
      <c r="H2060" s="6" t="s">
        <v>4625</v>
      </c>
      <c r="I2060" s="6" t="n">
        <v>1</v>
      </c>
      <c r="J2060" s="6" t="s">
        <v>3692</v>
      </c>
      <c r="K2060" s="6"/>
      <c r="L2060" s="7"/>
      <c r="M2060" s="7"/>
    </row>
    <row r="2061" customFormat="false" ht="23.85" hidden="false" customHeight="false" outlineLevel="0" collapsed="false">
      <c r="A2061" s="6" t="s">
        <v>2491</v>
      </c>
      <c r="B2061" s="6" t="s">
        <v>77</v>
      </c>
      <c r="C2061" s="6" t="s">
        <v>165</v>
      </c>
      <c r="D2061" s="6" t="s">
        <v>431</v>
      </c>
      <c r="E2061" s="6" t="s">
        <v>432</v>
      </c>
      <c r="F2061" s="6" t="s">
        <v>2500</v>
      </c>
      <c r="G2061" s="6" t="s">
        <v>4626</v>
      </c>
      <c r="H2061" s="6" t="s">
        <v>4627</v>
      </c>
      <c r="I2061" s="6" t="n">
        <v>2</v>
      </c>
      <c r="J2061" s="6" t="s">
        <v>3695</v>
      </c>
      <c r="K2061" s="6"/>
      <c r="L2061" s="7"/>
      <c r="M2061" s="7"/>
    </row>
    <row r="2062" customFormat="false" ht="23.85" hidden="false" customHeight="false" outlineLevel="0" collapsed="false">
      <c r="A2062" s="6" t="s">
        <v>2491</v>
      </c>
      <c r="B2062" s="6" t="s">
        <v>77</v>
      </c>
      <c r="C2062" s="6" t="s">
        <v>165</v>
      </c>
      <c r="D2062" s="6" t="s">
        <v>431</v>
      </c>
      <c r="E2062" s="6" t="s">
        <v>432</v>
      </c>
      <c r="F2062" s="6" t="s">
        <v>2500</v>
      </c>
      <c r="G2062" s="6" t="s">
        <v>4131</v>
      </c>
      <c r="H2062" s="6" t="s">
        <v>4628</v>
      </c>
      <c r="I2062" s="6" t="n">
        <v>3</v>
      </c>
      <c r="J2062" s="6" t="s">
        <v>3698</v>
      </c>
      <c r="K2062" s="6"/>
      <c r="L2062" s="7"/>
      <c r="M2062" s="7"/>
    </row>
    <row r="2063" customFormat="false" ht="23.85" hidden="false" customHeight="false" outlineLevel="0" collapsed="false">
      <c r="A2063" s="6" t="s">
        <v>2491</v>
      </c>
      <c r="B2063" s="6" t="s">
        <v>77</v>
      </c>
      <c r="C2063" s="6" t="s">
        <v>165</v>
      </c>
      <c r="D2063" s="6" t="s">
        <v>431</v>
      </c>
      <c r="E2063" s="6" t="s">
        <v>432</v>
      </c>
      <c r="F2063" s="6" t="s">
        <v>2500</v>
      </c>
      <c r="G2063" s="6" t="s">
        <v>3731</v>
      </c>
      <c r="H2063" s="6" t="s">
        <v>4629</v>
      </c>
      <c r="I2063" s="6" t="n">
        <v>4</v>
      </c>
      <c r="J2063" s="6" t="s">
        <v>3701</v>
      </c>
      <c r="K2063" s="6"/>
      <c r="L2063" s="7"/>
      <c r="M2063" s="7"/>
    </row>
    <row r="2064" customFormat="false" ht="23.85" hidden="false" customHeight="false" outlineLevel="0" collapsed="false">
      <c r="A2064" s="6" t="s">
        <v>2491</v>
      </c>
      <c r="B2064" s="6" t="s">
        <v>77</v>
      </c>
      <c r="C2064" s="6" t="s">
        <v>165</v>
      </c>
      <c r="D2064" s="6" t="s">
        <v>431</v>
      </c>
      <c r="E2064" s="6" t="s">
        <v>432</v>
      </c>
      <c r="F2064" s="6" t="s">
        <v>2500</v>
      </c>
      <c r="G2064" s="6" t="s">
        <v>4128</v>
      </c>
      <c r="H2064" s="6" t="s">
        <v>4630</v>
      </c>
      <c r="I2064" s="6" t="n">
        <v>5</v>
      </c>
      <c r="J2064" s="6" t="s">
        <v>3866</v>
      </c>
      <c r="K2064" s="6"/>
      <c r="L2064" s="7"/>
      <c r="M2064" s="7"/>
    </row>
    <row r="2065" customFormat="false" ht="23.85" hidden="false" customHeight="false" outlineLevel="0" collapsed="false">
      <c r="A2065" s="6" t="s">
        <v>2503</v>
      </c>
      <c r="B2065" s="6" t="s">
        <v>96</v>
      </c>
      <c r="C2065" s="6" t="s">
        <v>165</v>
      </c>
      <c r="D2065" s="6" t="s">
        <v>372</v>
      </c>
      <c r="E2065" s="6"/>
      <c r="F2065" s="6" t="s">
        <v>2509</v>
      </c>
      <c r="G2065" s="6" t="s">
        <v>3926</v>
      </c>
      <c r="H2065" s="6" t="s">
        <v>4631</v>
      </c>
      <c r="I2065" s="6" t="n">
        <v>25</v>
      </c>
      <c r="J2065" s="6" t="s">
        <v>83</v>
      </c>
      <c r="K2065" s="6" t="s">
        <v>4632</v>
      </c>
      <c r="L2065" s="7"/>
      <c r="M2065" s="7"/>
    </row>
    <row r="2066" customFormat="false" ht="23.85" hidden="false" customHeight="false" outlineLevel="0" collapsed="false">
      <c r="A2066" s="6" t="s">
        <v>2503</v>
      </c>
      <c r="B2066" s="6" t="s">
        <v>96</v>
      </c>
      <c r="C2066" s="6" t="s">
        <v>165</v>
      </c>
      <c r="D2066" s="6" t="s">
        <v>372</v>
      </c>
      <c r="E2066" s="6"/>
      <c r="F2066" s="6" t="s">
        <v>2509</v>
      </c>
      <c r="G2066" s="6" t="s">
        <v>4633</v>
      </c>
      <c r="H2066" s="6" t="s">
        <v>4634</v>
      </c>
      <c r="I2066" s="6" t="n">
        <v>25</v>
      </c>
      <c r="J2066" s="6" t="s">
        <v>83</v>
      </c>
      <c r="K2066" s="6" t="s">
        <v>4635</v>
      </c>
      <c r="L2066" s="7"/>
      <c r="M2066" s="7"/>
    </row>
    <row r="2067" customFormat="false" ht="23.85" hidden="false" customHeight="false" outlineLevel="0" collapsed="false">
      <c r="A2067" s="6" t="s">
        <v>2503</v>
      </c>
      <c r="B2067" s="6" t="s">
        <v>96</v>
      </c>
      <c r="C2067" s="6" t="s">
        <v>165</v>
      </c>
      <c r="D2067" s="6" t="s">
        <v>372</v>
      </c>
      <c r="E2067" s="6"/>
      <c r="F2067" s="6" t="s">
        <v>2509</v>
      </c>
      <c r="G2067" s="6" t="s">
        <v>4636</v>
      </c>
      <c r="H2067" s="6" t="s">
        <v>4637</v>
      </c>
      <c r="I2067" s="6" t="n">
        <v>25</v>
      </c>
      <c r="J2067" s="6" t="s">
        <v>83</v>
      </c>
      <c r="K2067" s="6" t="s">
        <v>4638</v>
      </c>
      <c r="L2067" s="7"/>
      <c r="M2067" s="7"/>
    </row>
    <row r="2068" customFormat="false" ht="23.85" hidden="false" customHeight="false" outlineLevel="0" collapsed="false">
      <c r="A2068" s="6" t="s">
        <v>2503</v>
      </c>
      <c r="B2068" s="6" t="s">
        <v>96</v>
      </c>
      <c r="C2068" s="6" t="s">
        <v>165</v>
      </c>
      <c r="D2068" s="6" t="s">
        <v>372</v>
      </c>
      <c r="E2068" s="6"/>
      <c r="F2068" s="6" t="s">
        <v>2509</v>
      </c>
      <c r="G2068" s="6" t="s">
        <v>4639</v>
      </c>
      <c r="H2068" s="6" t="s">
        <v>4640</v>
      </c>
      <c r="I2068" s="6" t="n">
        <v>25</v>
      </c>
      <c r="J2068" s="6" t="s">
        <v>83</v>
      </c>
      <c r="K2068" s="6" t="s">
        <v>4641</v>
      </c>
      <c r="L2068" s="7"/>
      <c r="M2068" s="7"/>
    </row>
    <row r="2069" customFormat="false" ht="23.85" hidden="false" customHeight="false" outlineLevel="0" collapsed="false">
      <c r="A2069" s="6" t="s">
        <v>2503</v>
      </c>
      <c r="B2069" s="6" t="s">
        <v>96</v>
      </c>
      <c r="C2069" s="6" t="s">
        <v>165</v>
      </c>
      <c r="D2069" s="6" t="s">
        <v>372</v>
      </c>
      <c r="E2069" s="6"/>
      <c r="F2069" s="6" t="s">
        <v>2509</v>
      </c>
      <c r="G2069" s="6" t="s">
        <v>4642</v>
      </c>
      <c r="H2069" s="6" t="s">
        <v>4643</v>
      </c>
      <c r="I2069" s="6" t="n">
        <v>0</v>
      </c>
      <c r="J2069" s="6"/>
      <c r="K2069" s="6" t="s">
        <v>4644</v>
      </c>
      <c r="L2069" s="7"/>
      <c r="M2069" s="7"/>
    </row>
    <row r="2070" customFormat="false" ht="15" hidden="false" customHeight="false" outlineLevel="0" collapsed="false">
      <c r="A2070" s="6" t="s">
        <v>2513</v>
      </c>
      <c r="B2070" s="6" t="s">
        <v>96</v>
      </c>
      <c r="C2070" s="6" t="s">
        <v>98</v>
      </c>
      <c r="D2070" s="6" t="s">
        <v>781</v>
      </c>
      <c r="E2070" s="6"/>
      <c r="F2070" s="6" t="s">
        <v>2520</v>
      </c>
      <c r="G2070" s="6" t="s">
        <v>4645</v>
      </c>
      <c r="H2070" s="6" t="s">
        <v>4646</v>
      </c>
      <c r="I2070" s="6" t="n">
        <v>25</v>
      </c>
      <c r="J2070" s="6" t="s">
        <v>83</v>
      </c>
      <c r="K2070" s="6" t="s">
        <v>4647</v>
      </c>
      <c r="L2070" s="7"/>
      <c r="M2070" s="7"/>
    </row>
    <row r="2071" customFormat="false" ht="15" hidden="false" customHeight="false" outlineLevel="0" collapsed="false">
      <c r="A2071" s="6" t="s">
        <v>2513</v>
      </c>
      <c r="B2071" s="6" t="s">
        <v>96</v>
      </c>
      <c r="C2071" s="6" t="s">
        <v>98</v>
      </c>
      <c r="D2071" s="6" t="s">
        <v>781</v>
      </c>
      <c r="E2071" s="6"/>
      <c r="F2071" s="6" t="s">
        <v>2520</v>
      </c>
      <c r="G2071" s="6" t="s">
        <v>4648</v>
      </c>
      <c r="H2071" s="6" t="s">
        <v>4649</v>
      </c>
      <c r="I2071" s="6" t="n">
        <v>25</v>
      </c>
      <c r="J2071" s="6" t="s">
        <v>83</v>
      </c>
      <c r="K2071" s="6" t="s">
        <v>4650</v>
      </c>
      <c r="L2071" s="7"/>
      <c r="M2071" s="7"/>
    </row>
    <row r="2072" customFormat="false" ht="15" hidden="false" customHeight="false" outlineLevel="0" collapsed="false">
      <c r="A2072" s="6" t="s">
        <v>2513</v>
      </c>
      <c r="B2072" s="6" t="s">
        <v>96</v>
      </c>
      <c r="C2072" s="6" t="s">
        <v>98</v>
      </c>
      <c r="D2072" s="6" t="s">
        <v>781</v>
      </c>
      <c r="E2072" s="6"/>
      <c r="F2072" s="6" t="s">
        <v>2520</v>
      </c>
      <c r="G2072" s="6" t="s">
        <v>4651</v>
      </c>
      <c r="H2072" s="6" t="s">
        <v>4652</v>
      </c>
      <c r="I2072" s="6" t="n">
        <v>25</v>
      </c>
      <c r="J2072" s="6" t="s">
        <v>83</v>
      </c>
      <c r="K2072" s="6" t="s">
        <v>4653</v>
      </c>
      <c r="L2072" s="7"/>
      <c r="M2072" s="7"/>
    </row>
    <row r="2073" customFormat="false" ht="15" hidden="false" customHeight="false" outlineLevel="0" collapsed="false">
      <c r="A2073" s="6" t="s">
        <v>2513</v>
      </c>
      <c r="B2073" s="6" t="s">
        <v>96</v>
      </c>
      <c r="C2073" s="6" t="s">
        <v>98</v>
      </c>
      <c r="D2073" s="6" t="s">
        <v>781</v>
      </c>
      <c r="E2073" s="6"/>
      <c r="F2073" s="6" t="s">
        <v>2520</v>
      </c>
      <c r="G2073" s="6" t="s">
        <v>4654</v>
      </c>
      <c r="H2073" s="6" t="s">
        <v>4655</v>
      </c>
      <c r="I2073" s="6" t="n">
        <v>25</v>
      </c>
      <c r="J2073" s="6" t="s">
        <v>83</v>
      </c>
      <c r="K2073" s="6" t="s">
        <v>4656</v>
      </c>
      <c r="L2073" s="7"/>
      <c r="M2073" s="7"/>
    </row>
    <row r="2074" customFormat="false" ht="15" hidden="false" customHeight="false" outlineLevel="0" collapsed="false">
      <c r="A2074" s="6" t="s">
        <v>2513</v>
      </c>
      <c r="B2074" s="6" t="s">
        <v>96</v>
      </c>
      <c r="C2074" s="6" t="s">
        <v>98</v>
      </c>
      <c r="D2074" s="6" t="s">
        <v>781</v>
      </c>
      <c r="E2074" s="6"/>
      <c r="F2074" s="6" t="s">
        <v>2520</v>
      </c>
      <c r="G2074" s="6" t="s">
        <v>4657</v>
      </c>
      <c r="H2074" s="6" t="s">
        <v>4658</v>
      </c>
      <c r="I2074" s="6" t="n">
        <v>0</v>
      </c>
      <c r="J2074" s="6"/>
      <c r="K2074" s="6" t="s">
        <v>4659</v>
      </c>
      <c r="L2074" s="7"/>
      <c r="M2074" s="7"/>
    </row>
    <row r="2075" customFormat="false" ht="23.85" hidden="false" customHeight="false" outlineLevel="0" collapsed="false">
      <c r="A2075" s="6" t="s">
        <v>2524</v>
      </c>
      <c r="B2075" s="6" t="s">
        <v>110</v>
      </c>
      <c r="C2075" s="6" t="s">
        <v>165</v>
      </c>
      <c r="D2075" s="6" t="s">
        <v>491</v>
      </c>
      <c r="E2075" s="6" t="s">
        <v>3842</v>
      </c>
      <c r="F2075" s="6" t="s">
        <v>2532</v>
      </c>
      <c r="G2075" s="6"/>
      <c r="H2075" s="6" t="s">
        <v>4660</v>
      </c>
      <c r="I2075" s="6"/>
      <c r="J2075" s="6" t="s">
        <v>83</v>
      </c>
      <c r="K2075" s="6" t="s">
        <v>4661</v>
      </c>
      <c r="L2075" s="7"/>
      <c r="M2075" s="7"/>
    </row>
    <row r="2076" customFormat="false" ht="23.85" hidden="false" customHeight="false" outlineLevel="0" collapsed="false">
      <c r="A2076" s="6" t="s">
        <v>2524</v>
      </c>
      <c r="B2076" s="6" t="s">
        <v>110</v>
      </c>
      <c r="C2076" s="6" t="s">
        <v>165</v>
      </c>
      <c r="D2076" s="6" t="s">
        <v>491</v>
      </c>
      <c r="E2076" s="6" t="s">
        <v>3845</v>
      </c>
      <c r="F2076" s="6" t="s">
        <v>2532</v>
      </c>
      <c r="G2076" s="6"/>
      <c r="H2076" s="6" t="s">
        <v>4662</v>
      </c>
      <c r="I2076" s="6"/>
      <c r="J2076" s="6" t="s">
        <v>83</v>
      </c>
      <c r="K2076" s="6" t="s">
        <v>4663</v>
      </c>
      <c r="L2076" s="7"/>
      <c r="M2076" s="7"/>
    </row>
    <row r="2077" customFormat="false" ht="23.85" hidden="false" customHeight="false" outlineLevel="0" collapsed="false">
      <c r="A2077" s="6" t="s">
        <v>2524</v>
      </c>
      <c r="B2077" s="6" t="s">
        <v>110</v>
      </c>
      <c r="C2077" s="6" t="s">
        <v>165</v>
      </c>
      <c r="D2077" s="6" t="s">
        <v>491</v>
      </c>
      <c r="E2077" s="6" t="s">
        <v>3848</v>
      </c>
      <c r="F2077" s="6" t="s">
        <v>2532</v>
      </c>
      <c r="G2077" s="6"/>
      <c r="H2077" s="6" t="s">
        <v>4664</v>
      </c>
      <c r="I2077" s="6"/>
      <c r="J2077" s="6" t="s">
        <v>83</v>
      </c>
      <c r="K2077" s="6" t="s">
        <v>4665</v>
      </c>
      <c r="L2077" s="7"/>
      <c r="M2077" s="7"/>
    </row>
    <row r="2078" customFormat="false" ht="23.85" hidden="false" customHeight="false" outlineLevel="0" collapsed="false">
      <c r="A2078" s="6" t="s">
        <v>2524</v>
      </c>
      <c r="B2078" s="6" t="s">
        <v>110</v>
      </c>
      <c r="C2078" s="6" t="s">
        <v>165</v>
      </c>
      <c r="D2078" s="6" t="s">
        <v>491</v>
      </c>
      <c r="E2078" s="6" t="s">
        <v>3851</v>
      </c>
      <c r="F2078" s="6" t="s">
        <v>2532</v>
      </c>
      <c r="G2078" s="6"/>
      <c r="H2078" s="6" t="s">
        <v>4666</v>
      </c>
      <c r="I2078" s="6"/>
      <c r="J2078" s="6" t="s">
        <v>83</v>
      </c>
      <c r="K2078" s="6" t="s">
        <v>4667</v>
      </c>
      <c r="L2078" s="7"/>
      <c r="M2078" s="7"/>
    </row>
    <row r="2079" customFormat="false" ht="15" hidden="false" customHeight="false" outlineLevel="0" collapsed="false">
      <c r="A2079" s="6" t="s">
        <v>2535</v>
      </c>
      <c r="B2079" s="6" t="s">
        <v>110</v>
      </c>
      <c r="C2079" s="6" t="s">
        <v>98</v>
      </c>
      <c r="D2079" s="6" t="s">
        <v>372</v>
      </c>
      <c r="E2079" s="6"/>
      <c r="F2079" s="6" t="s">
        <v>2541</v>
      </c>
      <c r="G2079" s="6" t="s">
        <v>3994</v>
      </c>
      <c r="H2079" s="6" t="s">
        <v>4668</v>
      </c>
      <c r="I2079" s="6" t="n">
        <v>25</v>
      </c>
      <c r="J2079" s="6" t="s">
        <v>83</v>
      </c>
      <c r="K2079" s="6" t="s">
        <v>4669</v>
      </c>
      <c r="L2079" s="7"/>
      <c r="M2079" s="7"/>
    </row>
    <row r="2080" customFormat="false" ht="15" hidden="false" customHeight="false" outlineLevel="0" collapsed="false">
      <c r="A2080" s="6" t="s">
        <v>2535</v>
      </c>
      <c r="B2080" s="6" t="s">
        <v>110</v>
      </c>
      <c r="C2080" s="6" t="s">
        <v>98</v>
      </c>
      <c r="D2080" s="6" t="s">
        <v>372</v>
      </c>
      <c r="E2080" s="6"/>
      <c r="F2080" s="6" t="s">
        <v>2541</v>
      </c>
      <c r="G2080" s="6" t="s">
        <v>4670</v>
      </c>
      <c r="H2080" s="6" t="s">
        <v>4671</v>
      </c>
      <c r="I2080" s="6" t="n">
        <v>25</v>
      </c>
      <c r="J2080" s="6" t="s">
        <v>83</v>
      </c>
      <c r="K2080" s="6" t="s">
        <v>4672</v>
      </c>
      <c r="L2080" s="7"/>
      <c r="M2080" s="7"/>
    </row>
    <row r="2081" customFormat="false" ht="15" hidden="false" customHeight="false" outlineLevel="0" collapsed="false">
      <c r="A2081" s="6" t="s">
        <v>2535</v>
      </c>
      <c r="B2081" s="6" t="s">
        <v>110</v>
      </c>
      <c r="C2081" s="6" t="s">
        <v>98</v>
      </c>
      <c r="D2081" s="6" t="s">
        <v>372</v>
      </c>
      <c r="E2081" s="6"/>
      <c r="F2081" s="6" t="s">
        <v>2541</v>
      </c>
      <c r="G2081" s="6" t="s">
        <v>3915</v>
      </c>
      <c r="H2081" s="6" t="s">
        <v>4673</v>
      </c>
      <c r="I2081" s="6" t="n">
        <v>25</v>
      </c>
      <c r="J2081" s="6" t="s">
        <v>83</v>
      </c>
      <c r="K2081" s="6" t="s">
        <v>4674</v>
      </c>
      <c r="L2081" s="7"/>
      <c r="M2081" s="7"/>
    </row>
    <row r="2082" customFormat="false" ht="15" hidden="false" customHeight="false" outlineLevel="0" collapsed="false">
      <c r="A2082" s="6" t="s">
        <v>2535</v>
      </c>
      <c r="B2082" s="6" t="s">
        <v>110</v>
      </c>
      <c r="C2082" s="6" t="s">
        <v>98</v>
      </c>
      <c r="D2082" s="6" t="s">
        <v>372</v>
      </c>
      <c r="E2082" s="6"/>
      <c r="F2082" s="6" t="s">
        <v>2541</v>
      </c>
      <c r="G2082" s="6" t="s">
        <v>4675</v>
      </c>
      <c r="H2082" s="6" t="s">
        <v>4676</v>
      </c>
      <c r="I2082" s="6" t="n">
        <v>25</v>
      </c>
      <c r="J2082" s="6" t="s">
        <v>83</v>
      </c>
      <c r="K2082" s="6" t="s">
        <v>4677</v>
      </c>
      <c r="L2082" s="7"/>
      <c r="M2082" s="7"/>
    </row>
    <row r="2083" customFormat="false" ht="15" hidden="false" customHeight="false" outlineLevel="0" collapsed="false">
      <c r="A2083" s="6" t="s">
        <v>2535</v>
      </c>
      <c r="B2083" s="6" t="s">
        <v>110</v>
      </c>
      <c r="C2083" s="6" t="s">
        <v>98</v>
      </c>
      <c r="D2083" s="6" t="s">
        <v>372</v>
      </c>
      <c r="E2083" s="6"/>
      <c r="F2083" s="6" t="s">
        <v>2541</v>
      </c>
      <c r="G2083" s="6" t="s">
        <v>3825</v>
      </c>
      <c r="H2083" s="6" t="s">
        <v>4678</v>
      </c>
      <c r="I2083" s="6" t="n">
        <v>0</v>
      </c>
      <c r="J2083" s="6"/>
      <c r="K2083" s="6" t="s">
        <v>4679</v>
      </c>
      <c r="L2083" s="7"/>
      <c r="M2083" s="7"/>
    </row>
    <row r="2084" customFormat="false" ht="15" hidden="false" customHeight="false" outlineLevel="0" collapsed="false">
      <c r="A2084" s="6" t="s">
        <v>2545</v>
      </c>
      <c r="B2084" s="6" t="s">
        <v>132</v>
      </c>
      <c r="C2084" s="6" t="s">
        <v>98</v>
      </c>
      <c r="D2084" s="6" t="s">
        <v>372</v>
      </c>
      <c r="E2084" s="6"/>
      <c r="F2084" s="6" t="s">
        <v>2551</v>
      </c>
      <c r="G2084" s="6" t="s">
        <v>3651</v>
      </c>
      <c r="H2084" s="6" t="s">
        <v>4680</v>
      </c>
      <c r="I2084" s="6" t="n">
        <v>20</v>
      </c>
      <c r="J2084" s="6"/>
      <c r="K2084" s="6" t="s">
        <v>4681</v>
      </c>
      <c r="L2084" s="7"/>
      <c r="M2084" s="7"/>
    </row>
    <row r="2085" customFormat="false" ht="23.85" hidden="false" customHeight="false" outlineLevel="0" collapsed="false">
      <c r="A2085" s="6" t="s">
        <v>2545</v>
      </c>
      <c r="B2085" s="6" t="s">
        <v>132</v>
      </c>
      <c r="C2085" s="6" t="s">
        <v>98</v>
      </c>
      <c r="D2085" s="6" t="s">
        <v>372</v>
      </c>
      <c r="E2085" s="6"/>
      <c r="F2085" s="6" t="s">
        <v>2551</v>
      </c>
      <c r="G2085" s="6" t="s">
        <v>3654</v>
      </c>
      <c r="H2085" s="6" t="s">
        <v>4682</v>
      </c>
      <c r="I2085" s="6" t="n">
        <v>96</v>
      </c>
      <c r="J2085" s="6" t="s">
        <v>83</v>
      </c>
      <c r="K2085" s="6" t="s">
        <v>4683</v>
      </c>
      <c r="L2085" s="7"/>
      <c r="M2085" s="7"/>
    </row>
    <row r="2086" customFormat="false" ht="15" hidden="false" customHeight="false" outlineLevel="0" collapsed="false">
      <c r="A2086" s="6" t="s">
        <v>2545</v>
      </c>
      <c r="B2086" s="6" t="s">
        <v>132</v>
      </c>
      <c r="C2086" s="6" t="s">
        <v>98</v>
      </c>
      <c r="D2086" s="6" t="s">
        <v>372</v>
      </c>
      <c r="E2086" s="6"/>
      <c r="F2086" s="6" t="s">
        <v>2551</v>
      </c>
      <c r="G2086" s="6" t="s">
        <v>3657</v>
      </c>
      <c r="H2086" s="6" t="s">
        <v>4684</v>
      </c>
      <c r="I2086" s="6" t="n">
        <v>25</v>
      </c>
      <c r="J2086" s="6"/>
      <c r="K2086" s="6" t="s">
        <v>4685</v>
      </c>
      <c r="L2086" s="7"/>
      <c r="M2086" s="7"/>
    </row>
    <row r="2087" customFormat="false" ht="15" hidden="false" customHeight="false" outlineLevel="0" collapsed="false">
      <c r="A2087" s="6" t="s">
        <v>2545</v>
      </c>
      <c r="B2087" s="6" t="s">
        <v>132</v>
      </c>
      <c r="C2087" s="6" t="s">
        <v>98</v>
      </c>
      <c r="D2087" s="6" t="s">
        <v>372</v>
      </c>
      <c r="E2087" s="6"/>
      <c r="F2087" s="6" t="s">
        <v>2551</v>
      </c>
      <c r="G2087" s="6" t="s">
        <v>3660</v>
      </c>
      <c r="H2087" s="6" t="s">
        <v>4686</v>
      </c>
      <c r="I2087" s="6" t="n">
        <v>10</v>
      </c>
      <c r="J2087" s="6"/>
      <c r="K2087" s="6" t="s">
        <v>4687</v>
      </c>
      <c r="L2087" s="7"/>
      <c r="M2087" s="7"/>
    </row>
    <row r="2088" customFormat="false" ht="23.85" hidden="false" customHeight="false" outlineLevel="0" collapsed="false">
      <c r="A2088" s="6" t="s">
        <v>2566</v>
      </c>
      <c r="B2088" s="6" t="s">
        <v>145</v>
      </c>
      <c r="C2088" s="6" t="s">
        <v>98</v>
      </c>
      <c r="D2088" s="6" t="s">
        <v>491</v>
      </c>
      <c r="E2088" s="6" t="s">
        <v>4210</v>
      </c>
      <c r="F2088" s="6" t="s">
        <v>2571</v>
      </c>
      <c r="G2088" s="6"/>
      <c r="H2088" s="6" t="s">
        <v>4688</v>
      </c>
      <c r="I2088" s="6"/>
      <c r="J2088" s="6" t="s">
        <v>83</v>
      </c>
      <c r="K2088" s="6" t="s">
        <v>4689</v>
      </c>
      <c r="L2088" s="7"/>
      <c r="M2088" s="7"/>
    </row>
    <row r="2089" customFormat="false" ht="23.85" hidden="false" customHeight="false" outlineLevel="0" collapsed="false">
      <c r="A2089" s="6" t="s">
        <v>2566</v>
      </c>
      <c r="B2089" s="6" t="s">
        <v>145</v>
      </c>
      <c r="C2089" s="6" t="s">
        <v>98</v>
      </c>
      <c r="D2089" s="6" t="s">
        <v>491</v>
      </c>
      <c r="E2089" s="6" t="s">
        <v>4690</v>
      </c>
      <c r="F2089" s="6" t="s">
        <v>2571</v>
      </c>
      <c r="G2089" s="6"/>
      <c r="H2089" s="6" t="s">
        <v>4691</v>
      </c>
      <c r="I2089" s="6"/>
      <c r="J2089" s="6" t="s">
        <v>83</v>
      </c>
      <c r="K2089" s="6" t="s">
        <v>4692</v>
      </c>
      <c r="L2089" s="7"/>
      <c r="M2089" s="7"/>
    </row>
    <row r="2090" customFormat="false" ht="23.85" hidden="false" customHeight="false" outlineLevel="0" collapsed="false">
      <c r="A2090" s="6" t="s">
        <v>2566</v>
      </c>
      <c r="B2090" s="6" t="s">
        <v>145</v>
      </c>
      <c r="C2090" s="6" t="s">
        <v>98</v>
      </c>
      <c r="D2090" s="6" t="s">
        <v>491</v>
      </c>
      <c r="E2090" s="6" t="s">
        <v>4693</v>
      </c>
      <c r="F2090" s="6" t="s">
        <v>2571</v>
      </c>
      <c r="G2090" s="6"/>
      <c r="H2090" s="6" t="s">
        <v>4694</v>
      </c>
      <c r="I2090" s="6"/>
      <c r="J2090" s="6" t="s">
        <v>83</v>
      </c>
      <c r="K2090" s="6" t="s">
        <v>4695</v>
      </c>
      <c r="L2090" s="7"/>
      <c r="M2090" s="7"/>
    </row>
    <row r="2091" customFormat="false" ht="23.85" hidden="false" customHeight="false" outlineLevel="0" collapsed="false">
      <c r="A2091" s="6" t="s">
        <v>2566</v>
      </c>
      <c r="B2091" s="6" t="s">
        <v>145</v>
      </c>
      <c r="C2091" s="6" t="s">
        <v>98</v>
      </c>
      <c r="D2091" s="6" t="s">
        <v>491</v>
      </c>
      <c r="E2091" s="6" t="s">
        <v>4348</v>
      </c>
      <c r="F2091" s="6" t="s">
        <v>2571</v>
      </c>
      <c r="G2091" s="6"/>
      <c r="H2091" s="6" t="s">
        <v>4696</v>
      </c>
      <c r="I2091" s="6"/>
      <c r="J2091" s="6" t="s">
        <v>83</v>
      </c>
      <c r="K2091" s="6" t="s">
        <v>4697</v>
      </c>
      <c r="L2091" s="7"/>
      <c r="M2091" s="7"/>
    </row>
    <row r="2092" customFormat="false" ht="23.85" hidden="false" customHeight="false" outlineLevel="0" collapsed="false">
      <c r="A2092" s="6" t="s">
        <v>2574</v>
      </c>
      <c r="B2092" s="6" t="s">
        <v>145</v>
      </c>
      <c r="C2092" s="6" t="s">
        <v>165</v>
      </c>
      <c r="D2092" s="6" t="s">
        <v>372</v>
      </c>
      <c r="E2092" s="6"/>
      <c r="F2092" s="6" t="s">
        <v>2580</v>
      </c>
      <c r="G2092" s="6" t="s">
        <v>3693</v>
      </c>
      <c r="H2092" s="6" t="s">
        <v>4698</v>
      </c>
      <c r="I2092" s="6" t="n">
        <v>25</v>
      </c>
      <c r="J2092" s="6" t="s">
        <v>83</v>
      </c>
      <c r="K2092" s="6" t="s">
        <v>4699</v>
      </c>
      <c r="L2092" s="7"/>
      <c r="M2092" s="7"/>
    </row>
    <row r="2093" customFormat="false" ht="23.85" hidden="false" customHeight="false" outlineLevel="0" collapsed="false">
      <c r="A2093" s="6" t="s">
        <v>2574</v>
      </c>
      <c r="B2093" s="6" t="s">
        <v>145</v>
      </c>
      <c r="C2093" s="6" t="s">
        <v>165</v>
      </c>
      <c r="D2093" s="6" t="s">
        <v>372</v>
      </c>
      <c r="E2093" s="6"/>
      <c r="F2093" s="6" t="s">
        <v>2580</v>
      </c>
      <c r="G2093" s="6" t="s">
        <v>4700</v>
      </c>
      <c r="H2093" s="6" t="s">
        <v>4701</v>
      </c>
      <c r="I2093" s="6" t="n">
        <v>25</v>
      </c>
      <c r="J2093" s="6" t="s">
        <v>83</v>
      </c>
      <c r="K2093" s="6" t="s">
        <v>4702</v>
      </c>
      <c r="L2093" s="7"/>
      <c r="M2093" s="7"/>
    </row>
    <row r="2094" customFormat="false" ht="23.85" hidden="false" customHeight="false" outlineLevel="0" collapsed="false">
      <c r="A2094" s="6" t="s">
        <v>2574</v>
      </c>
      <c r="B2094" s="6" t="s">
        <v>145</v>
      </c>
      <c r="C2094" s="6" t="s">
        <v>165</v>
      </c>
      <c r="D2094" s="6" t="s">
        <v>372</v>
      </c>
      <c r="E2094" s="6"/>
      <c r="F2094" s="6" t="s">
        <v>2580</v>
      </c>
      <c r="G2094" s="6" t="s">
        <v>4703</v>
      </c>
      <c r="H2094" s="6" t="s">
        <v>4704</v>
      </c>
      <c r="I2094" s="6" t="n">
        <v>25</v>
      </c>
      <c r="J2094" s="6" t="s">
        <v>83</v>
      </c>
      <c r="K2094" s="6" t="s">
        <v>4705</v>
      </c>
      <c r="L2094" s="7"/>
      <c r="M2094" s="7"/>
    </row>
    <row r="2095" customFormat="false" ht="23.85" hidden="false" customHeight="false" outlineLevel="0" collapsed="false">
      <c r="A2095" s="6" t="s">
        <v>2574</v>
      </c>
      <c r="B2095" s="6" t="s">
        <v>145</v>
      </c>
      <c r="C2095" s="6" t="s">
        <v>165</v>
      </c>
      <c r="D2095" s="6" t="s">
        <v>372</v>
      </c>
      <c r="E2095" s="6"/>
      <c r="F2095" s="6" t="s">
        <v>2580</v>
      </c>
      <c r="G2095" s="6" t="s">
        <v>4256</v>
      </c>
      <c r="H2095" s="6" t="s">
        <v>4706</v>
      </c>
      <c r="I2095" s="6" t="n">
        <v>25</v>
      </c>
      <c r="J2095" s="6" t="s">
        <v>83</v>
      </c>
      <c r="K2095" s="6" t="s">
        <v>4707</v>
      </c>
      <c r="L2095" s="7"/>
      <c r="M2095" s="7"/>
    </row>
    <row r="2096" customFormat="false" ht="23.85" hidden="false" customHeight="false" outlineLevel="0" collapsed="false">
      <c r="A2096" s="6" t="s">
        <v>2574</v>
      </c>
      <c r="B2096" s="6" t="s">
        <v>145</v>
      </c>
      <c r="C2096" s="6" t="s">
        <v>165</v>
      </c>
      <c r="D2096" s="6" t="s">
        <v>372</v>
      </c>
      <c r="E2096" s="6"/>
      <c r="F2096" s="6" t="s">
        <v>2580</v>
      </c>
      <c r="G2096" s="6" t="s">
        <v>4708</v>
      </c>
      <c r="H2096" s="6" t="s">
        <v>4709</v>
      </c>
      <c r="I2096" s="6" t="n">
        <v>0</v>
      </c>
      <c r="J2096" s="6"/>
      <c r="K2096" s="6" t="s">
        <v>4710</v>
      </c>
      <c r="L2096" s="7"/>
      <c r="M2096" s="7"/>
    </row>
    <row r="2097" customFormat="false" ht="23.85" hidden="false" customHeight="false" outlineLevel="0" collapsed="false">
      <c r="A2097" s="6" t="s">
        <v>2584</v>
      </c>
      <c r="B2097" s="6" t="s">
        <v>123</v>
      </c>
      <c r="C2097" s="6" t="s">
        <v>98</v>
      </c>
      <c r="D2097" s="6" t="s">
        <v>491</v>
      </c>
      <c r="E2097" s="6" t="s">
        <v>4711</v>
      </c>
      <c r="F2097" s="6" t="s">
        <v>2590</v>
      </c>
      <c r="G2097" s="6"/>
      <c r="H2097" s="6" t="s">
        <v>4712</v>
      </c>
      <c r="I2097" s="6"/>
      <c r="J2097" s="6" t="s">
        <v>83</v>
      </c>
      <c r="K2097" s="6" t="s">
        <v>4713</v>
      </c>
      <c r="L2097" s="7"/>
      <c r="M2097" s="7"/>
    </row>
    <row r="2098" customFormat="false" ht="23.85" hidden="false" customHeight="false" outlineLevel="0" collapsed="false">
      <c r="A2098" s="6" t="s">
        <v>2584</v>
      </c>
      <c r="B2098" s="6" t="s">
        <v>123</v>
      </c>
      <c r="C2098" s="6" t="s">
        <v>98</v>
      </c>
      <c r="D2098" s="6" t="s">
        <v>491</v>
      </c>
      <c r="E2098" s="6" t="s">
        <v>4351</v>
      </c>
      <c r="F2098" s="6" t="s">
        <v>2590</v>
      </c>
      <c r="G2098" s="6"/>
      <c r="H2098" s="6" t="s">
        <v>4714</v>
      </c>
      <c r="I2098" s="6"/>
      <c r="J2098" s="6" t="s">
        <v>83</v>
      </c>
      <c r="K2098" s="6" t="s">
        <v>4715</v>
      </c>
      <c r="L2098" s="7"/>
      <c r="M2098" s="7"/>
    </row>
    <row r="2099" customFormat="false" ht="23.85" hidden="false" customHeight="false" outlineLevel="0" collapsed="false">
      <c r="A2099" s="6" t="s">
        <v>2584</v>
      </c>
      <c r="B2099" s="6" t="s">
        <v>123</v>
      </c>
      <c r="C2099" s="6" t="s">
        <v>98</v>
      </c>
      <c r="D2099" s="6" t="s">
        <v>491</v>
      </c>
      <c r="E2099" s="6" t="s">
        <v>4103</v>
      </c>
      <c r="F2099" s="6" t="s">
        <v>2590</v>
      </c>
      <c r="G2099" s="6"/>
      <c r="H2099" s="6" t="s">
        <v>4716</v>
      </c>
      <c r="I2099" s="6"/>
      <c r="J2099" s="6" t="s">
        <v>83</v>
      </c>
      <c r="K2099" s="6" t="s">
        <v>4717</v>
      </c>
      <c r="L2099" s="7"/>
      <c r="M2099" s="7"/>
    </row>
    <row r="2100" customFormat="false" ht="23.85" hidden="false" customHeight="false" outlineLevel="0" collapsed="false">
      <c r="A2100" s="6" t="s">
        <v>2584</v>
      </c>
      <c r="B2100" s="6" t="s">
        <v>123</v>
      </c>
      <c r="C2100" s="6" t="s">
        <v>98</v>
      </c>
      <c r="D2100" s="6" t="s">
        <v>491</v>
      </c>
      <c r="E2100" s="6" t="s">
        <v>4718</v>
      </c>
      <c r="F2100" s="6" t="s">
        <v>2590</v>
      </c>
      <c r="G2100" s="6"/>
      <c r="H2100" s="6" t="s">
        <v>4719</v>
      </c>
      <c r="I2100" s="6"/>
      <c r="J2100" s="6" t="s">
        <v>83</v>
      </c>
      <c r="K2100" s="6" t="s">
        <v>4720</v>
      </c>
      <c r="L2100" s="7"/>
      <c r="M2100" s="7"/>
    </row>
    <row r="2101" customFormat="false" ht="23.85" hidden="false" customHeight="false" outlineLevel="0" collapsed="false">
      <c r="A2101" s="6" t="s">
        <v>2593</v>
      </c>
      <c r="B2101" s="6" t="s">
        <v>123</v>
      </c>
      <c r="C2101" s="6" t="s">
        <v>165</v>
      </c>
      <c r="D2101" s="6" t="s">
        <v>372</v>
      </c>
      <c r="E2101" s="6"/>
      <c r="F2101" s="6" t="s">
        <v>2599</v>
      </c>
      <c r="G2101" s="6" t="s">
        <v>3729</v>
      </c>
      <c r="H2101" s="6" t="s">
        <v>4721</v>
      </c>
      <c r="I2101" s="6" t="n">
        <v>25</v>
      </c>
      <c r="J2101" s="6" t="s">
        <v>83</v>
      </c>
      <c r="K2101" s="6" t="s">
        <v>4722</v>
      </c>
      <c r="L2101" s="7"/>
      <c r="M2101" s="7"/>
    </row>
    <row r="2102" customFormat="false" ht="23.85" hidden="false" customHeight="false" outlineLevel="0" collapsed="false">
      <c r="A2102" s="6" t="s">
        <v>2593</v>
      </c>
      <c r="B2102" s="6" t="s">
        <v>123</v>
      </c>
      <c r="C2102" s="6" t="s">
        <v>165</v>
      </c>
      <c r="D2102" s="6" t="s">
        <v>372</v>
      </c>
      <c r="E2102" s="6"/>
      <c r="F2102" s="6" t="s">
        <v>2599</v>
      </c>
      <c r="G2102" s="6" t="s">
        <v>3845</v>
      </c>
      <c r="H2102" s="6" t="s">
        <v>4723</v>
      </c>
      <c r="I2102" s="6" t="n">
        <v>25</v>
      </c>
      <c r="J2102" s="6" t="s">
        <v>83</v>
      </c>
      <c r="K2102" s="6" t="s">
        <v>4724</v>
      </c>
      <c r="L2102" s="7"/>
      <c r="M2102" s="7"/>
    </row>
    <row r="2103" customFormat="false" ht="23.85" hidden="false" customHeight="false" outlineLevel="0" collapsed="false">
      <c r="A2103" s="6" t="s">
        <v>2593</v>
      </c>
      <c r="B2103" s="6" t="s">
        <v>123</v>
      </c>
      <c r="C2103" s="6" t="s">
        <v>165</v>
      </c>
      <c r="D2103" s="6" t="s">
        <v>372</v>
      </c>
      <c r="E2103" s="6"/>
      <c r="F2103" s="6" t="s">
        <v>2599</v>
      </c>
      <c r="G2103" s="6" t="s">
        <v>4192</v>
      </c>
      <c r="H2103" s="6" t="s">
        <v>4725</v>
      </c>
      <c r="I2103" s="6" t="n">
        <v>25</v>
      </c>
      <c r="J2103" s="6" t="s">
        <v>83</v>
      </c>
      <c r="K2103" s="6" t="s">
        <v>4726</v>
      </c>
      <c r="L2103" s="7"/>
      <c r="M2103" s="7"/>
    </row>
    <row r="2104" customFormat="false" ht="23.85" hidden="false" customHeight="false" outlineLevel="0" collapsed="false">
      <c r="A2104" s="6" t="s">
        <v>2593</v>
      </c>
      <c r="B2104" s="6" t="s">
        <v>123</v>
      </c>
      <c r="C2104" s="6" t="s">
        <v>165</v>
      </c>
      <c r="D2104" s="6" t="s">
        <v>372</v>
      </c>
      <c r="E2104" s="6"/>
      <c r="F2104" s="6" t="s">
        <v>2599</v>
      </c>
      <c r="G2104" s="6" t="s">
        <v>4727</v>
      </c>
      <c r="H2104" s="6" t="s">
        <v>4728</v>
      </c>
      <c r="I2104" s="6" t="n">
        <v>25</v>
      </c>
      <c r="J2104" s="6" t="s">
        <v>83</v>
      </c>
      <c r="K2104" s="6" t="s">
        <v>4729</v>
      </c>
      <c r="L2104" s="7"/>
      <c r="M2104" s="7"/>
    </row>
    <row r="2105" customFormat="false" ht="23.85" hidden="false" customHeight="false" outlineLevel="0" collapsed="false">
      <c r="A2105" s="6" t="s">
        <v>2593</v>
      </c>
      <c r="B2105" s="6" t="s">
        <v>123</v>
      </c>
      <c r="C2105" s="6" t="s">
        <v>165</v>
      </c>
      <c r="D2105" s="6" t="s">
        <v>372</v>
      </c>
      <c r="E2105" s="6"/>
      <c r="F2105" s="6" t="s">
        <v>2599</v>
      </c>
      <c r="G2105" s="6" t="s">
        <v>4730</v>
      </c>
      <c r="H2105" s="6" t="s">
        <v>4731</v>
      </c>
      <c r="I2105" s="6" t="n">
        <v>0</v>
      </c>
      <c r="J2105" s="6"/>
      <c r="K2105" s="6" t="s">
        <v>4732</v>
      </c>
      <c r="L2105" s="7"/>
      <c r="M2105" s="7"/>
    </row>
    <row r="2106" customFormat="false" ht="23.85" hidden="false" customHeight="false" outlineLevel="0" collapsed="false">
      <c r="A2106" s="6" t="s">
        <v>2612</v>
      </c>
      <c r="B2106" s="6" t="s">
        <v>77</v>
      </c>
      <c r="C2106" s="6" t="s">
        <v>98</v>
      </c>
      <c r="D2106" s="6" t="s">
        <v>431</v>
      </c>
      <c r="E2106" s="6" t="s">
        <v>432</v>
      </c>
      <c r="F2106" s="6" t="s">
        <v>2618</v>
      </c>
      <c r="G2106" s="6" t="s">
        <v>4733</v>
      </c>
      <c r="H2106" s="6" t="s">
        <v>4734</v>
      </c>
      <c r="I2106" s="6" t="n">
        <v>1</v>
      </c>
      <c r="J2106" s="6" t="s">
        <v>3692</v>
      </c>
      <c r="K2106" s="6"/>
      <c r="L2106" s="7"/>
      <c r="M2106" s="7"/>
    </row>
    <row r="2107" customFormat="false" ht="23.85" hidden="false" customHeight="false" outlineLevel="0" collapsed="false">
      <c r="A2107" s="6" t="s">
        <v>2612</v>
      </c>
      <c r="B2107" s="6" t="s">
        <v>77</v>
      </c>
      <c r="C2107" s="6" t="s">
        <v>98</v>
      </c>
      <c r="D2107" s="6" t="s">
        <v>431</v>
      </c>
      <c r="E2107" s="6" t="s">
        <v>432</v>
      </c>
      <c r="F2107" s="6" t="s">
        <v>2618</v>
      </c>
      <c r="G2107" s="6" t="s">
        <v>4735</v>
      </c>
      <c r="H2107" s="6" t="s">
        <v>4736</v>
      </c>
      <c r="I2107" s="6" t="n">
        <v>2</v>
      </c>
      <c r="J2107" s="6" t="s">
        <v>3695</v>
      </c>
      <c r="K2107" s="6"/>
      <c r="L2107" s="7"/>
      <c r="M2107" s="7"/>
    </row>
    <row r="2108" customFormat="false" ht="23.85" hidden="false" customHeight="false" outlineLevel="0" collapsed="false">
      <c r="A2108" s="6" t="s">
        <v>2612</v>
      </c>
      <c r="B2108" s="6" t="s">
        <v>77</v>
      </c>
      <c r="C2108" s="6" t="s">
        <v>98</v>
      </c>
      <c r="D2108" s="6" t="s">
        <v>431</v>
      </c>
      <c r="E2108" s="6" t="s">
        <v>432</v>
      </c>
      <c r="F2108" s="6" t="s">
        <v>2618</v>
      </c>
      <c r="G2108" s="6" t="s">
        <v>4210</v>
      </c>
      <c r="H2108" s="6" t="s">
        <v>4737</v>
      </c>
      <c r="I2108" s="6" t="n">
        <v>3</v>
      </c>
      <c r="J2108" s="6" t="s">
        <v>3698</v>
      </c>
      <c r="K2108" s="6"/>
      <c r="L2108" s="7"/>
      <c r="M2108" s="7"/>
    </row>
    <row r="2109" customFormat="false" ht="23.85" hidden="false" customHeight="false" outlineLevel="0" collapsed="false">
      <c r="A2109" s="6" t="s">
        <v>2612</v>
      </c>
      <c r="B2109" s="6" t="s">
        <v>77</v>
      </c>
      <c r="C2109" s="6" t="s">
        <v>98</v>
      </c>
      <c r="D2109" s="6" t="s">
        <v>431</v>
      </c>
      <c r="E2109" s="6" t="s">
        <v>432</v>
      </c>
      <c r="F2109" s="6" t="s">
        <v>2618</v>
      </c>
      <c r="G2109" s="6" t="s">
        <v>3864</v>
      </c>
      <c r="H2109" s="6" t="s">
        <v>4738</v>
      </c>
      <c r="I2109" s="6" t="n">
        <v>4</v>
      </c>
      <c r="J2109" s="6" t="s">
        <v>3701</v>
      </c>
      <c r="K2109" s="6"/>
      <c r="L2109" s="7"/>
      <c r="M2109" s="7"/>
    </row>
    <row r="2110" customFormat="false" ht="23.85" hidden="false" customHeight="false" outlineLevel="0" collapsed="false">
      <c r="A2110" s="6" t="s">
        <v>2612</v>
      </c>
      <c r="B2110" s="6" t="s">
        <v>77</v>
      </c>
      <c r="C2110" s="6" t="s">
        <v>98</v>
      </c>
      <c r="D2110" s="6" t="s">
        <v>431</v>
      </c>
      <c r="E2110" s="6" t="s">
        <v>432</v>
      </c>
      <c r="F2110" s="6" t="s">
        <v>2618</v>
      </c>
      <c r="G2110" s="6" t="s">
        <v>4215</v>
      </c>
      <c r="H2110" s="6" t="s">
        <v>4739</v>
      </c>
      <c r="I2110" s="6" t="n">
        <v>5</v>
      </c>
      <c r="J2110" s="6" t="s">
        <v>3866</v>
      </c>
      <c r="K2110" s="6"/>
      <c r="L2110" s="7"/>
      <c r="M2110" s="7"/>
    </row>
    <row r="2111" customFormat="false" ht="23.85" hidden="false" customHeight="false" outlineLevel="0" collapsed="false">
      <c r="A2111" s="6" t="s">
        <v>2621</v>
      </c>
      <c r="B2111" s="6" t="s">
        <v>96</v>
      </c>
      <c r="C2111" s="6" t="s">
        <v>98</v>
      </c>
      <c r="D2111" s="6" t="s">
        <v>372</v>
      </c>
      <c r="E2111" s="6"/>
      <c r="F2111" s="6" t="s">
        <v>2627</v>
      </c>
      <c r="G2111" s="6" t="s">
        <v>3651</v>
      </c>
      <c r="H2111" s="6" t="s">
        <v>4740</v>
      </c>
      <c r="I2111" s="6" t="n">
        <v>96</v>
      </c>
      <c r="J2111" s="6" t="s">
        <v>83</v>
      </c>
      <c r="K2111" s="6" t="s">
        <v>4741</v>
      </c>
      <c r="L2111" s="7"/>
      <c r="M2111" s="7"/>
    </row>
    <row r="2112" customFormat="false" ht="15" hidden="false" customHeight="false" outlineLevel="0" collapsed="false">
      <c r="A2112" s="6" t="s">
        <v>2621</v>
      </c>
      <c r="B2112" s="6" t="s">
        <v>96</v>
      </c>
      <c r="C2112" s="6" t="s">
        <v>98</v>
      </c>
      <c r="D2112" s="6" t="s">
        <v>372</v>
      </c>
      <c r="E2112" s="6"/>
      <c r="F2112" s="6" t="s">
        <v>2627</v>
      </c>
      <c r="G2112" s="6" t="s">
        <v>3654</v>
      </c>
      <c r="H2112" s="6" t="s">
        <v>4742</v>
      </c>
      <c r="I2112" s="6" t="n">
        <v>10</v>
      </c>
      <c r="J2112" s="6"/>
      <c r="K2112" s="6" t="s">
        <v>4743</v>
      </c>
      <c r="L2112" s="7"/>
      <c r="M2112" s="7"/>
    </row>
    <row r="2113" customFormat="false" ht="15" hidden="false" customHeight="false" outlineLevel="0" collapsed="false">
      <c r="A2113" s="6" t="s">
        <v>2621</v>
      </c>
      <c r="B2113" s="6" t="s">
        <v>96</v>
      </c>
      <c r="C2113" s="6" t="s">
        <v>98</v>
      </c>
      <c r="D2113" s="6" t="s">
        <v>372</v>
      </c>
      <c r="E2113" s="6"/>
      <c r="F2113" s="6" t="s">
        <v>2627</v>
      </c>
      <c r="G2113" s="6" t="s">
        <v>3657</v>
      </c>
      <c r="H2113" s="6" t="s">
        <v>4744</v>
      </c>
      <c r="I2113" s="6" t="n">
        <v>25</v>
      </c>
      <c r="J2113" s="6"/>
      <c r="K2113" s="6" t="s">
        <v>4745</v>
      </c>
      <c r="L2113" s="7"/>
      <c r="M2113" s="7"/>
    </row>
    <row r="2114" customFormat="false" ht="15" hidden="false" customHeight="false" outlineLevel="0" collapsed="false">
      <c r="A2114" s="6" t="s">
        <v>2621</v>
      </c>
      <c r="B2114" s="6" t="s">
        <v>96</v>
      </c>
      <c r="C2114" s="6" t="s">
        <v>98</v>
      </c>
      <c r="D2114" s="6" t="s">
        <v>372</v>
      </c>
      <c r="E2114" s="6"/>
      <c r="F2114" s="6" t="s">
        <v>2627</v>
      </c>
      <c r="G2114" s="6" t="s">
        <v>3660</v>
      </c>
      <c r="H2114" s="6" t="s">
        <v>4746</v>
      </c>
      <c r="I2114" s="6" t="n">
        <v>5</v>
      </c>
      <c r="J2114" s="6"/>
      <c r="K2114" s="6" t="s">
        <v>4747</v>
      </c>
      <c r="L2114" s="7"/>
      <c r="M2114" s="7"/>
    </row>
    <row r="2115" customFormat="false" ht="23.85" hidden="false" customHeight="false" outlineLevel="0" collapsed="false">
      <c r="A2115" s="6" t="s">
        <v>2640</v>
      </c>
      <c r="B2115" s="6" t="s">
        <v>110</v>
      </c>
      <c r="C2115" s="6" t="s">
        <v>98</v>
      </c>
      <c r="D2115" s="6" t="s">
        <v>372</v>
      </c>
      <c r="E2115" s="6"/>
      <c r="F2115" s="6" t="s">
        <v>2647</v>
      </c>
      <c r="G2115" s="6" t="s">
        <v>4748</v>
      </c>
      <c r="H2115" s="6" t="s">
        <v>4749</v>
      </c>
      <c r="I2115" s="6" t="n">
        <v>25</v>
      </c>
      <c r="J2115" s="6" t="s">
        <v>83</v>
      </c>
      <c r="K2115" s="6" t="s">
        <v>4750</v>
      </c>
      <c r="L2115" s="7"/>
      <c r="M2115" s="7"/>
    </row>
    <row r="2116" customFormat="false" ht="23.85" hidden="false" customHeight="false" outlineLevel="0" collapsed="false">
      <c r="A2116" s="6" t="s">
        <v>2640</v>
      </c>
      <c r="B2116" s="6" t="s">
        <v>110</v>
      </c>
      <c r="C2116" s="6" t="s">
        <v>98</v>
      </c>
      <c r="D2116" s="6" t="s">
        <v>372</v>
      </c>
      <c r="E2116" s="6"/>
      <c r="F2116" s="6" t="s">
        <v>2647</v>
      </c>
      <c r="G2116" s="6" t="s">
        <v>4751</v>
      </c>
      <c r="H2116" s="6" t="s">
        <v>4752</v>
      </c>
      <c r="I2116" s="6" t="n">
        <v>25</v>
      </c>
      <c r="J2116" s="6" t="s">
        <v>83</v>
      </c>
      <c r="K2116" s="6" t="s">
        <v>4753</v>
      </c>
      <c r="L2116" s="7"/>
      <c r="M2116" s="7"/>
    </row>
    <row r="2117" customFormat="false" ht="23.85" hidden="false" customHeight="false" outlineLevel="0" collapsed="false">
      <c r="A2117" s="6" t="s">
        <v>2640</v>
      </c>
      <c r="B2117" s="6" t="s">
        <v>110</v>
      </c>
      <c r="C2117" s="6" t="s">
        <v>98</v>
      </c>
      <c r="D2117" s="6" t="s">
        <v>372</v>
      </c>
      <c r="E2117" s="6"/>
      <c r="F2117" s="6" t="s">
        <v>2647</v>
      </c>
      <c r="G2117" s="6" t="s">
        <v>4754</v>
      </c>
      <c r="H2117" s="6" t="s">
        <v>4755</v>
      </c>
      <c r="I2117" s="6" t="n">
        <v>25</v>
      </c>
      <c r="J2117" s="6" t="s">
        <v>83</v>
      </c>
      <c r="K2117" s="6" t="s">
        <v>4756</v>
      </c>
      <c r="L2117" s="7"/>
      <c r="M2117" s="7"/>
    </row>
    <row r="2118" customFormat="false" ht="23.85" hidden="false" customHeight="false" outlineLevel="0" collapsed="false">
      <c r="A2118" s="6" t="s">
        <v>2640</v>
      </c>
      <c r="B2118" s="6" t="s">
        <v>110</v>
      </c>
      <c r="C2118" s="6" t="s">
        <v>98</v>
      </c>
      <c r="D2118" s="6" t="s">
        <v>372</v>
      </c>
      <c r="E2118" s="6"/>
      <c r="F2118" s="6" t="s">
        <v>2647</v>
      </c>
      <c r="G2118" s="6" t="s">
        <v>4192</v>
      </c>
      <c r="H2118" s="6" t="s">
        <v>4757</v>
      </c>
      <c r="I2118" s="6" t="n">
        <v>25</v>
      </c>
      <c r="J2118" s="6" t="s">
        <v>83</v>
      </c>
      <c r="K2118" s="6" t="s">
        <v>4758</v>
      </c>
      <c r="L2118" s="7"/>
      <c r="M2118" s="7"/>
    </row>
    <row r="2119" customFormat="false" ht="23.85" hidden="false" customHeight="false" outlineLevel="0" collapsed="false">
      <c r="A2119" s="6" t="s">
        <v>2640</v>
      </c>
      <c r="B2119" s="6" t="s">
        <v>110</v>
      </c>
      <c r="C2119" s="6" t="s">
        <v>98</v>
      </c>
      <c r="D2119" s="6" t="s">
        <v>372</v>
      </c>
      <c r="E2119" s="6"/>
      <c r="F2119" s="6" t="s">
        <v>2647</v>
      </c>
      <c r="G2119" s="6" t="s">
        <v>4759</v>
      </c>
      <c r="H2119" s="6" t="s">
        <v>4760</v>
      </c>
      <c r="I2119" s="6" t="n">
        <v>0</v>
      </c>
      <c r="J2119" s="6"/>
      <c r="K2119" s="6" t="s">
        <v>4761</v>
      </c>
      <c r="L2119" s="7"/>
      <c r="M2119" s="7"/>
    </row>
    <row r="2120" customFormat="false" ht="23.85" hidden="false" customHeight="false" outlineLevel="0" collapsed="false">
      <c r="A2120" s="6" t="s">
        <v>2651</v>
      </c>
      <c r="B2120" s="6" t="s">
        <v>110</v>
      </c>
      <c r="C2120" s="6" t="s">
        <v>165</v>
      </c>
      <c r="D2120" s="6" t="s">
        <v>431</v>
      </c>
      <c r="E2120" s="6" t="s">
        <v>432</v>
      </c>
      <c r="F2120" s="6" t="s">
        <v>2659</v>
      </c>
      <c r="G2120" s="6" t="s">
        <v>4068</v>
      </c>
      <c r="H2120" s="6" t="s">
        <v>4762</v>
      </c>
      <c r="I2120" s="6" t="n">
        <v>1</v>
      </c>
      <c r="J2120" s="6" t="s">
        <v>3692</v>
      </c>
      <c r="K2120" s="6"/>
      <c r="L2120" s="7"/>
      <c r="M2120" s="7"/>
    </row>
    <row r="2121" customFormat="false" ht="23.85" hidden="false" customHeight="false" outlineLevel="0" collapsed="false">
      <c r="A2121" s="6" t="s">
        <v>2651</v>
      </c>
      <c r="B2121" s="6" t="s">
        <v>110</v>
      </c>
      <c r="C2121" s="6" t="s">
        <v>165</v>
      </c>
      <c r="D2121" s="6" t="s">
        <v>431</v>
      </c>
      <c r="E2121" s="6" t="s">
        <v>432</v>
      </c>
      <c r="F2121" s="6" t="s">
        <v>2659</v>
      </c>
      <c r="G2121" s="6" t="s">
        <v>4763</v>
      </c>
      <c r="H2121" s="6" t="s">
        <v>4764</v>
      </c>
      <c r="I2121" s="6" t="n">
        <v>2</v>
      </c>
      <c r="J2121" s="6" t="s">
        <v>3695</v>
      </c>
      <c r="K2121" s="6"/>
      <c r="L2121" s="7"/>
      <c r="M2121" s="7"/>
    </row>
    <row r="2122" customFormat="false" ht="23.85" hidden="false" customHeight="false" outlineLevel="0" collapsed="false">
      <c r="A2122" s="6" t="s">
        <v>2651</v>
      </c>
      <c r="B2122" s="6" t="s">
        <v>110</v>
      </c>
      <c r="C2122" s="6" t="s">
        <v>165</v>
      </c>
      <c r="D2122" s="6" t="s">
        <v>431</v>
      </c>
      <c r="E2122" s="6" t="s">
        <v>432</v>
      </c>
      <c r="F2122" s="6" t="s">
        <v>2659</v>
      </c>
      <c r="G2122" s="6" t="s">
        <v>3696</v>
      </c>
      <c r="H2122" s="6" t="s">
        <v>4765</v>
      </c>
      <c r="I2122" s="6" t="n">
        <v>3</v>
      </c>
      <c r="J2122" s="6" t="s">
        <v>3698</v>
      </c>
      <c r="K2122" s="6"/>
      <c r="L2122" s="7"/>
      <c r="M2122" s="7"/>
    </row>
    <row r="2123" customFormat="false" ht="23.85" hidden="false" customHeight="false" outlineLevel="0" collapsed="false">
      <c r="A2123" s="6" t="s">
        <v>2651</v>
      </c>
      <c r="B2123" s="6" t="s">
        <v>110</v>
      </c>
      <c r="C2123" s="6" t="s">
        <v>165</v>
      </c>
      <c r="D2123" s="6" t="s">
        <v>431</v>
      </c>
      <c r="E2123" s="6" t="s">
        <v>432</v>
      </c>
      <c r="F2123" s="6" t="s">
        <v>2659</v>
      </c>
      <c r="G2123" s="6" t="s">
        <v>3699</v>
      </c>
      <c r="H2123" s="6" t="s">
        <v>4766</v>
      </c>
      <c r="I2123" s="6" t="n">
        <v>4</v>
      </c>
      <c r="J2123" s="6" t="s">
        <v>3701</v>
      </c>
      <c r="K2123" s="6"/>
      <c r="L2123" s="7"/>
      <c r="M2123" s="7"/>
    </row>
    <row r="2124" customFormat="false" ht="23.85" hidden="false" customHeight="false" outlineLevel="0" collapsed="false">
      <c r="A2124" s="6" t="s">
        <v>2651</v>
      </c>
      <c r="B2124" s="6" t="s">
        <v>110</v>
      </c>
      <c r="C2124" s="6" t="s">
        <v>165</v>
      </c>
      <c r="D2124" s="6" t="s">
        <v>431</v>
      </c>
      <c r="E2124" s="6" t="s">
        <v>432</v>
      </c>
      <c r="F2124" s="6" t="s">
        <v>2659</v>
      </c>
      <c r="G2124" s="6" t="s">
        <v>3864</v>
      </c>
      <c r="H2124" s="6" t="s">
        <v>4767</v>
      </c>
      <c r="I2124" s="6" t="n">
        <v>5</v>
      </c>
      <c r="J2124" s="6" t="s">
        <v>3866</v>
      </c>
      <c r="K2124" s="6"/>
      <c r="L2124" s="7"/>
      <c r="M2124" s="7"/>
    </row>
    <row r="2125" customFormat="false" ht="23.85" hidden="false" customHeight="false" outlineLevel="0" collapsed="false">
      <c r="A2125" s="6" t="s">
        <v>2662</v>
      </c>
      <c r="B2125" s="6" t="s">
        <v>132</v>
      </c>
      <c r="C2125" s="6" t="s">
        <v>165</v>
      </c>
      <c r="D2125" s="6" t="s">
        <v>372</v>
      </c>
      <c r="E2125" s="6"/>
      <c r="F2125" s="6" t="s">
        <v>2668</v>
      </c>
      <c r="G2125" s="6" t="s">
        <v>3693</v>
      </c>
      <c r="H2125" s="6" t="s">
        <v>4768</v>
      </c>
      <c r="I2125" s="6" t="n">
        <v>25</v>
      </c>
      <c r="J2125" s="6" t="s">
        <v>83</v>
      </c>
      <c r="K2125" s="6" t="s">
        <v>4769</v>
      </c>
      <c r="L2125" s="7"/>
      <c r="M2125" s="7"/>
    </row>
    <row r="2126" customFormat="false" ht="23.85" hidden="false" customHeight="false" outlineLevel="0" collapsed="false">
      <c r="A2126" s="6" t="s">
        <v>2662</v>
      </c>
      <c r="B2126" s="6" t="s">
        <v>132</v>
      </c>
      <c r="C2126" s="6" t="s">
        <v>165</v>
      </c>
      <c r="D2126" s="6" t="s">
        <v>372</v>
      </c>
      <c r="E2126" s="6"/>
      <c r="F2126" s="6" t="s">
        <v>2668</v>
      </c>
      <c r="G2126" s="6" t="s">
        <v>4770</v>
      </c>
      <c r="H2126" s="6" t="s">
        <v>4771</v>
      </c>
      <c r="I2126" s="6" t="n">
        <v>25</v>
      </c>
      <c r="J2126" s="6" t="s">
        <v>83</v>
      </c>
      <c r="K2126" s="6" t="s">
        <v>4772</v>
      </c>
      <c r="L2126" s="7"/>
      <c r="M2126" s="7"/>
    </row>
    <row r="2127" customFormat="false" ht="23.85" hidden="false" customHeight="false" outlineLevel="0" collapsed="false">
      <c r="A2127" s="6" t="s">
        <v>2662</v>
      </c>
      <c r="B2127" s="6" t="s">
        <v>132</v>
      </c>
      <c r="C2127" s="6" t="s">
        <v>165</v>
      </c>
      <c r="D2127" s="6" t="s">
        <v>372</v>
      </c>
      <c r="E2127" s="6"/>
      <c r="F2127" s="6" t="s">
        <v>2668</v>
      </c>
      <c r="G2127" s="6" t="s">
        <v>4773</v>
      </c>
      <c r="H2127" s="6" t="s">
        <v>4774</v>
      </c>
      <c r="I2127" s="6" t="n">
        <v>25</v>
      </c>
      <c r="J2127" s="6" t="s">
        <v>83</v>
      </c>
      <c r="K2127" s="6" t="s">
        <v>4775</v>
      </c>
      <c r="L2127" s="7"/>
      <c r="M2127" s="7"/>
    </row>
    <row r="2128" customFormat="false" ht="23.85" hidden="false" customHeight="false" outlineLevel="0" collapsed="false">
      <c r="A2128" s="6" t="s">
        <v>2662</v>
      </c>
      <c r="B2128" s="6" t="s">
        <v>132</v>
      </c>
      <c r="C2128" s="6" t="s">
        <v>165</v>
      </c>
      <c r="D2128" s="6" t="s">
        <v>372</v>
      </c>
      <c r="E2128" s="6"/>
      <c r="F2128" s="6" t="s">
        <v>2668</v>
      </c>
      <c r="G2128" s="6" t="s">
        <v>4776</v>
      </c>
      <c r="H2128" s="6" t="s">
        <v>4777</v>
      </c>
      <c r="I2128" s="6" t="n">
        <v>25</v>
      </c>
      <c r="J2128" s="6" t="s">
        <v>83</v>
      </c>
      <c r="K2128" s="6" t="s">
        <v>4778</v>
      </c>
      <c r="L2128" s="7"/>
      <c r="M2128" s="7"/>
    </row>
    <row r="2129" customFormat="false" ht="23.85" hidden="false" customHeight="false" outlineLevel="0" collapsed="false">
      <c r="A2129" s="6" t="s">
        <v>2662</v>
      </c>
      <c r="B2129" s="6" t="s">
        <v>132</v>
      </c>
      <c r="C2129" s="6" t="s">
        <v>165</v>
      </c>
      <c r="D2129" s="6" t="s">
        <v>372</v>
      </c>
      <c r="E2129" s="6"/>
      <c r="F2129" s="6" t="s">
        <v>2668</v>
      </c>
      <c r="G2129" s="6" t="s">
        <v>4779</v>
      </c>
      <c r="H2129" s="6" t="s">
        <v>4780</v>
      </c>
      <c r="I2129" s="6" t="n">
        <v>0</v>
      </c>
      <c r="J2129" s="6"/>
      <c r="K2129" s="6" t="s">
        <v>4781</v>
      </c>
      <c r="L2129" s="7"/>
      <c r="M2129" s="7"/>
    </row>
    <row r="2130" customFormat="false" ht="23.85" hidden="false" customHeight="false" outlineLevel="0" collapsed="false">
      <c r="A2130" s="6" t="s">
        <v>2672</v>
      </c>
      <c r="B2130" s="6" t="s">
        <v>132</v>
      </c>
      <c r="C2130" s="6" t="s">
        <v>98</v>
      </c>
      <c r="D2130" s="6" t="s">
        <v>491</v>
      </c>
      <c r="E2130" s="6" t="s">
        <v>4295</v>
      </c>
      <c r="F2130" s="6" t="s">
        <v>2678</v>
      </c>
      <c r="G2130" s="6"/>
      <c r="H2130" s="6" t="s">
        <v>4782</v>
      </c>
      <c r="I2130" s="6"/>
      <c r="J2130" s="6" t="s">
        <v>83</v>
      </c>
      <c r="K2130" s="6" t="s">
        <v>4783</v>
      </c>
      <c r="L2130" s="7"/>
      <c r="M2130" s="7"/>
    </row>
    <row r="2131" customFormat="false" ht="23.85" hidden="false" customHeight="false" outlineLevel="0" collapsed="false">
      <c r="A2131" s="6" t="s">
        <v>2672</v>
      </c>
      <c r="B2131" s="6" t="s">
        <v>132</v>
      </c>
      <c r="C2131" s="6" t="s">
        <v>98</v>
      </c>
      <c r="D2131" s="6" t="s">
        <v>491</v>
      </c>
      <c r="E2131" s="6" t="s">
        <v>4784</v>
      </c>
      <c r="F2131" s="6" t="s">
        <v>2678</v>
      </c>
      <c r="G2131" s="6"/>
      <c r="H2131" s="6" t="s">
        <v>4785</v>
      </c>
      <c r="I2131" s="6"/>
      <c r="J2131" s="6" t="s">
        <v>83</v>
      </c>
      <c r="K2131" s="6" t="s">
        <v>4786</v>
      </c>
      <c r="L2131" s="7"/>
      <c r="M2131" s="7"/>
    </row>
    <row r="2132" customFormat="false" ht="23.85" hidden="false" customHeight="false" outlineLevel="0" collapsed="false">
      <c r="A2132" s="6" t="s">
        <v>2672</v>
      </c>
      <c r="B2132" s="6" t="s">
        <v>132</v>
      </c>
      <c r="C2132" s="6" t="s">
        <v>98</v>
      </c>
      <c r="D2132" s="6" t="s">
        <v>491</v>
      </c>
      <c r="E2132" s="6" t="s">
        <v>3860</v>
      </c>
      <c r="F2132" s="6" t="s">
        <v>2678</v>
      </c>
      <c r="G2132" s="6"/>
      <c r="H2132" s="6" t="s">
        <v>4787</v>
      </c>
      <c r="I2132" s="6"/>
      <c r="J2132" s="6" t="s">
        <v>83</v>
      </c>
      <c r="K2132" s="6" t="s">
        <v>4788</v>
      </c>
      <c r="L2132" s="7"/>
      <c r="M2132" s="7"/>
    </row>
    <row r="2133" customFormat="false" ht="23.85" hidden="false" customHeight="false" outlineLevel="0" collapsed="false">
      <c r="A2133" s="6" t="s">
        <v>2672</v>
      </c>
      <c r="B2133" s="6" t="s">
        <v>132</v>
      </c>
      <c r="C2133" s="6" t="s">
        <v>98</v>
      </c>
      <c r="D2133" s="6" t="s">
        <v>491</v>
      </c>
      <c r="E2133" s="6" t="s">
        <v>4789</v>
      </c>
      <c r="F2133" s="6" t="s">
        <v>2678</v>
      </c>
      <c r="G2133" s="6"/>
      <c r="H2133" s="6" t="s">
        <v>4790</v>
      </c>
      <c r="I2133" s="6"/>
      <c r="J2133" s="6" t="s">
        <v>83</v>
      </c>
      <c r="K2133" s="6" t="s">
        <v>4791</v>
      </c>
      <c r="L2133" s="7"/>
      <c r="M2133" s="7"/>
    </row>
    <row r="2134" customFormat="false" ht="23.85" hidden="false" customHeight="false" outlineLevel="0" collapsed="false">
      <c r="A2134" s="6" t="s">
        <v>2690</v>
      </c>
      <c r="B2134" s="6" t="s">
        <v>145</v>
      </c>
      <c r="C2134" s="6" t="s">
        <v>98</v>
      </c>
      <c r="D2134" s="6" t="s">
        <v>372</v>
      </c>
      <c r="E2134" s="6"/>
      <c r="F2134" s="6" t="s">
        <v>2696</v>
      </c>
      <c r="G2134" s="6" t="s">
        <v>3651</v>
      </c>
      <c r="H2134" s="6" t="s">
        <v>4792</v>
      </c>
      <c r="I2134" s="6" t="n">
        <v>95</v>
      </c>
      <c r="J2134" s="6" t="s">
        <v>83</v>
      </c>
      <c r="K2134" s="6" t="s">
        <v>4793</v>
      </c>
      <c r="L2134" s="7"/>
      <c r="M2134" s="7"/>
    </row>
    <row r="2135" customFormat="false" ht="15" hidden="false" customHeight="false" outlineLevel="0" collapsed="false">
      <c r="A2135" s="6" t="s">
        <v>2690</v>
      </c>
      <c r="B2135" s="6" t="s">
        <v>145</v>
      </c>
      <c r="C2135" s="6" t="s">
        <v>98</v>
      </c>
      <c r="D2135" s="6" t="s">
        <v>372</v>
      </c>
      <c r="E2135" s="6"/>
      <c r="F2135" s="6" t="s">
        <v>2696</v>
      </c>
      <c r="G2135" s="6" t="s">
        <v>3654</v>
      </c>
      <c r="H2135" s="6" t="s">
        <v>4794</v>
      </c>
      <c r="I2135" s="6" t="n">
        <v>25</v>
      </c>
      <c r="J2135" s="6"/>
      <c r="K2135" s="6" t="s">
        <v>4795</v>
      </c>
      <c r="L2135" s="7"/>
      <c r="M2135" s="7"/>
    </row>
    <row r="2136" customFormat="false" ht="15" hidden="false" customHeight="false" outlineLevel="0" collapsed="false">
      <c r="A2136" s="6" t="s">
        <v>2690</v>
      </c>
      <c r="B2136" s="6" t="s">
        <v>145</v>
      </c>
      <c r="C2136" s="6" t="s">
        <v>98</v>
      </c>
      <c r="D2136" s="6" t="s">
        <v>372</v>
      </c>
      <c r="E2136" s="6"/>
      <c r="F2136" s="6" t="s">
        <v>2696</v>
      </c>
      <c r="G2136" s="6" t="s">
        <v>3657</v>
      </c>
      <c r="H2136" s="6" t="s">
        <v>4796</v>
      </c>
      <c r="I2136" s="6" t="n">
        <v>10</v>
      </c>
      <c r="J2136" s="6"/>
      <c r="K2136" s="6" t="s">
        <v>4797</v>
      </c>
      <c r="L2136" s="7"/>
      <c r="M2136" s="7"/>
    </row>
    <row r="2137" customFormat="false" ht="15" hidden="false" customHeight="false" outlineLevel="0" collapsed="false">
      <c r="A2137" s="6" t="s">
        <v>2690</v>
      </c>
      <c r="B2137" s="6" t="s">
        <v>145</v>
      </c>
      <c r="C2137" s="6" t="s">
        <v>98</v>
      </c>
      <c r="D2137" s="6" t="s">
        <v>372</v>
      </c>
      <c r="E2137" s="6"/>
      <c r="F2137" s="6" t="s">
        <v>2696</v>
      </c>
      <c r="G2137" s="6" t="s">
        <v>3660</v>
      </c>
      <c r="H2137" s="6" t="s">
        <v>4798</v>
      </c>
      <c r="I2137" s="6" t="n">
        <v>20</v>
      </c>
      <c r="J2137" s="6"/>
      <c r="K2137" s="6" t="s">
        <v>4799</v>
      </c>
      <c r="L2137" s="7"/>
      <c r="M2137" s="7"/>
    </row>
    <row r="2138" customFormat="false" ht="15" hidden="false" customHeight="false" outlineLevel="0" collapsed="false">
      <c r="A2138" s="6" t="s">
        <v>2700</v>
      </c>
      <c r="B2138" s="6" t="s">
        <v>123</v>
      </c>
      <c r="C2138" s="6" t="s">
        <v>79</v>
      </c>
      <c r="D2138" s="6" t="s">
        <v>372</v>
      </c>
      <c r="E2138" s="6"/>
      <c r="F2138" s="6" t="s">
        <v>2704</v>
      </c>
      <c r="G2138" s="6" t="s">
        <v>3651</v>
      </c>
      <c r="H2138" s="6" t="s">
        <v>4800</v>
      </c>
      <c r="I2138" s="6" t="n">
        <v>15</v>
      </c>
      <c r="J2138" s="6"/>
      <c r="K2138" s="6" t="s">
        <v>4801</v>
      </c>
      <c r="L2138" s="7"/>
      <c r="M2138" s="7"/>
    </row>
    <row r="2139" customFormat="false" ht="15" hidden="false" customHeight="false" outlineLevel="0" collapsed="false">
      <c r="A2139" s="6" t="s">
        <v>2700</v>
      </c>
      <c r="B2139" s="6" t="s">
        <v>123</v>
      </c>
      <c r="C2139" s="6" t="s">
        <v>79</v>
      </c>
      <c r="D2139" s="6" t="s">
        <v>372</v>
      </c>
      <c r="E2139" s="6"/>
      <c r="F2139" s="6" t="s">
        <v>2704</v>
      </c>
      <c r="G2139" s="6" t="s">
        <v>3654</v>
      </c>
      <c r="H2139" s="6" t="s">
        <v>4802</v>
      </c>
      <c r="I2139" s="6" t="n">
        <v>95</v>
      </c>
      <c r="J2139" s="6" t="s">
        <v>83</v>
      </c>
      <c r="K2139" s="6" t="s">
        <v>4803</v>
      </c>
      <c r="L2139" s="7"/>
      <c r="M2139" s="7"/>
    </row>
    <row r="2140" customFormat="false" ht="15" hidden="false" customHeight="false" outlineLevel="0" collapsed="false">
      <c r="A2140" s="6" t="s">
        <v>2700</v>
      </c>
      <c r="B2140" s="6" t="s">
        <v>123</v>
      </c>
      <c r="C2140" s="6" t="s">
        <v>79</v>
      </c>
      <c r="D2140" s="6" t="s">
        <v>372</v>
      </c>
      <c r="E2140" s="6"/>
      <c r="F2140" s="6" t="s">
        <v>2704</v>
      </c>
      <c r="G2140" s="6" t="s">
        <v>3657</v>
      </c>
      <c r="H2140" s="6" t="s">
        <v>4804</v>
      </c>
      <c r="I2140" s="6" t="n">
        <v>35</v>
      </c>
      <c r="J2140" s="6"/>
      <c r="K2140" s="6" t="s">
        <v>4805</v>
      </c>
      <c r="L2140" s="7"/>
      <c r="M2140" s="7"/>
    </row>
    <row r="2141" customFormat="false" ht="15" hidden="false" customHeight="false" outlineLevel="0" collapsed="false">
      <c r="A2141" s="6" t="s">
        <v>2700</v>
      </c>
      <c r="B2141" s="6" t="s">
        <v>123</v>
      </c>
      <c r="C2141" s="6" t="s">
        <v>79</v>
      </c>
      <c r="D2141" s="6" t="s">
        <v>372</v>
      </c>
      <c r="E2141" s="6"/>
      <c r="F2141" s="6" t="s">
        <v>2704</v>
      </c>
      <c r="G2141" s="6" t="s">
        <v>3660</v>
      </c>
      <c r="H2141" s="6" t="s">
        <v>4806</v>
      </c>
      <c r="I2141" s="6" t="n">
        <v>10</v>
      </c>
      <c r="J2141" s="6"/>
      <c r="K2141" s="6" t="s">
        <v>4807</v>
      </c>
      <c r="L2141" s="7"/>
      <c r="M2141" s="7"/>
    </row>
    <row r="2142" customFormat="false" ht="15" hidden="false" customHeight="false" outlineLevel="0" collapsed="false">
      <c r="A2142" s="6" t="s">
        <v>2708</v>
      </c>
      <c r="B2142" s="6" t="s">
        <v>123</v>
      </c>
      <c r="C2142" s="6" t="s">
        <v>98</v>
      </c>
      <c r="D2142" s="6" t="s">
        <v>372</v>
      </c>
      <c r="E2142" s="6"/>
      <c r="F2142" s="6" t="s">
        <v>2712</v>
      </c>
      <c r="G2142" s="6" t="s">
        <v>3651</v>
      </c>
      <c r="H2142" s="6" t="s">
        <v>4808</v>
      </c>
      <c r="I2142" s="6" t="n">
        <v>95</v>
      </c>
      <c r="J2142" s="6" t="s">
        <v>83</v>
      </c>
      <c r="K2142" s="6" t="s">
        <v>4809</v>
      </c>
      <c r="L2142" s="7"/>
      <c r="M2142" s="7"/>
    </row>
    <row r="2143" customFormat="false" ht="15" hidden="false" customHeight="false" outlineLevel="0" collapsed="false">
      <c r="A2143" s="6" t="s">
        <v>2708</v>
      </c>
      <c r="B2143" s="6" t="s">
        <v>123</v>
      </c>
      <c r="C2143" s="6" t="s">
        <v>98</v>
      </c>
      <c r="D2143" s="6" t="s">
        <v>372</v>
      </c>
      <c r="E2143" s="6"/>
      <c r="F2143" s="6" t="s">
        <v>2712</v>
      </c>
      <c r="G2143" s="6" t="s">
        <v>3654</v>
      </c>
      <c r="H2143" s="6" t="s">
        <v>4810</v>
      </c>
      <c r="I2143" s="6" t="n">
        <v>25</v>
      </c>
      <c r="J2143" s="6"/>
      <c r="K2143" s="6" t="s">
        <v>4811</v>
      </c>
      <c r="L2143" s="7"/>
      <c r="M2143" s="7"/>
    </row>
    <row r="2144" customFormat="false" ht="15" hidden="false" customHeight="false" outlineLevel="0" collapsed="false">
      <c r="A2144" s="6" t="s">
        <v>2708</v>
      </c>
      <c r="B2144" s="6" t="s">
        <v>123</v>
      </c>
      <c r="C2144" s="6" t="s">
        <v>98</v>
      </c>
      <c r="D2144" s="6" t="s">
        <v>372</v>
      </c>
      <c r="E2144" s="6"/>
      <c r="F2144" s="6" t="s">
        <v>2712</v>
      </c>
      <c r="G2144" s="6" t="s">
        <v>3657</v>
      </c>
      <c r="H2144" s="6" t="s">
        <v>4812</v>
      </c>
      <c r="I2144" s="6" t="n">
        <v>45</v>
      </c>
      <c r="J2144" s="6"/>
      <c r="K2144" s="6" t="s">
        <v>4813</v>
      </c>
      <c r="L2144" s="7"/>
      <c r="M2144" s="7"/>
    </row>
    <row r="2145" customFormat="false" ht="15" hidden="false" customHeight="false" outlineLevel="0" collapsed="false">
      <c r="A2145" s="6" t="s">
        <v>2708</v>
      </c>
      <c r="B2145" s="6" t="s">
        <v>123</v>
      </c>
      <c r="C2145" s="6" t="s">
        <v>98</v>
      </c>
      <c r="D2145" s="6" t="s">
        <v>372</v>
      </c>
      <c r="E2145" s="6"/>
      <c r="F2145" s="6" t="s">
        <v>2712</v>
      </c>
      <c r="G2145" s="6" t="s">
        <v>3660</v>
      </c>
      <c r="H2145" s="6" t="s">
        <v>4814</v>
      </c>
      <c r="I2145" s="6" t="n">
        <v>50</v>
      </c>
      <c r="J2145" s="6"/>
      <c r="K2145" s="6" t="s">
        <v>4815</v>
      </c>
      <c r="L2145" s="7"/>
      <c r="M2145" s="7"/>
    </row>
    <row r="2146" customFormat="false" ht="23.85" hidden="false" customHeight="false" outlineLevel="0" collapsed="false">
      <c r="A2146" s="6" t="s">
        <v>2716</v>
      </c>
      <c r="B2146" s="6" t="s">
        <v>123</v>
      </c>
      <c r="C2146" s="6" t="s">
        <v>165</v>
      </c>
      <c r="D2146" s="6" t="s">
        <v>372</v>
      </c>
      <c r="E2146" s="6"/>
      <c r="F2146" s="6" t="s">
        <v>2720</v>
      </c>
      <c r="G2146" s="6" t="s">
        <v>3651</v>
      </c>
      <c r="H2146" s="6" t="s">
        <v>4816</v>
      </c>
      <c r="I2146" s="6" t="n">
        <v>95</v>
      </c>
      <c r="J2146" s="6" t="s">
        <v>83</v>
      </c>
      <c r="K2146" s="6" t="s">
        <v>4817</v>
      </c>
      <c r="L2146" s="7"/>
      <c r="M2146" s="7"/>
    </row>
    <row r="2147" customFormat="false" ht="15" hidden="false" customHeight="false" outlineLevel="0" collapsed="false">
      <c r="A2147" s="6" t="s">
        <v>2716</v>
      </c>
      <c r="B2147" s="6" t="s">
        <v>123</v>
      </c>
      <c r="C2147" s="6" t="s">
        <v>165</v>
      </c>
      <c r="D2147" s="6" t="s">
        <v>372</v>
      </c>
      <c r="E2147" s="6"/>
      <c r="F2147" s="6" t="s">
        <v>2720</v>
      </c>
      <c r="G2147" s="6" t="s">
        <v>3654</v>
      </c>
      <c r="H2147" s="6" t="s">
        <v>4818</v>
      </c>
      <c r="I2147" s="6" t="n">
        <v>20</v>
      </c>
      <c r="J2147" s="6"/>
      <c r="K2147" s="6" t="s">
        <v>4819</v>
      </c>
      <c r="L2147" s="7"/>
      <c r="M2147" s="7"/>
    </row>
    <row r="2148" customFormat="false" ht="15" hidden="false" customHeight="false" outlineLevel="0" collapsed="false">
      <c r="A2148" s="6" t="s">
        <v>2716</v>
      </c>
      <c r="B2148" s="6" t="s">
        <v>123</v>
      </c>
      <c r="C2148" s="6" t="s">
        <v>165</v>
      </c>
      <c r="D2148" s="6" t="s">
        <v>372</v>
      </c>
      <c r="E2148" s="6"/>
      <c r="F2148" s="6" t="s">
        <v>2720</v>
      </c>
      <c r="G2148" s="6" t="s">
        <v>3657</v>
      </c>
      <c r="H2148" s="6" t="s">
        <v>4820</v>
      </c>
      <c r="I2148" s="6" t="n">
        <v>5</v>
      </c>
      <c r="J2148" s="6"/>
      <c r="K2148" s="6" t="s">
        <v>4821</v>
      </c>
      <c r="L2148" s="7"/>
      <c r="M2148" s="7"/>
    </row>
    <row r="2149" customFormat="false" ht="15" hidden="false" customHeight="false" outlineLevel="0" collapsed="false">
      <c r="A2149" s="6" t="s">
        <v>2716</v>
      </c>
      <c r="B2149" s="6" t="s">
        <v>123</v>
      </c>
      <c r="C2149" s="6" t="s">
        <v>165</v>
      </c>
      <c r="D2149" s="6" t="s">
        <v>372</v>
      </c>
      <c r="E2149" s="6"/>
      <c r="F2149" s="6" t="s">
        <v>2720</v>
      </c>
      <c r="G2149" s="6" t="s">
        <v>3660</v>
      </c>
      <c r="H2149" s="6" t="s">
        <v>4822</v>
      </c>
      <c r="I2149" s="6" t="n">
        <v>25</v>
      </c>
      <c r="J2149" s="6"/>
      <c r="K2149" s="6" t="s">
        <v>4823</v>
      </c>
      <c r="L2149" s="7"/>
      <c r="M2149" s="7"/>
    </row>
    <row r="2150" customFormat="false" ht="15" hidden="false" customHeight="false" outlineLevel="0" collapsed="false">
      <c r="A2150" s="6" t="s">
        <v>2724</v>
      </c>
      <c r="B2150" s="6" t="s">
        <v>77</v>
      </c>
      <c r="C2150" s="6" t="s">
        <v>79</v>
      </c>
      <c r="D2150" s="6" t="s">
        <v>2725</v>
      </c>
      <c r="E2150" s="6"/>
      <c r="F2150" s="6" t="s">
        <v>2729</v>
      </c>
      <c r="G2150" s="6" t="s">
        <v>3651</v>
      </c>
      <c r="H2150" s="6" t="s">
        <v>4824</v>
      </c>
      <c r="I2150" s="6" t="n">
        <v>20</v>
      </c>
      <c r="J2150" s="6"/>
      <c r="K2150" s="6" t="s">
        <v>4825</v>
      </c>
      <c r="L2150" s="7"/>
      <c r="M2150" s="7"/>
    </row>
    <row r="2151" customFormat="false" ht="23.85" hidden="false" customHeight="false" outlineLevel="0" collapsed="false">
      <c r="A2151" s="6" t="s">
        <v>2724</v>
      </c>
      <c r="B2151" s="6" t="s">
        <v>77</v>
      </c>
      <c r="C2151" s="6" t="s">
        <v>79</v>
      </c>
      <c r="D2151" s="6" t="s">
        <v>2725</v>
      </c>
      <c r="E2151" s="6"/>
      <c r="F2151" s="6" t="s">
        <v>2729</v>
      </c>
      <c r="G2151" s="6" t="s">
        <v>3654</v>
      </c>
      <c r="H2151" s="6" t="s">
        <v>4826</v>
      </c>
      <c r="I2151" s="6" t="n">
        <v>95</v>
      </c>
      <c r="J2151" s="6" t="s">
        <v>83</v>
      </c>
      <c r="K2151" s="6" t="s">
        <v>4827</v>
      </c>
      <c r="L2151" s="7"/>
      <c r="M2151" s="7"/>
    </row>
    <row r="2152" customFormat="false" ht="15" hidden="false" customHeight="false" outlineLevel="0" collapsed="false">
      <c r="A2152" s="6" t="s">
        <v>2724</v>
      </c>
      <c r="B2152" s="6" t="s">
        <v>77</v>
      </c>
      <c r="C2152" s="6" t="s">
        <v>79</v>
      </c>
      <c r="D2152" s="6" t="s">
        <v>2725</v>
      </c>
      <c r="E2152" s="6"/>
      <c r="F2152" s="6" t="s">
        <v>2729</v>
      </c>
      <c r="G2152" s="6" t="s">
        <v>3657</v>
      </c>
      <c r="H2152" s="6" t="s">
        <v>4828</v>
      </c>
      <c r="I2152" s="6" t="n">
        <v>35</v>
      </c>
      <c r="J2152" s="6"/>
      <c r="K2152" s="6" t="s">
        <v>4829</v>
      </c>
      <c r="L2152" s="7"/>
      <c r="M2152" s="7"/>
    </row>
    <row r="2153" customFormat="false" ht="15" hidden="false" customHeight="false" outlineLevel="0" collapsed="false">
      <c r="A2153" s="6" t="s">
        <v>2724</v>
      </c>
      <c r="B2153" s="6" t="s">
        <v>77</v>
      </c>
      <c r="C2153" s="6" t="s">
        <v>79</v>
      </c>
      <c r="D2153" s="6" t="s">
        <v>2725</v>
      </c>
      <c r="E2153" s="6"/>
      <c r="F2153" s="6" t="s">
        <v>2729</v>
      </c>
      <c r="G2153" s="6" t="s">
        <v>3660</v>
      </c>
      <c r="H2153" s="6" t="s">
        <v>4830</v>
      </c>
      <c r="I2153" s="6" t="n">
        <v>40</v>
      </c>
      <c r="J2153" s="6"/>
      <c r="K2153" s="6" t="s">
        <v>4831</v>
      </c>
      <c r="L2153" s="7"/>
      <c r="M2153" s="7"/>
    </row>
    <row r="2154" customFormat="false" ht="15" hidden="false" customHeight="false" outlineLevel="0" collapsed="false">
      <c r="A2154" s="6" t="s">
        <v>2733</v>
      </c>
      <c r="B2154" s="6" t="s">
        <v>77</v>
      </c>
      <c r="C2154" s="6" t="s">
        <v>98</v>
      </c>
      <c r="D2154" s="6" t="s">
        <v>372</v>
      </c>
      <c r="E2154" s="6"/>
      <c r="F2154" s="6" t="s">
        <v>2740</v>
      </c>
      <c r="G2154" s="6" t="s">
        <v>3651</v>
      </c>
      <c r="H2154" s="6" t="s">
        <v>4832</v>
      </c>
      <c r="I2154" s="6" t="n">
        <v>95</v>
      </c>
      <c r="J2154" s="6" t="s">
        <v>83</v>
      </c>
      <c r="K2154" s="6" t="s">
        <v>4833</v>
      </c>
      <c r="L2154" s="7"/>
      <c r="M2154" s="7"/>
    </row>
    <row r="2155" customFormat="false" ht="15" hidden="false" customHeight="false" outlineLevel="0" collapsed="false">
      <c r="A2155" s="6" t="s">
        <v>2733</v>
      </c>
      <c r="B2155" s="6" t="s">
        <v>77</v>
      </c>
      <c r="C2155" s="6" t="s">
        <v>98</v>
      </c>
      <c r="D2155" s="6" t="s">
        <v>372</v>
      </c>
      <c r="E2155" s="6"/>
      <c r="F2155" s="6" t="s">
        <v>2740</v>
      </c>
      <c r="G2155" s="6" t="s">
        <v>3654</v>
      </c>
      <c r="H2155" s="6" t="s">
        <v>4834</v>
      </c>
      <c r="I2155" s="6" t="n">
        <v>10</v>
      </c>
      <c r="J2155" s="6"/>
      <c r="K2155" s="6" t="s">
        <v>4835</v>
      </c>
      <c r="L2155" s="7"/>
      <c r="M2155" s="7"/>
    </row>
    <row r="2156" customFormat="false" ht="15" hidden="false" customHeight="false" outlineLevel="0" collapsed="false">
      <c r="A2156" s="6" t="s">
        <v>2733</v>
      </c>
      <c r="B2156" s="6" t="s">
        <v>77</v>
      </c>
      <c r="C2156" s="6" t="s">
        <v>98</v>
      </c>
      <c r="D2156" s="6" t="s">
        <v>372</v>
      </c>
      <c r="E2156" s="6"/>
      <c r="F2156" s="6" t="s">
        <v>2740</v>
      </c>
      <c r="G2156" s="6" t="s">
        <v>3657</v>
      </c>
      <c r="H2156" s="6" t="s">
        <v>4836</v>
      </c>
      <c r="I2156" s="6" t="n">
        <v>35</v>
      </c>
      <c r="J2156" s="6"/>
      <c r="K2156" s="6" t="s">
        <v>4837</v>
      </c>
      <c r="L2156" s="7"/>
      <c r="M2156" s="7"/>
    </row>
    <row r="2157" customFormat="false" ht="15" hidden="false" customHeight="false" outlineLevel="0" collapsed="false">
      <c r="A2157" s="6" t="s">
        <v>2733</v>
      </c>
      <c r="B2157" s="6" t="s">
        <v>77</v>
      </c>
      <c r="C2157" s="6" t="s">
        <v>98</v>
      </c>
      <c r="D2157" s="6" t="s">
        <v>372</v>
      </c>
      <c r="E2157" s="6"/>
      <c r="F2157" s="6" t="s">
        <v>2740</v>
      </c>
      <c r="G2157" s="6" t="s">
        <v>3660</v>
      </c>
      <c r="H2157" s="6" t="s">
        <v>4838</v>
      </c>
      <c r="I2157" s="6" t="n">
        <v>55</v>
      </c>
      <c r="J2157" s="6"/>
      <c r="K2157" s="6" t="s">
        <v>4839</v>
      </c>
      <c r="L2157" s="7"/>
      <c r="M2157" s="7"/>
    </row>
    <row r="2158" customFormat="false" ht="23.85" hidden="false" customHeight="false" outlineLevel="0" collapsed="false">
      <c r="A2158" s="6" t="s">
        <v>2744</v>
      </c>
      <c r="B2158" s="6" t="s">
        <v>77</v>
      </c>
      <c r="C2158" s="6" t="s">
        <v>165</v>
      </c>
      <c r="D2158" s="6" t="s">
        <v>2725</v>
      </c>
      <c r="E2158" s="6"/>
      <c r="F2158" s="6" t="s">
        <v>2748</v>
      </c>
      <c r="G2158" s="6" t="s">
        <v>3651</v>
      </c>
      <c r="H2158" s="6" t="s">
        <v>4840</v>
      </c>
      <c r="I2158" s="6" t="n">
        <v>98</v>
      </c>
      <c r="J2158" s="6" t="s">
        <v>83</v>
      </c>
      <c r="K2158" s="6" t="s">
        <v>4841</v>
      </c>
      <c r="L2158" s="7"/>
      <c r="M2158" s="7"/>
    </row>
    <row r="2159" customFormat="false" ht="15" hidden="false" customHeight="false" outlineLevel="0" collapsed="false">
      <c r="A2159" s="6" t="s">
        <v>2744</v>
      </c>
      <c r="B2159" s="6" t="s">
        <v>77</v>
      </c>
      <c r="C2159" s="6" t="s">
        <v>165</v>
      </c>
      <c r="D2159" s="6" t="s">
        <v>2725</v>
      </c>
      <c r="E2159" s="6"/>
      <c r="F2159" s="6" t="s">
        <v>2748</v>
      </c>
      <c r="G2159" s="6" t="s">
        <v>3654</v>
      </c>
      <c r="H2159" s="6" t="s">
        <v>4842</v>
      </c>
      <c r="I2159" s="6" t="n">
        <v>35</v>
      </c>
      <c r="J2159" s="6"/>
      <c r="K2159" s="6" t="s">
        <v>4843</v>
      </c>
      <c r="L2159" s="7"/>
      <c r="M2159" s="7"/>
    </row>
    <row r="2160" customFormat="false" ht="15" hidden="false" customHeight="false" outlineLevel="0" collapsed="false">
      <c r="A2160" s="6" t="s">
        <v>2744</v>
      </c>
      <c r="B2160" s="6" t="s">
        <v>77</v>
      </c>
      <c r="C2160" s="6" t="s">
        <v>165</v>
      </c>
      <c r="D2160" s="6" t="s">
        <v>2725</v>
      </c>
      <c r="E2160" s="6"/>
      <c r="F2160" s="6" t="s">
        <v>2748</v>
      </c>
      <c r="G2160" s="6" t="s">
        <v>3657</v>
      </c>
      <c r="H2160" s="6" t="s">
        <v>4844</v>
      </c>
      <c r="I2160" s="6" t="n">
        <v>20</v>
      </c>
      <c r="J2160" s="6"/>
      <c r="K2160" s="6" t="s">
        <v>4845</v>
      </c>
      <c r="L2160" s="7"/>
      <c r="M2160" s="7"/>
    </row>
    <row r="2161" customFormat="false" ht="15" hidden="false" customHeight="false" outlineLevel="0" collapsed="false">
      <c r="A2161" s="6" t="s">
        <v>2744</v>
      </c>
      <c r="B2161" s="6" t="s">
        <v>77</v>
      </c>
      <c r="C2161" s="6" t="s">
        <v>165</v>
      </c>
      <c r="D2161" s="6" t="s">
        <v>2725</v>
      </c>
      <c r="E2161" s="6"/>
      <c r="F2161" s="6" t="s">
        <v>2748</v>
      </c>
      <c r="G2161" s="6" t="s">
        <v>3660</v>
      </c>
      <c r="H2161" s="6" t="s">
        <v>4846</v>
      </c>
      <c r="I2161" s="6" t="n">
        <v>25</v>
      </c>
      <c r="J2161" s="6"/>
      <c r="K2161" s="6" t="s">
        <v>4847</v>
      </c>
      <c r="L2161" s="7"/>
      <c r="M2161" s="7"/>
    </row>
    <row r="2162" customFormat="false" ht="15" hidden="false" customHeight="false" outlineLevel="0" collapsed="false">
      <c r="A2162" s="6" t="s">
        <v>2752</v>
      </c>
      <c r="B2162" s="6" t="s">
        <v>96</v>
      </c>
      <c r="C2162" s="6" t="s">
        <v>79</v>
      </c>
      <c r="D2162" s="6" t="s">
        <v>396</v>
      </c>
      <c r="E2162" s="6"/>
      <c r="F2162" s="6" t="s">
        <v>2757</v>
      </c>
      <c r="G2162" s="6" t="s">
        <v>3651</v>
      </c>
      <c r="H2162" s="6" t="s">
        <v>4848</v>
      </c>
      <c r="I2162" s="6" t="n">
        <v>10</v>
      </c>
      <c r="J2162" s="6"/>
      <c r="K2162" s="6" t="s">
        <v>4849</v>
      </c>
      <c r="L2162" s="7"/>
      <c r="M2162" s="7"/>
    </row>
    <row r="2163" customFormat="false" ht="15" hidden="false" customHeight="false" outlineLevel="0" collapsed="false">
      <c r="A2163" s="6" t="s">
        <v>2752</v>
      </c>
      <c r="B2163" s="6" t="s">
        <v>96</v>
      </c>
      <c r="C2163" s="6" t="s">
        <v>79</v>
      </c>
      <c r="D2163" s="6" t="s">
        <v>396</v>
      </c>
      <c r="E2163" s="6"/>
      <c r="F2163" s="6" t="s">
        <v>2757</v>
      </c>
      <c r="G2163" s="6" t="s">
        <v>3654</v>
      </c>
      <c r="H2163" s="6" t="s">
        <v>4850</v>
      </c>
      <c r="I2163" s="6" t="n">
        <v>95</v>
      </c>
      <c r="J2163" s="6" t="s">
        <v>83</v>
      </c>
      <c r="K2163" s="6" t="s">
        <v>4851</v>
      </c>
      <c r="L2163" s="7"/>
      <c r="M2163" s="7"/>
    </row>
    <row r="2164" customFormat="false" ht="15" hidden="false" customHeight="false" outlineLevel="0" collapsed="false">
      <c r="A2164" s="6" t="s">
        <v>2752</v>
      </c>
      <c r="B2164" s="6" t="s">
        <v>96</v>
      </c>
      <c r="C2164" s="6" t="s">
        <v>79</v>
      </c>
      <c r="D2164" s="6" t="s">
        <v>396</v>
      </c>
      <c r="E2164" s="6"/>
      <c r="F2164" s="6" t="s">
        <v>2757</v>
      </c>
      <c r="G2164" s="6" t="s">
        <v>3657</v>
      </c>
      <c r="H2164" s="6" t="s">
        <v>4852</v>
      </c>
      <c r="I2164" s="6" t="n">
        <v>20</v>
      </c>
      <c r="J2164" s="6"/>
      <c r="K2164" s="6" t="s">
        <v>4853</v>
      </c>
      <c r="L2164" s="7"/>
      <c r="M2164" s="7"/>
    </row>
    <row r="2165" customFormat="false" ht="15" hidden="false" customHeight="false" outlineLevel="0" collapsed="false">
      <c r="A2165" s="6" t="s">
        <v>2752</v>
      </c>
      <c r="B2165" s="6" t="s">
        <v>96</v>
      </c>
      <c r="C2165" s="6" t="s">
        <v>79</v>
      </c>
      <c r="D2165" s="6" t="s">
        <v>396</v>
      </c>
      <c r="E2165" s="6"/>
      <c r="F2165" s="6" t="s">
        <v>2757</v>
      </c>
      <c r="G2165" s="6" t="s">
        <v>3660</v>
      </c>
      <c r="H2165" s="6" t="s">
        <v>4854</v>
      </c>
      <c r="I2165" s="6" t="n">
        <v>35</v>
      </c>
      <c r="J2165" s="6"/>
      <c r="K2165" s="6" t="s">
        <v>4855</v>
      </c>
      <c r="L2165" s="7"/>
      <c r="M2165" s="7"/>
    </row>
    <row r="2166" customFormat="false" ht="23.85" hidden="false" customHeight="false" outlineLevel="0" collapsed="false">
      <c r="A2166" s="6" t="s">
        <v>2761</v>
      </c>
      <c r="B2166" s="6" t="s">
        <v>96</v>
      </c>
      <c r="C2166" s="6" t="s">
        <v>98</v>
      </c>
      <c r="D2166" s="6" t="s">
        <v>396</v>
      </c>
      <c r="E2166" s="6"/>
      <c r="F2166" s="6" t="s">
        <v>2766</v>
      </c>
      <c r="G2166" s="6" t="s">
        <v>3651</v>
      </c>
      <c r="H2166" s="6" t="s">
        <v>4856</v>
      </c>
      <c r="I2166" s="6" t="n">
        <v>10</v>
      </c>
      <c r="J2166" s="6"/>
      <c r="K2166" s="6" t="s">
        <v>4857</v>
      </c>
      <c r="L2166" s="7"/>
      <c r="M2166" s="7"/>
    </row>
    <row r="2167" customFormat="false" ht="23.85" hidden="false" customHeight="false" outlineLevel="0" collapsed="false">
      <c r="A2167" s="6" t="s">
        <v>2761</v>
      </c>
      <c r="B2167" s="6" t="s">
        <v>96</v>
      </c>
      <c r="C2167" s="6" t="s">
        <v>98</v>
      </c>
      <c r="D2167" s="6" t="s">
        <v>396</v>
      </c>
      <c r="E2167" s="6"/>
      <c r="F2167" s="6" t="s">
        <v>2766</v>
      </c>
      <c r="G2167" s="6" t="s">
        <v>3654</v>
      </c>
      <c r="H2167" s="6" t="s">
        <v>4858</v>
      </c>
      <c r="I2167" s="6" t="n">
        <v>98</v>
      </c>
      <c r="J2167" s="6" t="s">
        <v>83</v>
      </c>
      <c r="K2167" s="6" t="s">
        <v>4859</v>
      </c>
      <c r="L2167" s="7"/>
      <c r="M2167" s="7"/>
    </row>
    <row r="2168" customFormat="false" ht="23.85" hidden="false" customHeight="false" outlineLevel="0" collapsed="false">
      <c r="A2168" s="6" t="s">
        <v>2761</v>
      </c>
      <c r="B2168" s="6" t="s">
        <v>96</v>
      </c>
      <c r="C2168" s="6" t="s">
        <v>98</v>
      </c>
      <c r="D2168" s="6" t="s">
        <v>396</v>
      </c>
      <c r="E2168" s="6"/>
      <c r="F2168" s="6" t="s">
        <v>2766</v>
      </c>
      <c r="G2168" s="6" t="s">
        <v>3657</v>
      </c>
      <c r="H2168" s="6" t="s">
        <v>4860</v>
      </c>
      <c r="I2168" s="6" t="n">
        <v>25</v>
      </c>
      <c r="J2168" s="6"/>
      <c r="K2168" s="6" t="s">
        <v>4861</v>
      </c>
      <c r="L2168" s="7"/>
      <c r="M2168" s="7"/>
    </row>
    <row r="2169" customFormat="false" ht="23.85" hidden="false" customHeight="false" outlineLevel="0" collapsed="false">
      <c r="A2169" s="6" t="s">
        <v>2761</v>
      </c>
      <c r="B2169" s="6" t="s">
        <v>96</v>
      </c>
      <c r="C2169" s="6" t="s">
        <v>98</v>
      </c>
      <c r="D2169" s="6" t="s">
        <v>396</v>
      </c>
      <c r="E2169" s="6"/>
      <c r="F2169" s="6" t="s">
        <v>2766</v>
      </c>
      <c r="G2169" s="6" t="s">
        <v>3660</v>
      </c>
      <c r="H2169" s="6" t="s">
        <v>4862</v>
      </c>
      <c r="I2169" s="6" t="n">
        <v>10</v>
      </c>
      <c r="J2169" s="6"/>
      <c r="K2169" s="6" t="s">
        <v>4863</v>
      </c>
      <c r="L2169" s="7"/>
      <c r="M2169" s="7"/>
    </row>
    <row r="2170" customFormat="false" ht="23.85" hidden="false" customHeight="false" outlineLevel="0" collapsed="false">
      <c r="A2170" s="6" t="s">
        <v>2770</v>
      </c>
      <c r="B2170" s="6" t="s">
        <v>96</v>
      </c>
      <c r="C2170" s="6" t="s">
        <v>79</v>
      </c>
      <c r="D2170" s="6" t="s">
        <v>396</v>
      </c>
      <c r="E2170" s="6"/>
      <c r="F2170" s="6" t="s">
        <v>2775</v>
      </c>
      <c r="G2170" s="6" t="s">
        <v>3651</v>
      </c>
      <c r="H2170" s="6" t="s">
        <v>4864</v>
      </c>
      <c r="I2170" s="6" t="n">
        <v>98</v>
      </c>
      <c r="J2170" s="6" t="s">
        <v>83</v>
      </c>
      <c r="K2170" s="6" t="s">
        <v>4865</v>
      </c>
      <c r="L2170" s="7"/>
      <c r="M2170" s="7"/>
    </row>
    <row r="2171" customFormat="false" ht="23.85" hidden="false" customHeight="false" outlineLevel="0" collapsed="false">
      <c r="A2171" s="6" t="s">
        <v>2770</v>
      </c>
      <c r="B2171" s="6" t="s">
        <v>96</v>
      </c>
      <c r="C2171" s="6" t="s">
        <v>79</v>
      </c>
      <c r="D2171" s="6" t="s">
        <v>396</v>
      </c>
      <c r="E2171" s="6"/>
      <c r="F2171" s="6" t="s">
        <v>2775</v>
      </c>
      <c r="G2171" s="6" t="s">
        <v>3654</v>
      </c>
      <c r="H2171" s="6" t="s">
        <v>4866</v>
      </c>
      <c r="I2171" s="6" t="n">
        <v>65</v>
      </c>
      <c r="J2171" s="6"/>
      <c r="K2171" s="6" t="s">
        <v>4867</v>
      </c>
      <c r="L2171" s="7"/>
      <c r="M2171" s="7"/>
    </row>
    <row r="2172" customFormat="false" ht="23.85" hidden="false" customHeight="false" outlineLevel="0" collapsed="false">
      <c r="A2172" s="6" t="s">
        <v>2770</v>
      </c>
      <c r="B2172" s="6" t="s">
        <v>96</v>
      </c>
      <c r="C2172" s="6" t="s">
        <v>79</v>
      </c>
      <c r="D2172" s="6" t="s">
        <v>396</v>
      </c>
      <c r="E2172" s="6"/>
      <c r="F2172" s="6" t="s">
        <v>2775</v>
      </c>
      <c r="G2172" s="6" t="s">
        <v>3657</v>
      </c>
      <c r="H2172" s="6" t="s">
        <v>4868</v>
      </c>
      <c r="I2172" s="6" t="n">
        <v>58</v>
      </c>
      <c r="J2172" s="6"/>
      <c r="K2172" s="6" t="s">
        <v>4869</v>
      </c>
      <c r="L2172" s="7"/>
      <c r="M2172" s="7"/>
    </row>
    <row r="2173" customFormat="false" ht="23.85" hidden="false" customHeight="false" outlineLevel="0" collapsed="false">
      <c r="A2173" s="6" t="s">
        <v>2770</v>
      </c>
      <c r="B2173" s="6" t="s">
        <v>96</v>
      </c>
      <c r="C2173" s="6" t="s">
        <v>79</v>
      </c>
      <c r="D2173" s="6" t="s">
        <v>396</v>
      </c>
      <c r="E2173" s="6"/>
      <c r="F2173" s="6" t="s">
        <v>2775</v>
      </c>
      <c r="G2173" s="6" t="s">
        <v>3660</v>
      </c>
      <c r="H2173" s="6" t="s">
        <v>4870</v>
      </c>
      <c r="I2173" s="6" t="n">
        <v>55</v>
      </c>
      <c r="J2173" s="6"/>
      <c r="K2173" s="6" t="s">
        <v>4871</v>
      </c>
      <c r="L2173" s="7"/>
      <c r="M2173" s="7"/>
    </row>
    <row r="2174" customFormat="false" ht="23.85" hidden="false" customHeight="false" outlineLevel="0" collapsed="false">
      <c r="A2174" s="6" t="s">
        <v>2779</v>
      </c>
      <c r="B2174" s="6" t="s">
        <v>96</v>
      </c>
      <c r="C2174" s="6" t="s">
        <v>165</v>
      </c>
      <c r="D2174" s="6" t="s">
        <v>372</v>
      </c>
      <c r="E2174" s="6"/>
      <c r="F2174" s="6" t="s">
        <v>2783</v>
      </c>
      <c r="G2174" s="6" t="s">
        <v>3651</v>
      </c>
      <c r="H2174" s="6" t="s">
        <v>4872</v>
      </c>
      <c r="I2174" s="6" t="n">
        <v>98</v>
      </c>
      <c r="J2174" s="6" t="s">
        <v>83</v>
      </c>
      <c r="K2174" s="6" t="s">
        <v>4873</v>
      </c>
      <c r="L2174" s="7"/>
      <c r="M2174" s="7"/>
    </row>
    <row r="2175" customFormat="false" ht="15" hidden="false" customHeight="false" outlineLevel="0" collapsed="false">
      <c r="A2175" s="6" t="s">
        <v>2779</v>
      </c>
      <c r="B2175" s="6" t="s">
        <v>96</v>
      </c>
      <c r="C2175" s="6" t="s">
        <v>165</v>
      </c>
      <c r="D2175" s="6" t="s">
        <v>372</v>
      </c>
      <c r="E2175" s="6"/>
      <c r="F2175" s="6" t="s">
        <v>2783</v>
      </c>
      <c r="G2175" s="6" t="s">
        <v>3654</v>
      </c>
      <c r="H2175" s="6" t="s">
        <v>4874</v>
      </c>
      <c r="I2175" s="6" t="n">
        <v>20</v>
      </c>
      <c r="J2175" s="6"/>
      <c r="K2175" s="6" t="s">
        <v>4875</v>
      </c>
      <c r="L2175" s="7"/>
      <c r="M2175" s="7"/>
    </row>
    <row r="2176" customFormat="false" ht="15" hidden="false" customHeight="false" outlineLevel="0" collapsed="false">
      <c r="A2176" s="6" t="s">
        <v>2779</v>
      </c>
      <c r="B2176" s="6" t="s">
        <v>96</v>
      </c>
      <c r="C2176" s="6" t="s">
        <v>165</v>
      </c>
      <c r="D2176" s="6" t="s">
        <v>372</v>
      </c>
      <c r="E2176" s="6"/>
      <c r="F2176" s="6" t="s">
        <v>2783</v>
      </c>
      <c r="G2176" s="6" t="s">
        <v>3657</v>
      </c>
      <c r="H2176" s="6" t="s">
        <v>4876</v>
      </c>
      <c r="I2176" s="6" t="n">
        <v>55</v>
      </c>
      <c r="J2176" s="6"/>
      <c r="K2176" s="6" t="s">
        <v>4877</v>
      </c>
      <c r="L2176" s="7"/>
      <c r="M2176" s="7"/>
    </row>
    <row r="2177" customFormat="false" ht="15" hidden="false" customHeight="false" outlineLevel="0" collapsed="false">
      <c r="A2177" s="6" t="s">
        <v>2779</v>
      </c>
      <c r="B2177" s="6" t="s">
        <v>96</v>
      </c>
      <c r="C2177" s="6" t="s">
        <v>165</v>
      </c>
      <c r="D2177" s="6" t="s">
        <v>372</v>
      </c>
      <c r="E2177" s="6"/>
      <c r="F2177" s="6" t="s">
        <v>2783</v>
      </c>
      <c r="G2177" s="6" t="s">
        <v>3660</v>
      </c>
      <c r="H2177" s="6" t="s">
        <v>4878</v>
      </c>
      <c r="I2177" s="6" t="n">
        <v>15</v>
      </c>
      <c r="J2177" s="6"/>
      <c r="K2177" s="6" t="s">
        <v>4879</v>
      </c>
      <c r="L2177" s="7"/>
      <c r="M2177" s="7"/>
    </row>
    <row r="2178" customFormat="false" ht="15" hidden="false" customHeight="false" outlineLevel="0" collapsed="false">
      <c r="A2178" s="6" t="s">
        <v>2787</v>
      </c>
      <c r="B2178" s="6" t="s">
        <v>110</v>
      </c>
      <c r="C2178" s="6" t="s">
        <v>79</v>
      </c>
      <c r="D2178" s="6" t="s">
        <v>372</v>
      </c>
      <c r="E2178" s="6"/>
      <c r="F2178" s="6" t="s">
        <v>2791</v>
      </c>
      <c r="G2178" s="6" t="s">
        <v>3651</v>
      </c>
      <c r="H2178" s="6" t="s">
        <v>4880</v>
      </c>
      <c r="I2178" s="6" t="n">
        <v>10</v>
      </c>
      <c r="J2178" s="6"/>
      <c r="K2178" s="6" t="s">
        <v>4881</v>
      </c>
      <c r="L2178" s="7"/>
      <c r="M2178" s="7"/>
    </row>
    <row r="2179" customFormat="false" ht="23.85" hidden="false" customHeight="false" outlineLevel="0" collapsed="false">
      <c r="A2179" s="6" t="s">
        <v>2787</v>
      </c>
      <c r="B2179" s="6" t="s">
        <v>110</v>
      </c>
      <c r="C2179" s="6" t="s">
        <v>79</v>
      </c>
      <c r="D2179" s="6" t="s">
        <v>372</v>
      </c>
      <c r="E2179" s="6"/>
      <c r="F2179" s="6" t="s">
        <v>2791</v>
      </c>
      <c r="G2179" s="6" t="s">
        <v>3654</v>
      </c>
      <c r="H2179" s="6" t="s">
        <v>4882</v>
      </c>
      <c r="I2179" s="6" t="n">
        <v>95</v>
      </c>
      <c r="J2179" s="6" t="s">
        <v>83</v>
      </c>
      <c r="K2179" s="6" t="s">
        <v>4883</v>
      </c>
      <c r="L2179" s="7"/>
      <c r="M2179" s="7"/>
    </row>
    <row r="2180" customFormat="false" ht="15" hidden="false" customHeight="false" outlineLevel="0" collapsed="false">
      <c r="A2180" s="6" t="s">
        <v>2787</v>
      </c>
      <c r="B2180" s="6" t="s">
        <v>110</v>
      </c>
      <c r="C2180" s="6" t="s">
        <v>79</v>
      </c>
      <c r="D2180" s="6" t="s">
        <v>372</v>
      </c>
      <c r="E2180" s="6"/>
      <c r="F2180" s="6" t="s">
        <v>2791</v>
      </c>
      <c r="G2180" s="6" t="s">
        <v>3657</v>
      </c>
      <c r="H2180" s="6" t="s">
        <v>4884</v>
      </c>
      <c r="I2180" s="6" t="n">
        <v>20</v>
      </c>
      <c r="J2180" s="6"/>
      <c r="K2180" s="6" t="s">
        <v>4885</v>
      </c>
      <c r="L2180" s="7"/>
      <c r="M2180" s="7"/>
    </row>
    <row r="2181" customFormat="false" ht="15" hidden="false" customHeight="false" outlineLevel="0" collapsed="false">
      <c r="A2181" s="6" t="s">
        <v>2787</v>
      </c>
      <c r="B2181" s="6" t="s">
        <v>110</v>
      </c>
      <c r="C2181" s="6" t="s">
        <v>79</v>
      </c>
      <c r="D2181" s="6" t="s">
        <v>372</v>
      </c>
      <c r="E2181" s="6"/>
      <c r="F2181" s="6" t="s">
        <v>2791</v>
      </c>
      <c r="G2181" s="6" t="s">
        <v>3660</v>
      </c>
      <c r="H2181" s="6" t="s">
        <v>4886</v>
      </c>
      <c r="I2181" s="6" t="n">
        <v>10</v>
      </c>
      <c r="J2181" s="6"/>
      <c r="K2181" s="6" t="s">
        <v>4887</v>
      </c>
      <c r="L2181" s="7"/>
      <c r="M2181" s="7"/>
    </row>
    <row r="2182" customFormat="false" ht="15" hidden="false" customHeight="false" outlineLevel="0" collapsed="false">
      <c r="A2182" s="6" t="s">
        <v>2795</v>
      </c>
      <c r="B2182" s="6" t="s">
        <v>110</v>
      </c>
      <c r="C2182" s="6" t="s">
        <v>98</v>
      </c>
      <c r="D2182" s="6" t="s">
        <v>372</v>
      </c>
      <c r="E2182" s="6"/>
      <c r="F2182" s="6" t="s">
        <v>2799</v>
      </c>
      <c r="G2182" s="6" t="s">
        <v>3651</v>
      </c>
      <c r="H2182" s="6" t="s">
        <v>4888</v>
      </c>
      <c r="I2182" s="6" t="n">
        <v>98</v>
      </c>
      <c r="J2182" s="6" t="s">
        <v>83</v>
      </c>
      <c r="K2182" s="6" t="s">
        <v>4889</v>
      </c>
      <c r="L2182" s="7"/>
      <c r="M2182" s="7"/>
    </row>
    <row r="2183" customFormat="false" ht="15" hidden="false" customHeight="false" outlineLevel="0" collapsed="false">
      <c r="A2183" s="6" t="s">
        <v>2795</v>
      </c>
      <c r="B2183" s="6" t="s">
        <v>110</v>
      </c>
      <c r="C2183" s="6" t="s">
        <v>98</v>
      </c>
      <c r="D2183" s="6" t="s">
        <v>372</v>
      </c>
      <c r="E2183" s="6"/>
      <c r="F2183" s="6" t="s">
        <v>2799</v>
      </c>
      <c r="G2183" s="6" t="s">
        <v>3654</v>
      </c>
      <c r="H2183" s="6" t="s">
        <v>4890</v>
      </c>
      <c r="I2183" s="6" t="n">
        <v>10</v>
      </c>
      <c r="J2183" s="6"/>
      <c r="K2183" s="6" t="s">
        <v>4891</v>
      </c>
      <c r="L2183" s="7"/>
      <c r="M2183" s="7"/>
    </row>
    <row r="2184" customFormat="false" ht="15" hidden="false" customHeight="false" outlineLevel="0" collapsed="false">
      <c r="A2184" s="6" t="s">
        <v>2795</v>
      </c>
      <c r="B2184" s="6" t="s">
        <v>110</v>
      </c>
      <c r="C2184" s="6" t="s">
        <v>98</v>
      </c>
      <c r="D2184" s="6" t="s">
        <v>372</v>
      </c>
      <c r="E2184" s="6"/>
      <c r="F2184" s="6" t="s">
        <v>2799</v>
      </c>
      <c r="G2184" s="6" t="s">
        <v>3657</v>
      </c>
      <c r="H2184" s="6" t="s">
        <v>4892</v>
      </c>
      <c r="I2184" s="6" t="n">
        <v>20</v>
      </c>
      <c r="J2184" s="6"/>
      <c r="K2184" s="6" t="s">
        <v>4893</v>
      </c>
      <c r="L2184" s="7"/>
      <c r="M2184" s="7"/>
    </row>
    <row r="2185" customFormat="false" ht="15" hidden="false" customHeight="false" outlineLevel="0" collapsed="false">
      <c r="A2185" s="6" t="s">
        <v>2795</v>
      </c>
      <c r="B2185" s="6" t="s">
        <v>110</v>
      </c>
      <c r="C2185" s="6" t="s">
        <v>98</v>
      </c>
      <c r="D2185" s="6" t="s">
        <v>372</v>
      </c>
      <c r="E2185" s="6"/>
      <c r="F2185" s="6" t="s">
        <v>2799</v>
      </c>
      <c r="G2185" s="6" t="s">
        <v>3660</v>
      </c>
      <c r="H2185" s="6" t="s">
        <v>4894</v>
      </c>
      <c r="I2185" s="6" t="n">
        <v>15</v>
      </c>
      <c r="J2185" s="6"/>
      <c r="K2185" s="6" t="s">
        <v>4895</v>
      </c>
      <c r="L2185" s="7"/>
      <c r="M2185" s="7"/>
    </row>
    <row r="2186" customFormat="false" ht="15" hidden="false" customHeight="false" outlineLevel="0" collapsed="false">
      <c r="A2186" s="6" t="s">
        <v>2803</v>
      </c>
      <c r="B2186" s="6" t="s">
        <v>110</v>
      </c>
      <c r="C2186" s="6" t="s">
        <v>165</v>
      </c>
      <c r="D2186" s="6" t="s">
        <v>372</v>
      </c>
      <c r="E2186" s="6"/>
      <c r="F2186" s="6" t="s">
        <v>2807</v>
      </c>
      <c r="G2186" s="6" t="s">
        <v>3651</v>
      </c>
      <c r="H2186" s="6" t="s">
        <v>4896</v>
      </c>
      <c r="I2186" s="6" t="n">
        <v>98</v>
      </c>
      <c r="J2186" s="6" t="s">
        <v>83</v>
      </c>
      <c r="K2186" s="6" t="s">
        <v>4897</v>
      </c>
      <c r="L2186" s="7"/>
      <c r="M2186" s="7"/>
    </row>
    <row r="2187" customFormat="false" ht="15" hidden="false" customHeight="false" outlineLevel="0" collapsed="false">
      <c r="A2187" s="6" t="s">
        <v>2803</v>
      </c>
      <c r="B2187" s="6" t="s">
        <v>110</v>
      </c>
      <c r="C2187" s="6" t="s">
        <v>165</v>
      </c>
      <c r="D2187" s="6" t="s">
        <v>372</v>
      </c>
      <c r="E2187" s="6"/>
      <c r="F2187" s="6" t="s">
        <v>2807</v>
      </c>
      <c r="G2187" s="6" t="s">
        <v>3654</v>
      </c>
      <c r="H2187" s="6" t="s">
        <v>4898</v>
      </c>
      <c r="I2187" s="6" t="n">
        <v>10</v>
      </c>
      <c r="J2187" s="6"/>
      <c r="K2187" s="6" t="s">
        <v>4899</v>
      </c>
      <c r="L2187" s="7"/>
      <c r="M2187" s="7"/>
    </row>
    <row r="2188" customFormat="false" ht="15" hidden="false" customHeight="false" outlineLevel="0" collapsed="false">
      <c r="A2188" s="6" t="s">
        <v>2803</v>
      </c>
      <c r="B2188" s="6" t="s">
        <v>110</v>
      </c>
      <c r="C2188" s="6" t="s">
        <v>165</v>
      </c>
      <c r="D2188" s="6" t="s">
        <v>372</v>
      </c>
      <c r="E2188" s="6"/>
      <c r="F2188" s="6" t="s">
        <v>2807</v>
      </c>
      <c r="G2188" s="6" t="s">
        <v>3657</v>
      </c>
      <c r="H2188" s="6" t="s">
        <v>4900</v>
      </c>
      <c r="I2188" s="6" t="n">
        <v>10</v>
      </c>
      <c r="J2188" s="6"/>
      <c r="K2188" s="6" t="s">
        <v>4901</v>
      </c>
      <c r="L2188" s="7"/>
      <c r="M2188" s="7"/>
    </row>
    <row r="2189" customFormat="false" ht="15" hidden="false" customHeight="false" outlineLevel="0" collapsed="false">
      <c r="A2189" s="6" t="s">
        <v>2803</v>
      </c>
      <c r="B2189" s="6" t="s">
        <v>110</v>
      </c>
      <c r="C2189" s="6" t="s">
        <v>165</v>
      </c>
      <c r="D2189" s="6" t="s">
        <v>372</v>
      </c>
      <c r="E2189" s="6"/>
      <c r="F2189" s="6" t="s">
        <v>2807</v>
      </c>
      <c r="G2189" s="6" t="s">
        <v>3660</v>
      </c>
      <c r="H2189" s="6" t="s">
        <v>4902</v>
      </c>
      <c r="I2189" s="6" t="n">
        <v>15</v>
      </c>
      <c r="J2189" s="6"/>
      <c r="K2189" s="6" t="s">
        <v>4903</v>
      </c>
      <c r="L2189" s="7"/>
      <c r="M2189" s="7"/>
    </row>
    <row r="2190" customFormat="false" ht="23.85" hidden="false" customHeight="false" outlineLevel="0" collapsed="false">
      <c r="A2190" s="6" t="s">
        <v>2811</v>
      </c>
      <c r="B2190" s="6" t="s">
        <v>132</v>
      </c>
      <c r="C2190" s="6" t="s">
        <v>79</v>
      </c>
      <c r="D2190" s="6" t="s">
        <v>372</v>
      </c>
      <c r="E2190" s="6"/>
      <c r="F2190" s="6" t="s">
        <v>2815</v>
      </c>
      <c r="G2190" s="6" t="s">
        <v>3651</v>
      </c>
      <c r="H2190" s="6" t="s">
        <v>4904</v>
      </c>
      <c r="I2190" s="6" t="n">
        <v>98</v>
      </c>
      <c r="J2190" s="6" t="s">
        <v>83</v>
      </c>
      <c r="K2190" s="6" t="s">
        <v>4905</v>
      </c>
      <c r="L2190" s="7"/>
      <c r="M2190" s="7"/>
    </row>
    <row r="2191" customFormat="false" ht="15" hidden="false" customHeight="false" outlineLevel="0" collapsed="false">
      <c r="A2191" s="6" t="s">
        <v>2811</v>
      </c>
      <c r="B2191" s="6" t="s">
        <v>132</v>
      </c>
      <c r="C2191" s="6" t="s">
        <v>79</v>
      </c>
      <c r="D2191" s="6" t="s">
        <v>372</v>
      </c>
      <c r="E2191" s="6"/>
      <c r="F2191" s="6" t="s">
        <v>2815</v>
      </c>
      <c r="G2191" s="6" t="s">
        <v>3654</v>
      </c>
      <c r="H2191" s="6" t="s">
        <v>4906</v>
      </c>
      <c r="I2191" s="6" t="n">
        <v>15</v>
      </c>
      <c r="J2191" s="6"/>
      <c r="K2191" s="6" t="s">
        <v>4907</v>
      </c>
      <c r="L2191" s="7"/>
      <c r="M2191" s="7"/>
    </row>
    <row r="2192" customFormat="false" ht="15" hidden="false" customHeight="false" outlineLevel="0" collapsed="false">
      <c r="A2192" s="6" t="s">
        <v>2811</v>
      </c>
      <c r="B2192" s="6" t="s">
        <v>132</v>
      </c>
      <c r="C2192" s="6" t="s">
        <v>79</v>
      </c>
      <c r="D2192" s="6" t="s">
        <v>372</v>
      </c>
      <c r="E2192" s="6"/>
      <c r="F2192" s="6" t="s">
        <v>2815</v>
      </c>
      <c r="G2192" s="6" t="s">
        <v>3657</v>
      </c>
      <c r="H2192" s="6" t="s">
        <v>4908</v>
      </c>
      <c r="I2192" s="6" t="n">
        <v>10</v>
      </c>
      <c r="J2192" s="6"/>
      <c r="K2192" s="6" t="s">
        <v>4909</v>
      </c>
      <c r="L2192" s="7"/>
      <c r="M2192" s="7"/>
    </row>
    <row r="2193" customFormat="false" ht="15" hidden="false" customHeight="false" outlineLevel="0" collapsed="false">
      <c r="A2193" s="6" t="s">
        <v>2811</v>
      </c>
      <c r="B2193" s="6" t="s">
        <v>132</v>
      </c>
      <c r="C2193" s="6" t="s">
        <v>79</v>
      </c>
      <c r="D2193" s="6" t="s">
        <v>372</v>
      </c>
      <c r="E2193" s="6"/>
      <c r="F2193" s="6" t="s">
        <v>2815</v>
      </c>
      <c r="G2193" s="6" t="s">
        <v>3660</v>
      </c>
      <c r="H2193" s="6" t="s">
        <v>4910</v>
      </c>
      <c r="I2193" s="6" t="n">
        <v>20</v>
      </c>
      <c r="J2193" s="6"/>
      <c r="K2193" s="6" t="s">
        <v>4911</v>
      </c>
      <c r="L2193" s="7"/>
      <c r="M2193" s="7"/>
    </row>
    <row r="2194" customFormat="false" ht="15" hidden="false" customHeight="false" outlineLevel="0" collapsed="false">
      <c r="A2194" s="6" t="s">
        <v>2819</v>
      </c>
      <c r="B2194" s="6" t="s">
        <v>132</v>
      </c>
      <c r="C2194" s="6" t="s">
        <v>98</v>
      </c>
      <c r="D2194" s="6" t="s">
        <v>1330</v>
      </c>
      <c r="E2194" s="6"/>
      <c r="F2194" s="6" t="s">
        <v>2824</v>
      </c>
      <c r="G2194" s="6" t="s">
        <v>3651</v>
      </c>
      <c r="H2194" s="6" t="s">
        <v>4912</v>
      </c>
      <c r="I2194" s="6" t="n">
        <v>20</v>
      </c>
      <c r="J2194" s="6"/>
      <c r="K2194" s="6" t="s">
        <v>4913</v>
      </c>
      <c r="L2194" s="7"/>
      <c r="M2194" s="7"/>
    </row>
    <row r="2195" customFormat="false" ht="23.85" hidden="false" customHeight="false" outlineLevel="0" collapsed="false">
      <c r="A2195" s="6" t="s">
        <v>2819</v>
      </c>
      <c r="B2195" s="6" t="s">
        <v>132</v>
      </c>
      <c r="C2195" s="6" t="s">
        <v>98</v>
      </c>
      <c r="D2195" s="6" t="s">
        <v>1330</v>
      </c>
      <c r="E2195" s="6"/>
      <c r="F2195" s="6" t="s">
        <v>2824</v>
      </c>
      <c r="G2195" s="6" t="s">
        <v>3654</v>
      </c>
      <c r="H2195" s="6" t="s">
        <v>4914</v>
      </c>
      <c r="I2195" s="6" t="n">
        <v>98</v>
      </c>
      <c r="J2195" s="6" t="s">
        <v>83</v>
      </c>
      <c r="K2195" s="6" t="s">
        <v>4915</v>
      </c>
      <c r="L2195" s="7"/>
      <c r="M2195" s="7"/>
    </row>
    <row r="2196" customFormat="false" ht="15" hidden="false" customHeight="false" outlineLevel="0" collapsed="false">
      <c r="A2196" s="6" t="s">
        <v>2819</v>
      </c>
      <c r="B2196" s="6" t="s">
        <v>132</v>
      </c>
      <c r="C2196" s="6" t="s">
        <v>98</v>
      </c>
      <c r="D2196" s="6" t="s">
        <v>1330</v>
      </c>
      <c r="E2196" s="6"/>
      <c r="F2196" s="6" t="s">
        <v>2824</v>
      </c>
      <c r="G2196" s="6" t="s">
        <v>3657</v>
      </c>
      <c r="H2196" s="6" t="s">
        <v>4916</v>
      </c>
      <c r="I2196" s="6" t="n">
        <v>35</v>
      </c>
      <c r="J2196" s="6"/>
      <c r="K2196" s="6" t="s">
        <v>4917</v>
      </c>
      <c r="L2196" s="7"/>
      <c r="M2196" s="7"/>
    </row>
    <row r="2197" customFormat="false" ht="15" hidden="false" customHeight="false" outlineLevel="0" collapsed="false">
      <c r="A2197" s="6" t="s">
        <v>2819</v>
      </c>
      <c r="B2197" s="6" t="s">
        <v>132</v>
      </c>
      <c r="C2197" s="6" t="s">
        <v>98</v>
      </c>
      <c r="D2197" s="6" t="s">
        <v>1330</v>
      </c>
      <c r="E2197" s="6"/>
      <c r="F2197" s="6" t="s">
        <v>2824</v>
      </c>
      <c r="G2197" s="6" t="s">
        <v>3660</v>
      </c>
      <c r="H2197" s="6" t="s">
        <v>4918</v>
      </c>
      <c r="I2197" s="6" t="n">
        <v>15</v>
      </c>
      <c r="J2197" s="6"/>
      <c r="K2197" s="6" t="s">
        <v>4919</v>
      </c>
      <c r="L2197" s="7"/>
      <c r="M2197" s="7"/>
    </row>
    <row r="2198" customFormat="false" ht="15" hidden="false" customHeight="false" outlineLevel="0" collapsed="false">
      <c r="A2198" s="6" t="s">
        <v>2828</v>
      </c>
      <c r="B2198" s="6" t="s">
        <v>145</v>
      </c>
      <c r="C2198" s="6" t="s">
        <v>79</v>
      </c>
      <c r="D2198" s="6" t="s">
        <v>2725</v>
      </c>
      <c r="E2198" s="6"/>
      <c r="F2198" s="6" t="s">
        <v>2832</v>
      </c>
      <c r="G2198" s="6" t="s">
        <v>3651</v>
      </c>
      <c r="H2198" s="6" t="s">
        <v>4920</v>
      </c>
      <c r="I2198" s="6" t="n">
        <v>15</v>
      </c>
      <c r="J2198" s="6"/>
      <c r="K2198" s="6" t="s">
        <v>4921</v>
      </c>
      <c r="L2198" s="7"/>
      <c r="M2198" s="7"/>
    </row>
    <row r="2199" customFormat="false" ht="15" hidden="false" customHeight="false" outlineLevel="0" collapsed="false">
      <c r="A2199" s="6" t="s">
        <v>2828</v>
      </c>
      <c r="B2199" s="6" t="s">
        <v>145</v>
      </c>
      <c r="C2199" s="6" t="s">
        <v>79</v>
      </c>
      <c r="D2199" s="6" t="s">
        <v>2725</v>
      </c>
      <c r="E2199" s="6"/>
      <c r="F2199" s="6" t="s">
        <v>2832</v>
      </c>
      <c r="G2199" s="6" t="s">
        <v>3654</v>
      </c>
      <c r="H2199" s="6" t="s">
        <v>4922</v>
      </c>
      <c r="I2199" s="6" t="n">
        <v>98</v>
      </c>
      <c r="J2199" s="6" t="s">
        <v>83</v>
      </c>
      <c r="K2199" s="6" t="s">
        <v>4923</v>
      </c>
      <c r="L2199" s="7"/>
      <c r="M2199" s="7"/>
    </row>
    <row r="2200" customFormat="false" ht="15" hidden="false" customHeight="false" outlineLevel="0" collapsed="false">
      <c r="A2200" s="6" t="s">
        <v>2828</v>
      </c>
      <c r="B2200" s="6" t="s">
        <v>145</v>
      </c>
      <c r="C2200" s="6" t="s">
        <v>79</v>
      </c>
      <c r="D2200" s="6" t="s">
        <v>2725</v>
      </c>
      <c r="E2200" s="6"/>
      <c r="F2200" s="6" t="s">
        <v>2832</v>
      </c>
      <c r="G2200" s="6" t="s">
        <v>3657</v>
      </c>
      <c r="H2200" s="6" t="s">
        <v>4924</v>
      </c>
      <c r="I2200" s="6" t="n">
        <v>5</v>
      </c>
      <c r="J2200" s="6"/>
      <c r="K2200" s="6" t="s">
        <v>4925</v>
      </c>
      <c r="L2200" s="7"/>
      <c r="M2200" s="7"/>
    </row>
    <row r="2201" customFormat="false" ht="15" hidden="false" customHeight="false" outlineLevel="0" collapsed="false">
      <c r="A2201" s="6" t="s">
        <v>2828</v>
      </c>
      <c r="B2201" s="6" t="s">
        <v>145</v>
      </c>
      <c r="C2201" s="6" t="s">
        <v>79</v>
      </c>
      <c r="D2201" s="6" t="s">
        <v>2725</v>
      </c>
      <c r="E2201" s="6"/>
      <c r="F2201" s="6" t="s">
        <v>2832</v>
      </c>
      <c r="G2201" s="6" t="s">
        <v>3660</v>
      </c>
      <c r="H2201" s="6" t="s">
        <v>4926</v>
      </c>
      <c r="I2201" s="6" t="n">
        <v>20</v>
      </c>
      <c r="J2201" s="6"/>
      <c r="K2201" s="6" t="s">
        <v>4927</v>
      </c>
      <c r="L2201" s="7"/>
      <c r="M2201" s="7"/>
    </row>
    <row r="2202" customFormat="false" ht="23.85" hidden="false" customHeight="false" outlineLevel="0" collapsed="false">
      <c r="A2202" s="6" t="s">
        <v>2836</v>
      </c>
      <c r="B2202" s="6" t="s">
        <v>145</v>
      </c>
      <c r="C2202" s="6" t="s">
        <v>165</v>
      </c>
      <c r="D2202" s="6" t="s">
        <v>372</v>
      </c>
      <c r="E2202" s="6"/>
      <c r="F2202" s="6" t="s">
        <v>2840</v>
      </c>
      <c r="G2202" s="6" t="s">
        <v>3651</v>
      </c>
      <c r="H2202" s="6" t="s">
        <v>4928</v>
      </c>
      <c r="I2202" s="6" t="n">
        <v>98</v>
      </c>
      <c r="J2202" s="6" t="s">
        <v>83</v>
      </c>
      <c r="K2202" s="6" t="s">
        <v>4929</v>
      </c>
      <c r="L2202" s="7"/>
      <c r="M2202" s="7"/>
    </row>
    <row r="2203" customFormat="false" ht="15" hidden="false" customHeight="false" outlineLevel="0" collapsed="false">
      <c r="A2203" s="6" t="s">
        <v>2836</v>
      </c>
      <c r="B2203" s="6" t="s">
        <v>145</v>
      </c>
      <c r="C2203" s="6" t="s">
        <v>165</v>
      </c>
      <c r="D2203" s="6" t="s">
        <v>372</v>
      </c>
      <c r="E2203" s="6"/>
      <c r="F2203" s="6" t="s">
        <v>2840</v>
      </c>
      <c r="G2203" s="6" t="s">
        <v>3654</v>
      </c>
      <c r="H2203" s="6" t="s">
        <v>4930</v>
      </c>
      <c r="I2203" s="6" t="n">
        <v>35</v>
      </c>
      <c r="J2203" s="6"/>
      <c r="K2203" s="6" t="s">
        <v>4931</v>
      </c>
      <c r="L2203" s="7"/>
      <c r="M2203" s="7"/>
    </row>
    <row r="2204" customFormat="false" ht="15" hidden="false" customHeight="false" outlineLevel="0" collapsed="false">
      <c r="A2204" s="6" t="s">
        <v>2836</v>
      </c>
      <c r="B2204" s="6" t="s">
        <v>145</v>
      </c>
      <c r="C2204" s="6" t="s">
        <v>165</v>
      </c>
      <c r="D2204" s="6" t="s">
        <v>372</v>
      </c>
      <c r="E2204" s="6"/>
      <c r="F2204" s="6" t="s">
        <v>2840</v>
      </c>
      <c r="G2204" s="6" t="s">
        <v>3657</v>
      </c>
      <c r="H2204" s="6" t="s">
        <v>4932</v>
      </c>
      <c r="I2204" s="6" t="n">
        <v>20</v>
      </c>
      <c r="J2204" s="6"/>
      <c r="K2204" s="6" t="s">
        <v>4933</v>
      </c>
      <c r="L2204" s="7"/>
      <c r="M2204" s="7"/>
    </row>
    <row r="2205" customFormat="false" ht="15" hidden="false" customHeight="false" outlineLevel="0" collapsed="false">
      <c r="A2205" s="6" t="s">
        <v>2836</v>
      </c>
      <c r="B2205" s="6" t="s">
        <v>145</v>
      </c>
      <c r="C2205" s="6" t="s">
        <v>165</v>
      </c>
      <c r="D2205" s="6" t="s">
        <v>372</v>
      </c>
      <c r="E2205" s="6"/>
      <c r="F2205" s="6" t="s">
        <v>2840</v>
      </c>
      <c r="G2205" s="6" t="s">
        <v>3660</v>
      </c>
      <c r="H2205" s="6" t="s">
        <v>4934</v>
      </c>
      <c r="I2205" s="6" t="n">
        <v>25</v>
      </c>
      <c r="J2205" s="6"/>
      <c r="K2205" s="6" t="s">
        <v>4935</v>
      </c>
      <c r="L2205" s="7"/>
      <c r="M2205" s="7"/>
    </row>
    <row r="2206" customFormat="false" ht="23.85" hidden="false" customHeight="false" outlineLevel="0" collapsed="false">
      <c r="A2206" s="6" t="s">
        <v>2844</v>
      </c>
      <c r="B2206" s="6" t="s">
        <v>123</v>
      </c>
      <c r="C2206" s="6" t="s">
        <v>79</v>
      </c>
      <c r="D2206" s="6" t="s">
        <v>491</v>
      </c>
      <c r="E2206" s="6" t="s">
        <v>4936</v>
      </c>
      <c r="F2206" s="6" t="s">
        <v>2848</v>
      </c>
      <c r="G2206" s="6"/>
      <c r="H2206" s="6" t="s">
        <v>4937</v>
      </c>
      <c r="I2206" s="6"/>
      <c r="J2206" s="6" t="s">
        <v>83</v>
      </c>
      <c r="K2206" s="6" t="s">
        <v>4938</v>
      </c>
      <c r="L2206" s="7"/>
      <c r="M2206" s="7"/>
    </row>
    <row r="2207" customFormat="false" ht="23.85" hidden="false" customHeight="false" outlineLevel="0" collapsed="false">
      <c r="A2207" s="6" t="s">
        <v>2844</v>
      </c>
      <c r="B2207" s="6" t="s">
        <v>123</v>
      </c>
      <c r="C2207" s="6" t="s">
        <v>79</v>
      </c>
      <c r="D2207" s="6" t="s">
        <v>491</v>
      </c>
      <c r="E2207" s="6" t="s">
        <v>3864</v>
      </c>
      <c r="F2207" s="6" t="s">
        <v>2848</v>
      </c>
      <c r="G2207" s="6"/>
      <c r="H2207" s="6" t="s">
        <v>4939</v>
      </c>
      <c r="I2207" s="6"/>
      <c r="J2207" s="6" t="s">
        <v>83</v>
      </c>
      <c r="K2207" s="6" t="s">
        <v>4940</v>
      </c>
      <c r="L2207" s="7"/>
      <c r="M2207" s="7"/>
    </row>
    <row r="2208" customFormat="false" ht="23.85" hidden="false" customHeight="false" outlineLevel="0" collapsed="false">
      <c r="A2208" s="6" t="s">
        <v>2844</v>
      </c>
      <c r="B2208" s="6" t="s">
        <v>123</v>
      </c>
      <c r="C2208" s="6" t="s">
        <v>79</v>
      </c>
      <c r="D2208" s="6" t="s">
        <v>491</v>
      </c>
      <c r="E2208" s="6" t="s">
        <v>4941</v>
      </c>
      <c r="F2208" s="6" t="s">
        <v>2848</v>
      </c>
      <c r="G2208" s="6"/>
      <c r="H2208" s="6" t="s">
        <v>4942</v>
      </c>
      <c r="I2208" s="6"/>
      <c r="J2208" s="6" t="s">
        <v>83</v>
      </c>
      <c r="K2208" s="6" t="s">
        <v>4943</v>
      </c>
      <c r="L2208" s="7"/>
      <c r="M2208" s="7"/>
    </row>
    <row r="2209" customFormat="false" ht="23.85" hidden="false" customHeight="false" outlineLevel="0" collapsed="false">
      <c r="A2209" s="6" t="s">
        <v>2852</v>
      </c>
      <c r="B2209" s="6" t="s">
        <v>77</v>
      </c>
      <c r="C2209" s="6" t="s">
        <v>98</v>
      </c>
      <c r="D2209" s="6" t="s">
        <v>431</v>
      </c>
      <c r="E2209" s="6" t="s">
        <v>432</v>
      </c>
      <c r="F2209" s="6" t="s">
        <v>2856</v>
      </c>
      <c r="G2209" s="6" t="s">
        <v>3878</v>
      </c>
      <c r="H2209" s="6" t="s">
        <v>4944</v>
      </c>
      <c r="I2209" s="6" t="n">
        <v>1</v>
      </c>
      <c r="J2209" s="6" t="s">
        <v>3692</v>
      </c>
      <c r="K2209" s="6"/>
      <c r="L2209" s="7"/>
      <c r="M2209" s="7"/>
    </row>
    <row r="2210" customFormat="false" ht="23.85" hidden="false" customHeight="false" outlineLevel="0" collapsed="false">
      <c r="A2210" s="6" t="s">
        <v>2852</v>
      </c>
      <c r="B2210" s="6" t="s">
        <v>77</v>
      </c>
      <c r="C2210" s="6" t="s">
        <v>98</v>
      </c>
      <c r="D2210" s="6" t="s">
        <v>431</v>
      </c>
      <c r="E2210" s="6" t="s">
        <v>432</v>
      </c>
      <c r="F2210" s="6" t="s">
        <v>2856</v>
      </c>
      <c r="G2210" s="6" t="s">
        <v>3881</v>
      </c>
      <c r="H2210" s="6" t="s">
        <v>4945</v>
      </c>
      <c r="I2210" s="6" t="n">
        <v>2</v>
      </c>
      <c r="J2210" s="6" t="s">
        <v>3695</v>
      </c>
      <c r="K2210" s="6"/>
      <c r="L2210" s="7"/>
      <c r="M2210" s="7"/>
    </row>
    <row r="2211" customFormat="false" ht="23.85" hidden="false" customHeight="false" outlineLevel="0" collapsed="false">
      <c r="A2211" s="6" t="s">
        <v>2852</v>
      </c>
      <c r="B2211" s="6" t="s">
        <v>77</v>
      </c>
      <c r="C2211" s="6" t="s">
        <v>98</v>
      </c>
      <c r="D2211" s="6" t="s">
        <v>431</v>
      </c>
      <c r="E2211" s="6" t="s">
        <v>432</v>
      </c>
      <c r="F2211" s="6" t="s">
        <v>2856</v>
      </c>
      <c r="G2211" s="6" t="s">
        <v>4234</v>
      </c>
      <c r="H2211" s="6" t="s">
        <v>4946</v>
      </c>
      <c r="I2211" s="6" t="n">
        <v>3</v>
      </c>
      <c r="J2211" s="6" t="s">
        <v>3698</v>
      </c>
      <c r="K2211" s="6"/>
      <c r="L2211" s="7"/>
      <c r="M2211" s="7"/>
    </row>
    <row r="2212" customFormat="false" ht="23.85" hidden="false" customHeight="false" outlineLevel="0" collapsed="false">
      <c r="A2212" s="6" t="s">
        <v>2852</v>
      </c>
      <c r="B2212" s="6" t="s">
        <v>77</v>
      </c>
      <c r="C2212" s="6" t="s">
        <v>98</v>
      </c>
      <c r="D2212" s="6" t="s">
        <v>431</v>
      </c>
      <c r="E2212" s="6" t="s">
        <v>432</v>
      </c>
      <c r="F2212" s="6" t="s">
        <v>2856</v>
      </c>
      <c r="G2212" s="6" t="s">
        <v>4213</v>
      </c>
      <c r="H2212" s="6" t="s">
        <v>4947</v>
      </c>
      <c r="I2212" s="6" t="n">
        <v>4</v>
      </c>
      <c r="J2212" s="6" t="s">
        <v>3701</v>
      </c>
      <c r="K2212" s="6"/>
      <c r="L2212" s="7"/>
      <c r="M2212" s="7"/>
    </row>
    <row r="2213" customFormat="false" ht="15" hidden="false" customHeight="false" outlineLevel="0" collapsed="false">
      <c r="A2213" s="6" t="s">
        <v>2860</v>
      </c>
      <c r="B2213" s="6" t="s">
        <v>77</v>
      </c>
      <c r="C2213" s="6" t="s">
        <v>79</v>
      </c>
      <c r="D2213" s="6" t="s">
        <v>452</v>
      </c>
      <c r="E2213" s="6"/>
      <c r="F2213" s="6" t="s">
        <v>2864</v>
      </c>
      <c r="G2213" s="6" t="s">
        <v>3651</v>
      </c>
      <c r="H2213" s="6" t="s">
        <v>4948</v>
      </c>
      <c r="I2213" s="6" t="n">
        <v>33</v>
      </c>
      <c r="J2213" s="6" t="s">
        <v>83</v>
      </c>
      <c r="K2213" s="6" t="s">
        <v>4949</v>
      </c>
      <c r="L2213" s="7"/>
      <c r="M2213" s="7"/>
    </row>
    <row r="2214" customFormat="false" ht="15" hidden="false" customHeight="false" outlineLevel="0" collapsed="false">
      <c r="A2214" s="6" t="s">
        <v>2860</v>
      </c>
      <c r="B2214" s="6" t="s">
        <v>77</v>
      </c>
      <c r="C2214" s="6" t="s">
        <v>79</v>
      </c>
      <c r="D2214" s="6" t="s">
        <v>452</v>
      </c>
      <c r="E2214" s="6"/>
      <c r="F2214" s="6" t="s">
        <v>2864</v>
      </c>
      <c r="G2214" s="6" t="s">
        <v>3654</v>
      </c>
      <c r="H2214" s="6" t="s">
        <v>4950</v>
      </c>
      <c r="I2214" s="6" t="n">
        <v>33</v>
      </c>
      <c r="J2214" s="6" t="s">
        <v>83</v>
      </c>
      <c r="K2214" s="6" t="s">
        <v>4951</v>
      </c>
      <c r="L2214" s="7"/>
      <c r="M2214" s="7"/>
    </row>
    <row r="2215" customFormat="false" ht="15" hidden="false" customHeight="false" outlineLevel="0" collapsed="false">
      <c r="A2215" s="6" t="s">
        <v>2860</v>
      </c>
      <c r="B2215" s="6" t="s">
        <v>77</v>
      </c>
      <c r="C2215" s="6" t="s">
        <v>79</v>
      </c>
      <c r="D2215" s="6" t="s">
        <v>452</v>
      </c>
      <c r="E2215" s="6"/>
      <c r="F2215" s="6" t="s">
        <v>2864</v>
      </c>
      <c r="G2215" s="6" t="s">
        <v>3657</v>
      </c>
      <c r="H2215" s="6" t="s">
        <v>4952</v>
      </c>
      <c r="I2215" s="6" t="n">
        <v>33</v>
      </c>
      <c r="J2215" s="6" t="s">
        <v>83</v>
      </c>
      <c r="K2215" s="6" t="s">
        <v>4953</v>
      </c>
      <c r="L2215" s="7"/>
      <c r="M2215" s="7"/>
    </row>
    <row r="2216" customFormat="false" ht="15" hidden="false" customHeight="false" outlineLevel="0" collapsed="false">
      <c r="A2216" s="6" t="s">
        <v>2860</v>
      </c>
      <c r="B2216" s="6" t="s">
        <v>77</v>
      </c>
      <c r="C2216" s="6" t="s">
        <v>79</v>
      </c>
      <c r="D2216" s="6" t="s">
        <v>452</v>
      </c>
      <c r="E2216" s="6"/>
      <c r="F2216" s="6" t="s">
        <v>2864</v>
      </c>
      <c r="G2216" s="6" t="s">
        <v>3660</v>
      </c>
      <c r="H2216" s="6" t="s">
        <v>4954</v>
      </c>
      <c r="I2216" s="6" t="n">
        <v>0</v>
      </c>
      <c r="J2216" s="6"/>
      <c r="K2216" s="6" t="s">
        <v>4955</v>
      </c>
      <c r="L2216" s="7"/>
      <c r="M2216" s="7"/>
    </row>
    <row r="2217" customFormat="false" ht="23.85" hidden="false" customHeight="false" outlineLevel="0" collapsed="false">
      <c r="A2217" s="6" t="s">
        <v>2867</v>
      </c>
      <c r="B2217" s="6" t="s">
        <v>96</v>
      </c>
      <c r="C2217" s="6" t="s">
        <v>98</v>
      </c>
      <c r="D2217" s="6" t="s">
        <v>372</v>
      </c>
      <c r="E2217" s="6"/>
      <c r="F2217" s="6" t="s">
        <v>2874</v>
      </c>
      <c r="G2217" s="6" t="s">
        <v>3651</v>
      </c>
      <c r="H2217" s="6" t="s">
        <v>4956</v>
      </c>
      <c r="I2217" s="6" t="n">
        <v>33</v>
      </c>
      <c r="J2217" s="6" t="s">
        <v>83</v>
      </c>
      <c r="K2217" s="6" t="s">
        <v>4957</v>
      </c>
      <c r="L2217" s="7"/>
      <c r="M2217" s="7"/>
    </row>
    <row r="2218" customFormat="false" ht="23.85" hidden="false" customHeight="false" outlineLevel="0" collapsed="false">
      <c r="A2218" s="6" t="s">
        <v>2867</v>
      </c>
      <c r="B2218" s="6" t="s">
        <v>96</v>
      </c>
      <c r="C2218" s="6" t="s">
        <v>98</v>
      </c>
      <c r="D2218" s="6" t="s">
        <v>372</v>
      </c>
      <c r="E2218" s="6"/>
      <c r="F2218" s="6" t="s">
        <v>2874</v>
      </c>
      <c r="G2218" s="6" t="s">
        <v>3654</v>
      </c>
      <c r="H2218" s="6" t="s">
        <v>4958</v>
      </c>
      <c r="I2218" s="6" t="n">
        <v>33</v>
      </c>
      <c r="J2218" s="6" t="s">
        <v>83</v>
      </c>
      <c r="K2218" s="6" t="s">
        <v>4959</v>
      </c>
      <c r="L2218" s="7"/>
      <c r="M2218" s="7"/>
    </row>
    <row r="2219" customFormat="false" ht="23.85" hidden="false" customHeight="false" outlineLevel="0" collapsed="false">
      <c r="A2219" s="6" t="s">
        <v>2867</v>
      </c>
      <c r="B2219" s="6" t="s">
        <v>96</v>
      </c>
      <c r="C2219" s="6" t="s">
        <v>98</v>
      </c>
      <c r="D2219" s="6" t="s">
        <v>372</v>
      </c>
      <c r="E2219" s="6"/>
      <c r="F2219" s="6" t="s">
        <v>2874</v>
      </c>
      <c r="G2219" s="6" t="s">
        <v>3657</v>
      </c>
      <c r="H2219" s="6" t="s">
        <v>4960</v>
      </c>
      <c r="I2219" s="6" t="n">
        <v>33</v>
      </c>
      <c r="J2219" s="6" t="s">
        <v>83</v>
      </c>
      <c r="K2219" s="6" t="s">
        <v>4961</v>
      </c>
      <c r="L2219" s="7"/>
      <c r="M2219" s="7"/>
    </row>
    <row r="2220" customFormat="false" ht="23.85" hidden="false" customHeight="false" outlineLevel="0" collapsed="false">
      <c r="A2220" s="6" t="s">
        <v>2867</v>
      </c>
      <c r="B2220" s="6" t="s">
        <v>96</v>
      </c>
      <c r="C2220" s="6" t="s">
        <v>98</v>
      </c>
      <c r="D2220" s="6" t="s">
        <v>372</v>
      </c>
      <c r="E2220" s="6"/>
      <c r="F2220" s="6" t="s">
        <v>2874</v>
      </c>
      <c r="G2220" s="6" t="s">
        <v>3660</v>
      </c>
      <c r="H2220" s="6" t="s">
        <v>4962</v>
      </c>
      <c r="I2220" s="6" t="n">
        <v>0</v>
      </c>
      <c r="J2220" s="6"/>
      <c r="K2220" s="6" t="s">
        <v>4963</v>
      </c>
      <c r="L2220" s="7"/>
      <c r="M2220" s="7"/>
    </row>
    <row r="2221" customFormat="false" ht="15" hidden="false" customHeight="false" outlineLevel="0" collapsed="false">
      <c r="A2221" s="6" t="s">
        <v>2877</v>
      </c>
      <c r="B2221" s="6" t="s">
        <v>96</v>
      </c>
      <c r="C2221" s="6" t="s">
        <v>79</v>
      </c>
      <c r="D2221" s="6" t="s">
        <v>396</v>
      </c>
      <c r="E2221" s="6"/>
      <c r="F2221" s="6" t="s">
        <v>2882</v>
      </c>
      <c r="G2221" s="6" t="s">
        <v>3651</v>
      </c>
      <c r="H2221" s="6" t="s">
        <v>4964</v>
      </c>
      <c r="I2221" s="6" t="n">
        <v>10</v>
      </c>
      <c r="J2221" s="6"/>
      <c r="K2221" s="6" t="s">
        <v>4965</v>
      </c>
      <c r="L2221" s="7"/>
      <c r="M2221" s="7"/>
    </row>
    <row r="2222" customFormat="false" ht="15" hidden="false" customHeight="false" outlineLevel="0" collapsed="false">
      <c r="A2222" s="6" t="s">
        <v>2877</v>
      </c>
      <c r="B2222" s="6" t="s">
        <v>96</v>
      </c>
      <c r="C2222" s="6" t="s">
        <v>79</v>
      </c>
      <c r="D2222" s="6" t="s">
        <v>396</v>
      </c>
      <c r="E2222" s="6"/>
      <c r="F2222" s="6" t="s">
        <v>2882</v>
      </c>
      <c r="G2222" s="6" t="s">
        <v>3654</v>
      </c>
      <c r="H2222" s="6" t="s">
        <v>4966</v>
      </c>
      <c r="I2222" s="6" t="n">
        <v>95</v>
      </c>
      <c r="J2222" s="6" t="s">
        <v>83</v>
      </c>
      <c r="K2222" s="6" t="s">
        <v>4967</v>
      </c>
      <c r="L2222" s="7"/>
      <c r="M2222" s="7"/>
    </row>
    <row r="2223" customFormat="false" ht="15" hidden="false" customHeight="false" outlineLevel="0" collapsed="false">
      <c r="A2223" s="6" t="s">
        <v>2877</v>
      </c>
      <c r="B2223" s="6" t="s">
        <v>96</v>
      </c>
      <c r="C2223" s="6" t="s">
        <v>79</v>
      </c>
      <c r="D2223" s="6" t="s">
        <v>396</v>
      </c>
      <c r="E2223" s="6"/>
      <c r="F2223" s="6" t="s">
        <v>2882</v>
      </c>
      <c r="G2223" s="6" t="s">
        <v>3657</v>
      </c>
      <c r="H2223" s="6" t="s">
        <v>4968</v>
      </c>
      <c r="I2223" s="6" t="n">
        <v>45</v>
      </c>
      <c r="J2223" s="6"/>
      <c r="K2223" s="6" t="s">
        <v>4969</v>
      </c>
      <c r="L2223" s="7"/>
      <c r="M2223" s="7"/>
    </row>
    <row r="2224" customFormat="false" ht="15" hidden="false" customHeight="false" outlineLevel="0" collapsed="false">
      <c r="A2224" s="6" t="s">
        <v>2877</v>
      </c>
      <c r="B2224" s="6" t="s">
        <v>96</v>
      </c>
      <c r="C2224" s="6" t="s">
        <v>79</v>
      </c>
      <c r="D2224" s="6" t="s">
        <v>396</v>
      </c>
      <c r="E2224" s="6"/>
      <c r="F2224" s="6" t="s">
        <v>2882</v>
      </c>
      <c r="G2224" s="6" t="s">
        <v>3660</v>
      </c>
      <c r="H2224" s="6" t="s">
        <v>4970</v>
      </c>
      <c r="I2224" s="6" t="n">
        <v>5</v>
      </c>
      <c r="J2224" s="6"/>
      <c r="K2224" s="6" t="s">
        <v>4971</v>
      </c>
      <c r="L2224" s="7"/>
      <c r="M2224" s="7"/>
    </row>
    <row r="2225" customFormat="false" ht="15" hidden="false" customHeight="false" outlineLevel="0" collapsed="false">
      <c r="A2225" s="6" t="s">
        <v>2886</v>
      </c>
      <c r="B2225" s="6" t="s">
        <v>110</v>
      </c>
      <c r="C2225" s="6" t="s">
        <v>98</v>
      </c>
      <c r="D2225" s="6" t="s">
        <v>452</v>
      </c>
      <c r="E2225" s="6"/>
      <c r="F2225" s="6" t="s">
        <v>2893</v>
      </c>
      <c r="G2225" s="6" t="s">
        <v>3651</v>
      </c>
      <c r="H2225" s="6" t="s">
        <v>4972</v>
      </c>
      <c r="I2225" s="6" t="n">
        <v>25</v>
      </c>
      <c r="J2225" s="6" t="s">
        <v>83</v>
      </c>
      <c r="K2225" s="6" t="s">
        <v>4973</v>
      </c>
      <c r="L2225" s="7"/>
      <c r="M2225" s="7"/>
    </row>
    <row r="2226" customFormat="false" ht="15" hidden="false" customHeight="false" outlineLevel="0" collapsed="false">
      <c r="A2226" s="6" t="s">
        <v>2886</v>
      </c>
      <c r="B2226" s="6" t="s">
        <v>110</v>
      </c>
      <c r="C2226" s="6" t="s">
        <v>98</v>
      </c>
      <c r="D2226" s="6" t="s">
        <v>452</v>
      </c>
      <c r="E2226" s="6"/>
      <c r="F2226" s="6" t="s">
        <v>2893</v>
      </c>
      <c r="G2226" s="6" t="s">
        <v>3654</v>
      </c>
      <c r="H2226" s="6" t="s">
        <v>4974</v>
      </c>
      <c r="I2226" s="6" t="n">
        <v>25</v>
      </c>
      <c r="J2226" s="6" t="s">
        <v>83</v>
      </c>
      <c r="K2226" s="6" t="s">
        <v>4975</v>
      </c>
      <c r="L2226" s="7"/>
      <c r="M2226" s="7"/>
    </row>
    <row r="2227" customFormat="false" ht="15" hidden="false" customHeight="false" outlineLevel="0" collapsed="false">
      <c r="A2227" s="6" t="s">
        <v>2886</v>
      </c>
      <c r="B2227" s="6" t="s">
        <v>110</v>
      </c>
      <c r="C2227" s="6" t="s">
        <v>98</v>
      </c>
      <c r="D2227" s="6" t="s">
        <v>452</v>
      </c>
      <c r="E2227" s="6"/>
      <c r="F2227" s="6" t="s">
        <v>2893</v>
      </c>
      <c r="G2227" s="6" t="s">
        <v>3657</v>
      </c>
      <c r="H2227" s="6" t="s">
        <v>4976</v>
      </c>
      <c r="I2227" s="6" t="n">
        <v>25</v>
      </c>
      <c r="J2227" s="6" t="s">
        <v>83</v>
      </c>
      <c r="K2227" s="6" t="s">
        <v>4977</v>
      </c>
      <c r="L2227" s="7"/>
      <c r="M2227" s="7"/>
    </row>
    <row r="2228" customFormat="false" ht="15" hidden="false" customHeight="false" outlineLevel="0" collapsed="false">
      <c r="A2228" s="6" t="s">
        <v>2886</v>
      </c>
      <c r="B2228" s="6" t="s">
        <v>110</v>
      </c>
      <c r="C2228" s="6" t="s">
        <v>98</v>
      </c>
      <c r="D2228" s="6" t="s">
        <v>452</v>
      </c>
      <c r="E2228" s="6"/>
      <c r="F2228" s="6" t="s">
        <v>2893</v>
      </c>
      <c r="G2228" s="6" t="s">
        <v>3660</v>
      </c>
      <c r="H2228" s="6" t="s">
        <v>4978</v>
      </c>
      <c r="I2228" s="6" t="n">
        <v>25</v>
      </c>
      <c r="J2228" s="6" t="s">
        <v>83</v>
      </c>
      <c r="K2228" s="6" t="s">
        <v>4979</v>
      </c>
      <c r="L2228" s="7"/>
      <c r="M2228" s="7"/>
    </row>
    <row r="2229" customFormat="false" ht="15" hidden="false" customHeight="false" outlineLevel="0" collapsed="false">
      <c r="A2229" s="6" t="s">
        <v>2886</v>
      </c>
      <c r="B2229" s="6" t="s">
        <v>110</v>
      </c>
      <c r="C2229" s="6" t="s">
        <v>98</v>
      </c>
      <c r="D2229" s="6" t="s">
        <v>452</v>
      </c>
      <c r="E2229" s="6"/>
      <c r="F2229" s="6" t="s">
        <v>2893</v>
      </c>
      <c r="G2229" s="6" t="s">
        <v>3687</v>
      </c>
      <c r="H2229" s="6" t="s">
        <v>4980</v>
      </c>
      <c r="I2229" s="6" t="n">
        <v>0</v>
      </c>
      <c r="J2229" s="6"/>
      <c r="K2229" s="6" t="s">
        <v>4981</v>
      </c>
      <c r="L2229" s="7"/>
      <c r="M2229" s="7"/>
    </row>
    <row r="2230" customFormat="false" ht="23.85" hidden="false" customHeight="false" outlineLevel="0" collapsed="false">
      <c r="A2230" s="6" t="s">
        <v>2896</v>
      </c>
      <c r="B2230" s="6" t="s">
        <v>132</v>
      </c>
      <c r="C2230" s="6" t="s">
        <v>98</v>
      </c>
      <c r="D2230" s="6" t="s">
        <v>431</v>
      </c>
      <c r="E2230" s="6" t="s">
        <v>432</v>
      </c>
      <c r="F2230" s="6" t="s">
        <v>2900</v>
      </c>
      <c r="G2230" s="6" t="s">
        <v>4982</v>
      </c>
      <c r="H2230" s="6" t="s">
        <v>4983</v>
      </c>
      <c r="I2230" s="6" t="n">
        <v>1</v>
      </c>
      <c r="J2230" s="6" t="s">
        <v>3692</v>
      </c>
      <c r="K2230" s="6"/>
      <c r="L2230" s="7"/>
      <c r="M2230" s="7"/>
    </row>
    <row r="2231" customFormat="false" ht="23.85" hidden="false" customHeight="false" outlineLevel="0" collapsed="false">
      <c r="A2231" s="6" t="s">
        <v>2896</v>
      </c>
      <c r="B2231" s="6" t="s">
        <v>132</v>
      </c>
      <c r="C2231" s="6" t="s">
        <v>98</v>
      </c>
      <c r="D2231" s="6" t="s">
        <v>431</v>
      </c>
      <c r="E2231" s="6" t="s">
        <v>432</v>
      </c>
      <c r="F2231" s="6" t="s">
        <v>2900</v>
      </c>
      <c r="G2231" s="6" t="s">
        <v>3733</v>
      </c>
      <c r="H2231" s="6" t="s">
        <v>4984</v>
      </c>
      <c r="I2231" s="6" t="n">
        <v>2</v>
      </c>
      <c r="J2231" s="6" t="s">
        <v>3695</v>
      </c>
      <c r="K2231" s="6"/>
      <c r="L2231" s="7"/>
      <c r="M2231" s="7"/>
    </row>
    <row r="2232" customFormat="false" ht="23.85" hidden="false" customHeight="false" outlineLevel="0" collapsed="false">
      <c r="A2232" s="6" t="s">
        <v>2896</v>
      </c>
      <c r="B2232" s="6" t="s">
        <v>132</v>
      </c>
      <c r="C2232" s="6" t="s">
        <v>98</v>
      </c>
      <c r="D2232" s="6" t="s">
        <v>431</v>
      </c>
      <c r="E2232" s="6" t="s">
        <v>432</v>
      </c>
      <c r="F2232" s="6" t="s">
        <v>2900</v>
      </c>
      <c r="G2232" s="6" t="s">
        <v>3860</v>
      </c>
      <c r="H2232" s="6" t="s">
        <v>4985</v>
      </c>
      <c r="I2232" s="6" t="n">
        <v>3</v>
      </c>
      <c r="J2232" s="6" t="s">
        <v>3698</v>
      </c>
      <c r="K2232" s="6"/>
      <c r="L2232" s="7"/>
      <c r="M2232" s="7"/>
    </row>
    <row r="2233" customFormat="false" ht="23.85" hidden="false" customHeight="false" outlineLevel="0" collapsed="false">
      <c r="A2233" s="6" t="s">
        <v>2896</v>
      </c>
      <c r="B2233" s="6" t="s">
        <v>132</v>
      </c>
      <c r="C2233" s="6" t="s">
        <v>98</v>
      </c>
      <c r="D2233" s="6" t="s">
        <v>431</v>
      </c>
      <c r="E2233" s="6" t="s">
        <v>432</v>
      </c>
      <c r="F2233" s="6" t="s">
        <v>2900</v>
      </c>
      <c r="G2233" s="6" t="s">
        <v>4215</v>
      </c>
      <c r="H2233" s="6" t="s">
        <v>4986</v>
      </c>
      <c r="I2233" s="6" t="n">
        <v>4</v>
      </c>
      <c r="J2233" s="6" t="s">
        <v>3701</v>
      </c>
      <c r="K2233" s="6"/>
      <c r="L2233" s="7"/>
      <c r="M2233" s="7"/>
    </row>
    <row r="2234" customFormat="false" ht="15" hidden="false" customHeight="false" outlineLevel="0" collapsed="false">
      <c r="A2234" s="6" t="s">
        <v>2904</v>
      </c>
      <c r="B2234" s="6" t="s">
        <v>145</v>
      </c>
      <c r="C2234" s="6" t="s">
        <v>79</v>
      </c>
      <c r="D2234" s="6" t="s">
        <v>2725</v>
      </c>
      <c r="E2234" s="6"/>
      <c r="F2234" s="6" t="s">
        <v>2908</v>
      </c>
      <c r="G2234" s="6" t="s">
        <v>3651</v>
      </c>
      <c r="H2234" s="6" t="s">
        <v>4987</v>
      </c>
      <c r="I2234" s="6" t="n">
        <v>20</v>
      </c>
      <c r="J2234" s="6"/>
      <c r="K2234" s="6" t="s">
        <v>4988</v>
      </c>
      <c r="L2234" s="7"/>
      <c r="M2234" s="7"/>
    </row>
    <row r="2235" customFormat="false" ht="23.85" hidden="false" customHeight="false" outlineLevel="0" collapsed="false">
      <c r="A2235" s="6" t="s">
        <v>2904</v>
      </c>
      <c r="B2235" s="6" t="s">
        <v>145</v>
      </c>
      <c r="C2235" s="6" t="s">
        <v>79</v>
      </c>
      <c r="D2235" s="6" t="s">
        <v>2725</v>
      </c>
      <c r="E2235" s="6"/>
      <c r="F2235" s="6" t="s">
        <v>2908</v>
      </c>
      <c r="G2235" s="6" t="s">
        <v>3654</v>
      </c>
      <c r="H2235" s="6" t="s">
        <v>4989</v>
      </c>
      <c r="I2235" s="6" t="n">
        <v>95</v>
      </c>
      <c r="J2235" s="6" t="s">
        <v>83</v>
      </c>
      <c r="K2235" s="6" t="s">
        <v>4990</v>
      </c>
      <c r="L2235" s="7"/>
      <c r="M2235" s="7"/>
    </row>
    <row r="2236" customFormat="false" ht="15" hidden="false" customHeight="false" outlineLevel="0" collapsed="false">
      <c r="A2236" s="6" t="s">
        <v>2904</v>
      </c>
      <c r="B2236" s="6" t="s">
        <v>145</v>
      </c>
      <c r="C2236" s="6" t="s">
        <v>79</v>
      </c>
      <c r="D2236" s="6" t="s">
        <v>2725</v>
      </c>
      <c r="E2236" s="6"/>
      <c r="F2236" s="6" t="s">
        <v>2908</v>
      </c>
      <c r="G2236" s="6" t="s">
        <v>3657</v>
      </c>
      <c r="H2236" s="6" t="s">
        <v>4991</v>
      </c>
      <c r="I2236" s="6" t="n">
        <v>20</v>
      </c>
      <c r="J2236" s="6"/>
      <c r="K2236" s="6" t="s">
        <v>4992</v>
      </c>
      <c r="L2236" s="7"/>
      <c r="M2236" s="7"/>
    </row>
    <row r="2237" customFormat="false" ht="15" hidden="false" customHeight="false" outlineLevel="0" collapsed="false">
      <c r="A2237" s="6" t="s">
        <v>2904</v>
      </c>
      <c r="B2237" s="6" t="s">
        <v>145</v>
      </c>
      <c r="C2237" s="6" t="s">
        <v>79</v>
      </c>
      <c r="D2237" s="6" t="s">
        <v>2725</v>
      </c>
      <c r="E2237" s="6"/>
      <c r="F2237" s="6" t="s">
        <v>2908</v>
      </c>
      <c r="G2237" s="6" t="s">
        <v>3660</v>
      </c>
      <c r="H2237" s="6" t="s">
        <v>4993</v>
      </c>
      <c r="I2237" s="6" t="n">
        <v>15</v>
      </c>
      <c r="J2237" s="6"/>
      <c r="K2237" s="6" t="s">
        <v>4994</v>
      </c>
      <c r="L2237" s="7"/>
      <c r="M2237" s="7"/>
    </row>
    <row r="2238" customFormat="false" ht="15" hidden="false" customHeight="false" outlineLevel="0" collapsed="false">
      <c r="A2238" s="6" t="s">
        <v>2912</v>
      </c>
      <c r="B2238" s="6" t="s">
        <v>123</v>
      </c>
      <c r="C2238" s="6" t="s">
        <v>98</v>
      </c>
      <c r="D2238" s="6" t="s">
        <v>408</v>
      </c>
      <c r="E2238" s="6"/>
      <c r="F2238" s="6" t="s">
        <v>2914</v>
      </c>
      <c r="G2238" s="6" t="s">
        <v>3651</v>
      </c>
      <c r="H2238" s="6" t="s">
        <v>4995</v>
      </c>
      <c r="I2238" s="6" t="n">
        <v>20</v>
      </c>
      <c r="J2238" s="6"/>
      <c r="K2238" s="6" t="s">
        <v>4996</v>
      </c>
      <c r="L2238" s="7"/>
      <c r="M2238" s="7"/>
    </row>
    <row r="2239" customFormat="false" ht="23.85" hidden="false" customHeight="false" outlineLevel="0" collapsed="false">
      <c r="A2239" s="6" t="s">
        <v>2912</v>
      </c>
      <c r="B2239" s="6" t="s">
        <v>123</v>
      </c>
      <c r="C2239" s="6" t="s">
        <v>98</v>
      </c>
      <c r="D2239" s="6" t="s">
        <v>408</v>
      </c>
      <c r="E2239" s="6"/>
      <c r="F2239" s="6" t="s">
        <v>2914</v>
      </c>
      <c r="G2239" s="6" t="s">
        <v>3654</v>
      </c>
      <c r="H2239" s="6" t="s">
        <v>4997</v>
      </c>
      <c r="I2239" s="6" t="n">
        <v>98</v>
      </c>
      <c r="J2239" s="6" t="s">
        <v>83</v>
      </c>
      <c r="K2239" s="6" t="s">
        <v>4998</v>
      </c>
      <c r="L2239" s="7"/>
      <c r="M2239" s="7"/>
    </row>
    <row r="2240" customFormat="false" ht="15" hidden="false" customHeight="false" outlineLevel="0" collapsed="false">
      <c r="A2240" s="6" t="s">
        <v>2912</v>
      </c>
      <c r="B2240" s="6" t="s">
        <v>123</v>
      </c>
      <c r="C2240" s="6" t="s">
        <v>98</v>
      </c>
      <c r="D2240" s="6" t="s">
        <v>408</v>
      </c>
      <c r="E2240" s="6"/>
      <c r="F2240" s="6" t="s">
        <v>2914</v>
      </c>
      <c r="G2240" s="6" t="s">
        <v>3657</v>
      </c>
      <c r="H2240" s="6" t="s">
        <v>4999</v>
      </c>
      <c r="I2240" s="6" t="n">
        <v>35</v>
      </c>
      <c r="J2240" s="6"/>
      <c r="K2240" s="6" t="s">
        <v>5000</v>
      </c>
      <c r="L2240" s="7"/>
      <c r="M2240" s="7"/>
    </row>
    <row r="2241" customFormat="false" ht="15" hidden="false" customHeight="false" outlineLevel="0" collapsed="false">
      <c r="A2241" s="6" t="s">
        <v>2912</v>
      </c>
      <c r="B2241" s="6" t="s">
        <v>123</v>
      </c>
      <c r="C2241" s="6" t="s">
        <v>98</v>
      </c>
      <c r="D2241" s="6" t="s">
        <v>408</v>
      </c>
      <c r="E2241" s="6"/>
      <c r="F2241" s="6" t="s">
        <v>2914</v>
      </c>
      <c r="G2241" s="6" t="s">
        <v>3660</v>
      </c>
      <c r="H2241" s="6" t="s">
        <v>5001</v>
      </c>
      <c r="I2241" s="6" t="n">
        <v>10</v>
      </c>
      <c r="J2241" s="6"/>
      <c r="K2241" s="6" t="s">
        <v>5002</v>
      </c>
      <c r="L2241" s="7"/>
      <c r="M2241" s="7"/>
    </row>
    <row r="2242" customFormat="false" ht="15" hidden="false" customHeight="false" outlineLevel="0" collapsed="false">
      <c r="A2242" s="6" t="s">
        <v>2918</v>
      </c>
      <c r="B2242" s="6" t="s">
        <v>96</v>
      </c>
      <c r="C2242" s="6" t="s">
        <v>165</v>
      </c>
      <c r="D2242" s="6" t="s">
        <v>408</v>
      </c>
      <c r="E2242" s="6"/>
      <c r="F2242" s="6" t="s">
        <v>2925</v>
      </c>
      <c r="G2242" s="6" t="s">
        <v>3651</v>
      </c>
      <c r="H2242" s="6" t="s">
        <v>5003</v>
      </c>
      <c r="I2242" s="6" t="n">
        <v>98</v>
      </c>
      <c r="J2242" s="6" t="s">
        <v>83</v>
      </c>
      <c r="K2242" s="6" t="s">
        <v>5004</v>
      </c>
      <c r="L2242" s="7"/>
      <c r="M2242" s="7"/>
    </row>
    <row r="2243" customFormat="false" ht="23.85" hidden="false" customHeight="false" outlineLevel="0" collapsed="false">
      <c r="A2243" s="6" t="s">
        <v>2918</v>
      </c>
      <c r="B2243" s="6" t="s">
        <v>96</v>
      </c>
      <c r="C2243" s="6" t="s">
        <v>165</v>
      </c>
      <c r="D2243" s="6" t="s">
        <v>408</v>
      </c>
      <c r="E2243" s="6"/>
      <c r="F2243" s="6" t="s">
        <v>2925</v>
      </c>
      <c r="G2243" s="6" t="s">
        <v>3654</v>
      </c>
      <c r="H2243" s="6" t="s">
        <v>5005</v>
      </c>
      <c r="I2243" s="6" t="n">
        <v>70</v>
      </c>
      <c r="J2243" s="6"/>
      <c r="K2243" s="6" t="s">
        <v>5006</v>
      </c>
      <c r="L2243" s="7"/>
      <c r="M2243" s="7"/>
    </row>
    <row r="2244" customFormat="false" ht="15" hidden="false" customHeight="false" outlineLevel="0" collapsed="false">
      <c r="A2244" s="6" t="s">
        <v>2918</v>
      </c>
      <c r="B2244" s="6" t="s">
        <v>96</v>
      </c>
      <c r="C2244" s="6" t="s">
        <v>165</v>
      </c>
      <c r="D2244" s="6" t="s">
        <v>408</v>
      </c>
      <c r="E2244" s="6"/>
      <c r="F2244" s="6" t="s">
        <v>2925</v>
      </c>
      <c r="G2244" s="6" t="s">
        <v>3657</v>
      </c>
      <c r="H2244" s="6" t="s">
        <v>5007</v>
      </c>
      <c r="I2244" s="6" t="n">
        <v>5</v>
      </c>
      <c r="J2244" s="6"/>
      <c r="K2244" s="6" t="s">
        <v>5008</v>
      </c>
      <c r="L2244" s="7"/>
      <c r="M2244" s="7"/>
    </row>
    <row r="2245" customFormat="false" ht="15" hidden="false" customHeight="false" outlineLevel="0" collapsed="false">
      <c r="A2245" s="6" t="s">
        <v>2918</v>
      </c>
      <c r="B2245" s="6" t="s">
        <v>96</v>
      </c>
      <c r="C2245" s="6" t="s">
        <v>165</v>
      </c>
      <c r="D2245" s="6" t="s">
        <v>408</v>
      </c>
      <c r="E2245" s="6"/>
      <c r="F2245" s="6" t="s">
        <v>2925</v>
      </c>
      <c r="G2245" s="6" t="s">
        <v>3660</v>
      </c>
      <c r="H2245" s="6" t="s">
        <v>5009</v>
      </c>
      <c r="I2245" s="6" t="n">
        <v>20</v>
      </c>
      <c r="J2245" s="6"/>
      <c r="K2245" s="6" t="s">
        <v>5010</v>
      </c>
      <c r="L2245" s="7"/>
      <c r="M2245" s="7"/>
    </row>
    <row r="2246" customFormat="false" ht="15" hidden="false" customHeight="false" outlineLevel="0" collapsed="false">
      <c r="A2246" s="6" t="s">
        <v>2929</v>
      </c>
      <c r="B2246" s="6" t="s">
        <v>110</v>
      </c>
      <c r="C2246" s="6" t="s">
        <v>98</v>
      </c>
      <c r="D2246" s="6" t="s">
        <v>408</v>
      </c>
      <c r="E2246" s="6"/>
      <c r="F2246" s="6" t="s">
        <v>2931</v>
      </c>
      <c r="G2246" s="6" t="s">
        <v>3651</v>
      </c>
      <c r="H2246" s="6" t="s">
        <v>5011</v>
      </c>
      <c r="I2246" s="6" t="n">
        <v>5</v>
      </c>
      <c r="J2246" s="6"/>
      <c r="K2246" s="6" t="s">
        <v>5012</v>
      </c>
      <c r="L2246" s="7"/>
      <c r="M2246" s="7"/>
    </row>
    <row r="2247" customFormat="false" ht="23.85" hidden="false" customHeight="false" outlineLevel="0" collapsed="false">
      <c r="A2247" s="6" t="s">
        <v>2929</v>
      </c>
      <c r="B2247" s="6" t="s">
        <v>110</v>
      </c>
      <c r="C2247" s="6" t="s">
        <v>98</v>
      </c>
      <c r="D2247" s="6" t="s">
        <v>408</v>
      </c>
      <c r="E2247" s="6"/>
      <c r="F2247" s="6" t="s">
        <v>2931</v>
      </c>
      <c r="G2247" s="6" t="s">
        <v>3654</v>
      </c>
      <c r="H2247" s="6" t="s">
        <v>5013</v>
      </c>
      <c r="I2247" s="6" t="n">
        <v>98</v>
      </c>
      <c r="J2247" s="6" t="s">
        <v>83</v>
      </c>
      <c r="K2247" s="6" t="s">
        <v>5014</v>
      </c>
      <c r="L2247" s="7"/>
      <c r="M2247" s="7"/>
    </row>
    <row r="2248" customFormat="false" ht="15" hidden="false" customHeight="false" outlineLevel="0" collapsed="false">
      <c r="A2248" s="6" t="s">
        <v>2929</v>
      </c>
      <c r="B2248" s="6" t="s">
        <v>110</v>
      </c>
      <c r="C2248" s="6" t="s">
        <v>98</v>
      </c>
      <c r="D2248" s="6" t="s">
        <v>408</v>
      </c>
      <c r="E2248" s="6"/>
      <c r="F2248" s="6" t="s">
        <v>2931</v>
      </c>
      <c r="G2248" s="6" t="s">
        <v>3657</v>
      </c>
      <c r="H2248" s="6" t="s">
        <v>5015</v>
      </c>
      <c r="I2248" s="6" t="n">
        <v>10</v>
      </c>
      <c r="J2248" s="6"/>
      <c r="K2248" s="6" t="s">
        <v>5016</v>
      </c>
      <c r="L2248" s="7"/>
      <c r="M2248" s="7"/>
    </row>
    <row r="2249" customFormat="false" ht="15" hidden="false" customHeight="false" outlineLevel="0" collapsed="false">
      <c r="A2249" s="6" t="s">
        <v>2929</v>
      </c>
      <c r="B2249" s="6" t="s">
        <v>110</v>
      </c>
      <c r="C2249" s="6" t="s">
        <v>98</v>
      </c>
      <c r="D2249" s="6" t="s">
        <v>408</v>
      </c>
      <c r="E2249" s="6"/>
      <c r="F2249" s="6" t="s">
        <v>2931</v>
      </c>
      <c r="G2249" s="6" t="s">
        <v>3660</v>
      </c>
      <c r="H2249" s="6" t="s">
        <v>5017</v>
      </c>
      <c r="I2249" s="6" t="n">
        <v>25</v>
      </c>
      <c r="J2249" s="6"/>
      <c r="K2249" s="6" t="s">
        <v>5018</v>
      </c>
      <c r="L2249" s="7"/>
      <c r="M2249" s="7"/>
    </row>
    <row r="2250" customFormat="false" ht="23.85" hidden="false" customHeight="false" outlineLevel="0" collapsed="false">
      <c r="A2250" s="6" t="s">
        <v>2935</v>
      </c>
      <c r="B2250" s="6" t="s">
        <v>145</v>
      </c>
      <c r="C2250" s="6" t="s">
        <v>165</v>
      </c>
      <c r="D2250" s="6" t="s">
        <v>408</v>
      </c>
      <c r="E2250" s="6"/>
      <c r="F2250" s="6" t="s">
        <v>2937</v>
      </c>
      <c r="G2250" s="6" t="s">
        <v>3651</v>
      </c>
      <c r="H2250" s="6" t="s">
        <v>5019</v>
      </c>
      <c r="I2250" s="6" t="n">
        <v>98</v>
      </c>
      <c r="J2250" s="6" t="s">
        <v>83</v>
      </c>
      <c r="K2250" s="6" t="s">
        <v>5020</v>
      </c>
      <c r="L2250" s="7"/>
      <c r="M2250" s="7"/>
    </row>
    <row r="2251" customFormat="false" ht="23.85" hidden="false" customHeight="false" outlineLevel="0" collapsed="false">
      <c r="A2251" s="6" t="s">
        <v>2935</v>
      </c>
      <c r="B2251" s="6" t="s">
        <v>145</v>
      </c>
      <c r="C2251" s="6" t="s">
        <v>165</v>
      </c>
      <c r="D2251" s="6" t="s">
        <v>408</v>
      </c>
      <c r="E2251" s="6"/>
      <c r="F2251" s="6" t="s">
        <v>2937</v>
      </c>
      <c r="G2251" s="6" t="s">
        <v>3654</v>
      </c>
      <c r="H2251" s="6" t="s">
        <v>5021</v>
      </c>
      <c r="I2251" s="6" t="n">
        <v>15</v>
      </c>
      <c r="J2251" s="6"/>
      <c r="K2251" s="6" t="s">
        <v>5022</v>
      </c>
      <c r="L2251" s="7"/>
      <c r="M2251" s="7"/>
    </row>
    <row r="2252" customFormat="false" ht="23.85" hidden="false" customHeight="false" outlineLevel="0" collapsed="false">
      <c r="A2252" s="6" t="s">
        <v>2935</v>
      </c>
      <c r="B2252" s="6" t="s">
        <v>145</v>
      </c>
      <c r="C2252" s="6" t="s">
        <v>165</v>
      </c>
      <c r="D2252" s="6" t="s">
        <v>408</v>
      </c>
      <c r="E2252" s="6"/>
      <c r="F2252" s="6" t="s">
        <v>2937</v>
      </c>
      <c r="G2252" s="6" t="s">
        <v>3657</v>
      </c>
      <c r="H2252" s="6" t="s">
        <v>5023</v>
      </c>
      <c r="I2252" s="6" t="n">
        <v>20</v>
      </c>
      <c r="J2252" s="6"/>
      <c r="K2252" s="6" t="s">
        <v>5024</v>
      </c>
      <c r="L2252" s="7"/>
      <c r="M2252" s="7"/>
    </row>
    <row r="2253" customFormat="false" ht="23.85" hidden="false" customHeight="false" outlineLevel="0" collapsed="false">
      <c r="A2253" s="6" t="s">
        <v>2935</v>
      </c>
      <c r="B2253" s="6" t="s">
        <v>145</v>
      </c>
      <c r="C2253" s="6" t="s">
        <v>165</v>
      </c>
      <c r="D2253" s="6" t="s">
        <v>408</v>
      </c>
      <c r="E2253" s="6"/>
      <c r="F2253" s="6" t="s">
        <v>2937</v>
      </c>
      <c r="G2253" s="6" t="s">
        <v>3660</v>
      </c>
      <c r="H2253" s="6" t="s">
        <v>5025</v>
      </c>
      <c r="I2253" s="6" t="n">
        <v>5</v>
      </c>
      <c r="J2253" s="6"/>
      <c r="K2253" s="6" t="s">
        <v>5026</v>
      </c>
      <c r="L2253" s="7"/>
      <c r="M2253" s="7"/>
    </row>
    <row r="2254" customFormat="false" ht="15" hidden="false" customHeight="false" outlineLevel="0" collapsed="false">
      <c r="A2254" s="6" t="s">
        <v>2949</v>
      </c>
      <c r="B2254" s="6" t="s">
        <v>110</v>
      </c>
      <c r="C2254" s="6" t="s">
        <v>79</v>
      </c>
      <c r="D2254" s="6" t="s">
        <v>781</v>
      </c>
      <c r="E2254" s="6"/>
      <c r="F2254" s="6" t="s">
        <v>2954</v>
      </c>
      <c r="G2254" s="6" t="s">
        <v>3651</v>
      </c>
      <c r="H2254" s="6" t="s">
        <v>5027</v>
      </c>
      <c r="I2254" s="6" t="n">
        <v>5</v>
      </c>
      <c r="J2254" s="6"/>
      <c r="K2254" s="6" t="s">
        <v>5028</v>
      </c>
      <c r="L2254" s="7"/>
      <c r="M2254" s="7"/>
    </row>
    <row r="2255" customFormat="false" ht="15" hidden="false" customHeight="false" outlineLevel="0" collapsed="false">
      <c r="A2255" s="6" t="s">
        <v>2949</v>
      </c>
      <c r="B2255" s="6" t="s">
        <v>110</v>
      </c>
      <c r="C2255" s="6" t="s">
        <v>79</v>
      </c>
      <c r="D2255" s="6" t="s">
        <v>781</v>
      </c>
      <c r="E2255" s="6"/>
      <c r="F2255" s="6" t="s">
        <v>2954</v>
      </c>
      <c r="G2255" s="6" t="s">
        <v>3654</v>
      </c>
      <c r="H2255" s="6" t="s">
        <v>5029</v>
      </c>
      <c r="I2255" s="6" t="n">
        <v>98</v>
      </c>
      <c r="J2255" s="6" t="s">
        <v>83</v>
      </c>
      <c r="K2255" s="6" t="s">
        <v>5030</v>
      </c>
      <c r="L2255" s="7"/>
      <c r="M2255" s="7"/>
    </row>
    <row r="2256" customFormat="false" ht="15" hidden="false" customHeight="false" outlineLevel="0" collapsed="false">
      <c r="A2256" s="6" t="s">
        <v>2949</v>
      </c>
      <c r="B2256" s="6" t="s">
        <v>110</v>
      </c>
      <c r="C2256" s="6" t="s">
        <v>79</v>
      </c>
      <c r="D2256" s="6" t="s">
        <v>781</v>
      </c>
      <c r="E2256" s="6"/>
      <c r="F2256" s="6" t="s">
        <v>2954</v>
      </c>
      <c r="G2256" s="6" t="s">
        <v>3657</v>
      </c>
      <c r="H2256" s="6" t="s">
        <v>5031</v>
      </c>
      <c r="I2256" s="6" t="n">
        <v>15</v>
      </c>
      <c r="J2256" s="6"/>
      <c r="K2256" s="6" t="s">
        <v>5032</v>
      </c>
      <c r="L2256" s="7"/>
      <c r="M2256" s="7"/>
    </row>
    <row r="2257" customFormat="false" ht="15" hidden="false" customHeight="false" outlineLevel="0" collapsed="false">
      <c r="A2257" s="6" t="s">
        <v>2949</v>
      </c>
      <c r="B2257" s="6" t="s">
        <v>110</v>
      </c>
      <c r="C2257" s="6" t="s">
        <v>79</v>
      </c>
      <c r="D2257" s="6" t="s">
        <v>781</v>
      </c>
      <c r="E2257" s="6"/>
      <c r="F2257" s="6" t="s">
        <v>2954</v>
      </c>
      <c r="G2257" s="6" t="s">
        <v>3660</v>
      </c>
      <c r="H2257" s="6" t="s">
        <v>5033</v>
      </c>
      <c r="I2257" s="6" t="n">
        <v>10</v>
      </c>
      <c r="J2257" s="6"/>
      <c r="K2257" s="6" t="s">
        <v>5034</v>
      </c>
      <c r="L2257" s="7"/>
      <c r="M2257" s="7"/>
    </row>
    <row r="2258" customFormat="false" ht="23.85" hidden="false" customHeight="false" outlineLevel="0" collapsed="false">
      <c r="A2258" s="6" t="s">
        <v>2963</v>
      </c>
      <c r="B2258" s="6" t="s">
        <v>77</v>
      </c>
      <c r="C2258" s="6" t="s">
        <v>98</v>
      </c>
      <c r="D2258" s="6" t="s">
        <v>431</v>
      </c>
      <c r="E2258" s="6" t="s">
        <v>432</v>
      </c>
      <c r="F2258" s="6" t="s">
        <v>2968</v>
      </c>
      <c r="G2258" s="6" t="s">
        <v>4066</v>
      </c>
      <c r="H2258" s="6" t="s">
        <v>5035</v>
      </c>
      <c r="I2258" s="6" t="n">
        <v>1</v>
      </c>
      <c r="J2258" s="6" t="s">
        <v>3692</v>
      </c>
      <c r="K2258" s="6"/>
      <c r="L2258" s="7"/>
      <c r="M2258" s="7"/>
    </row>
    <row r="2259" customFormat="false" ht="23.85" hidden="false" customHeight="false" outlineLevel="0" collapsed="false">
      <c r="A2259" s="6" t="s">
        <v>2963</v>
      </c>
      <c r="B2259" s="6" t="s">
        <v>77</v>
      </c>
      <c r="C2259" s="6" t="s">
        <v>98</v>
      </c>
      <c r="D2259" s="6" t="s">
        <v>431</v>
      </c>
      <c r="E2259" s="6" t="s">
        <v>432</v>
      </c>
      <c r="F2259" s="6" t="s">
        <v>2968</v>
      </c>
      <c r="G2259" s="6" t="s">
        <v>4060</v>
      </c>
      <c r="H2259" s="6" t="s">
        <v>5036</v>
      </c>
      <c r="I2259" s="6" t="n">
        <v>2</v>
      </c>
      <c r="J2259" s="6" t="s">
        <v>3695</v>
      </c>
      <c r="K2259" s="6"/>
      <c r="L2259" s="7"/>
      <c r="M2259" s="7"/>
    </row>
    <row r="2260" customFormat="false" ht="23.85" hidden="false" customHeight="false" outlineLevel="0" collapsed="false">
      <c r="A2260" s="6" t="s">
        <v>2963</v>
      </c>
      <c r="B2260" s="6" t="s">
        <v>77</v>
      </c>
      <c r="C2260" s="6" t="s">
        <v>98</v>
      </c>
      <c r="D2260" s="6" t="s">
        <v>431</v>
      </c>
      <c r="E2260" s="6" t="s">
        <v>432</v>
      </c>
      <c r="F2260" s="6" t="s">
        <v>2968</v>
      </c>
      <c r="G2260" s="6" t="s">
        <v>5037</v>
      </c>
      <c r="H2260" s="6" t="s">
        <v>5038</v>
      </c>
      <c r="I2260" s="6" t="n">
        <v>3</v>
      </c>
      <c r="J2260" s="6" t="s">
        <v>3698</v>
      </c>
      <c r="K2260" s="6"/>
      <c r="L2260" s="7"/>
      <c r="M2260" s="7"/>
    </row>
    <row r="2261" customFormat="false" ht="23.85" hidden="false" customHeight="false" outlineLevel="0" collapsed="false">
      <c r="A2261" s="6" t="s">
        <v>2963</v>
      </c>
      <c r="B2261" s="6" t="s">
        <v>77</v>
      </c>
      <c r="C2261" s="6" t="s">
        <v>98</v>
      </c>
      <c r="D2261" s="6" t="s">
        <v>431</v>
      </c>
      <c r="E2261" s="6" t="s">
        <v>432</v>
      </c>
      <c r="F2261" s="6" t="s">
        <v>2968</v>
      </c>
      <c r="G2261" s="6" t="s">
        <v>5039</v>
      </c>
      <c r="H2261" s="6" t="s">
        <v>5040</v>
      </c>
      <c r="I2261" s="6" t="n">
        <v>4</v>
      </c>
      <c r="J2261" s="6" t="s">
        <v>3701</v>
      </c>
      <c r="K2261" s="6"/>
      <c r="L2261" s="7"/>
      <c r="M2261" s="7"/>
    </row>
    <row r="2262" customFormat="false" ht="15" hidden="false" customHeight="false" outlineLevel="0" collapsed="false">
      <c r="A2262" s="6" t="s">
        <v>2972</v>
      </c>
      <c r="B2262" s="6" t="s">
        <v>77</v>
      </c>
      <c r="C2262" s="6" t="s">
        <v>165</v>
      </c>
      <c r="D2262" s="6" t="s">
        <v>491</v>
      </c>
      <c r="E2262" s="6" t="s">
        <v>5041</v>
      </c>
      <c r="F2262" s="6" t="s">
        <v>2976</v>
      </c>
      <c r="G2262" s="6"/>
      <c r="H2262" s="6" t="s">
        <v>5042</v>
      </c>
      <c r="I2262" s="6"/>
      <c r="J2262" s="6" t="s">
        <v>83</v>
      </c>
      <c r="K2262" s="6" t="s">
        <v>5043</v>
      </c>
      <c r="L2262" s="7"/>
      <c r="M2262" s="7"/>
    </row>
    <row r="2263" customFormat="false" ht="15" hidden="false" customHeight="false" outlineLevel="0" collapsed="false">
      <c r="A2263" s="6" t="s">
        <v>2972</v>
      </c>
      <c r="B2263" s="6" t="s">
        <v>77</v>
      </c>
      <c r="C2263" s="6" t="s">
        <v>165</v>
      </c>
      <c r="D2263" s="6" t="s">
        <v>491</v>
      </c>
      <c r="E2263" s="6" t="s">
        <v>5044</v>
      </c>
      <c r="F2263" s="6" t="s">
        <v>2976</v>
      </c>
      <c r="G2263" s="6"/>
      <c r="H2263" s="6" t="s">
        <v>5045</v>
      </c>
      <c r="I2263" s="6"/>
      <c r="J2263" s="6" t="s">
        <v>83</v>
      </c>
      <c r="K2263" s="6" t="s">
        <v>5046</v>
      </c>
      <c r="L2263" s="7"/>
      <c r="M2263" s="7"/>
    </row>
    <row r="2264" customFormat="false" ht="15" hidden="false" customHeight="false" outlineLevel="0" collapsed="false">
      <c r="A2264" s="6" t="s">
        <v>2972</v>
      </c>
      <c r="B2264" s="6" t="s">
        <v>77</v>
      </c>
      <c r="C2264" s="6" t="s">
        <v>165</v>
      </c>
      <c r="D2264" s="6" t="s">
        <v>491</v>
      </c>
      <c r="E2264" s="6" t="s">
        <v>5047</v>
      </c>
      <c r="F2264" s="6" t="s">
        <v>2976</v>
      </c>
      <c r="G2264" s="6"/>
      <c r="H2264" s="6" t="s">
        <v>5048</v>
      </c>
      <c r="I2264" s="6"/>
      <c r="J2264" s="6" t="s">
        <v>83</v>
      </c>
      <c r="K2264" s="6" t="s">
        <v>5049</v>
      </c>
      <c r="L2264" s="7"/>
      <c r="M2264" s="7"/>
    </row>
    <row r="2265" customFormat="false" ht="23.85" hidden="false" customHeight="false" outlineLevel="0" collapsed="false">
      <c r="A2265" s="6" t="s">
        <v>2980</v>
      </c>
      <c r="B2265" s="6" t="s">
        <v>110</v>
      </c>
      <c r="C2265" s="6" t="s">
        <v>98</v>
      </c>
      <c r="D2265" s="6" t="s">
        <v>452</v>
      </c>
      <c r="E2265" s="6"/>
      <c r="F2265" s="6" t="s">
        <v>2984</v>
      </c>
      <c r="G2265" s="6" t="s">
        <v>3651</v>
      </c>
      <c r="H2265" s="6" t="s">
        <v>5050</v>
      </c>
      <c r="I2265" s="6" t="n">
        <v>25</v>
      </c>
      <c r="J2265" s="6" t="s">
        <v>83</v>
      </c>
      <c r="K2265" s="6" t="s">
        <v>5051</v>
      </c>
      <c r="L2265" s="7"/>
      <c r="M2265" s="7"/>
    </row>
    <row r="2266" customFormat="false" ht="23.85" hidden="false" customHeight="false" outlineLevel="0" collapsed="false">
      <c r="A2266" s="6" t="s">
        <v>2980</v>
      </c>
      <c r="B2266" s="6" t="s">
        <v>110</v>
      </c>
      <c r="C2266" s="6" t="s">
        <v>98</v>
      </c>
      <c r="D2266" s="6" t="s">
        <v>452</v>
      </c>
      <c r="E2266" s="6"/>
      <c r="F2266" s="6" t="s">
        <v>2984</v>
      </c>
      <c r="G2266" s="6" t="s">
        <v>3654</v>
      </c>
      <c r="H2266" s="6" t="s">
        <v>5052</v>
      </c>
      <c r="I2266" s="6" t="n">
        <v>25</v>
      </c>
      <c r="J2266" s="6" t="s">
        <v>83</v>
      </c>
      <c r="K2266" s="6" t="s">
        <v>5053</v>
      </c>
      <c r="L2266" s="7"/>
      <c r="M2266" s="7"/>
    </row>
    <row r="2267" customFormat="false" ht="23.85" hidden="false" customHeight="false" outlineLevel="0" collapsed="false">
      <c r="A2267" s="6" t="s">
        <v>2980</v>
      </c>
      <c r="B2267" s="6" t="s">
        <v>110</v>
      </c>
      <c r="C2267" s="6" t="s">
        <v>98</v>
      </c>
      <c r="D2267" s="6" t="s">
        <v>452</v>
      </c>
      <c r="E2267" s="6"/>
      <c r="F2267" s="6" t="s">
        <v>2984</v>
      </c>
      <c r="G2267" s="6" t="s">
        <v>3657</v>
      </c>
      <c r="H2267" s="6" t="s">
        <v>5054</v>
      </c>
      <c r="I2267" s="6" t="n">
        <v>25</v>
      </c>
      <c r="J2267" s="6" t="s">
        <v>83</v>
      </c>
      <c r="K2267" s="6" t="s">
        <v>5055</v>
      </c>
      <c r="L2267" s="7"/>
      <c r="M2267" s="7"/>
    </row>
    <row r="2268" customFormat="false" ht="23.85" hidden="false" customHeight="false" outlineLevel="0" collapsed="false">
      <c r="A2268" s="6" t="s">
        <v>2980</v>
      </c>
      <c r="B2268" s="6" t="s">
        <v>110</v>
      </c>
      <c r="C2268" s="6" t="s">
        <v>98</v>
      </c>
      <c r="D2268" s="6" t="s">
        <v>452</v>
      </c>
      <c r="E2268" s="6"/>
      <c r="F2268" s="6" t="s">
        <v>2984</v>
      </c>
      <c r="G2268" s="6" t="s">
        <v>3660</v>
      </c>
      <c r="H2268" s="6" t="s">
        <v>5056</v>
      </c>
      <c r="I2268" s="6" t="n">
        <v>25</v>
      </c>
      <c r="J2268" s="6" t="s">
        <v>83</v>
      </c>
      <c r="K2268" s="6" t="s">
        <v>5057</v>
      </c>
      <c r="L2268" s="7"/>
      <c r="M2268" s="7"/>
    </row>
    <row r="2269" customFormat="false" ht="23.85" hidden="false" customHeight="false" outlineLevel="0" collapsed="false">
      <c r="A2269" s="6" t="s">
        <v>2980</v>
      </c>
      <c r="B2269" s="6" t="s">
        <v>110</v>
      </c>
      <c r="C2269" s="6" t="s">
        <v>98</v>
      </c>
      <c r="D2269" s="6" t="s">
        <v>452</v>
      </c>
      <c r="E2269" s="6"/>
      <c r="F2269" s="6" t="s">
        <v>2984</v>
      </c>
      <c r="G2269" s="6" t="s">
        <v>3687</v>
      </c>
      <c r="H2269" s="6" t="s">
        <v>5058</v>
      </c>
      <c r="I2269" s="6" t="n">
        <v>0</v>
      </c>
      <c r="J2269" s="6"/>
      <c r="K2269" s="6" t="s">
        <v>5059</v>
      </c>
      <c r="L2269" s="7"/>
      <c r="M2269" s="7"/>
    </row>
    <row r="2270" customFormat="false" ht="23.85" hidden="false" customHeight="false" outlineLevel="0" collapsed="false">
      <c r="A2270" s="6" t="s">
        <v>2987</v>
      </c>
      <c r="B2270" s="6" t="s">
        <v>132</v>
      </c>
      <c r="C2270" s="6" t="s">
        <v>79</v>
      </c>
      <c r="D2270" s="6" t="s">
        <v>2725</v>
      </c>
      <c r="E2270" s="6"/>
      <c r="F2270" s="6" t="s">
        <v>2989</v>
      </c>
      <c r="G2270" s="6" t="s">
        <v>3651</v>
      </c>
      <c r="H2270" s="6" t="s">
        <v>5060</v>
      </c>
      <c r="I2270" s="6" t="n">
        <v>98</v>
      </c>
      <c r="J2270" s="6" t="s">
        <v>83</v>
      </c>
      <c r="K2270" s="6" t="s">
        <v>5061</v>
      </c>
      <c r="L2270" s="7"/>
      <c r="M2270" s="7"/>
    </row>
    <row r="2271" customFormat="false" ht="15" hidden="false" customHeight="false" outlineLevel="0" collapsed="false">
      <c r="A2271" s="6" t="s">
        <v>2987</v>
      </c>
      <c r="B2271" s="6" t="s">
        <v>132</v>
      </c>
      <c r="C2271" s="6" t="s">
        <v>79</v>
      </c>
      <c r="D2271" s="6" t="s">
        <v>2725</v>
      </c>
      <c r="E2271" s="6"/>
      <c r="F2271" s="6" t="s">
        <v>2989</v>
      </c>
      <c r="G2271" s="6" t="s">
        <v>3654</v>
      </c>
      <c r="H2271" s="6" t="s">
        <v>5062</v>
      </c>
      <c r="I2271" s="6" t="n">
        <v>20</v>
      </c>
      <c r="J2271" s="6"/>
      <c r="K2271" s="6" t="s">
        <v>5063</v>
      </c>
      <c r="L2271" s="7"/>
      <c r="M2271" s="7"/>
    </row>
    <row r="2272" customFormat="false" ht="15" hidden="false" customHeight="false" outlineLevel="0" collapsed="false">
      <c r="A2272" s="6" t="s">
        <v>2987</v>
      </c>
      <c r="B2272" s="6" t="s">
        <v>132</v>
      </c>
      <c r="C2272" s="6" t="s">
        <v>79</v>
      </c>
      <c r="D2272" s="6" t="s">
        <v>2725</v>
      </c>
      <c r="E2272" s="6"/>
      <c r="F2272" s="6" t="s">
        <v>2989</v>
      </c>
      <c r="G2272" s="6" t="s">
        <v>3657</v>
      </c>
      <c r="H2272" s="6" t="s">
        <v>5064</v>
      </c>
      <c r="I2272" s="6" t="n">
        <v>5</v>
      </c>
      <c r="J2272" s="6"/>
      <c r="K2272" s="6" t="s">
        <v>5065</v>
      </c>
      <c r="L2272" s="7"/>
      <c r="M2272" s="7"/>
    </row>
    <row r="2273" customFormat="false" ht="15" hidden="false" customHeight="false" outlineLevel="0" collapsed="false">
      <c r="A2273" s="6" t="s">
        <v>2987</v>
      </c>
      <c r="B2273" s="6" t="s">
        <v>132</v>
      </c>
      <c r="C2273" s="6" t="s">
        <v>79</v>
      </c>
      <c r="D2273" s="6" t="s">
        <v>2725</v>
      </c>
      <c r="E2273" s="6"/>
      <c r="F2273" s="6" t="s">
        <v>2989</v>
      </c>
      <c r="G2273" s="6" t="s">
        <v>3660</v>
      </c>
      <c r="H2273" s="6" t="s">
        <v>5066</v>
      </c>
      <c r="I2273" s="6" t="n">
        <v>10</v>
      </c>
      <c r="J2273" s="6"/>
      <c r="K2273" s="6" t="s">
        <v>5067</v>
      </c>
      <c r="L2273" s="7"/>
      <c r="M2273" s="7"/>
    </row>
    <row r="2274" customFormat="false" ht="23.85" hidden="false" customHeight="false" outlineLevel="0" collapsed="false">
      <c r="A2274" s="6" t="s">
        <v>2993</v>
      </c>
      <c r="B2274" s="6" t="s">
        <v>145</v>
      </c>
      <c r="C2274" s="6" t="s">
        <v>98</v>
      </c>
      <c r="D2274" s="6" t="s">
        <v>408</v>
      </c>
      <c r="E2274" s="6"/>
      <c r="F2274" s="6" t="s">
        <v>2997</v>
      </c>
      <c r="G2274" s="6" t="s">
        <v>3651</v>
      </c>
      <c r="H2274" s="6" t="s">
        <v>5068</v>
      </c>
      <c r="I2274" s="6" t="n">
        <v>98</v>
      </c>
      <c r="J2274" s="6" t="s">
        <v>83</v>
      </c>
      <c r="K2274" s="6" t="s">
        <v>5069</v>
      </c>
      <c r="L2274" s="7"/>
      <c r="M2274" s="7"/>
    </row>
    <row r="2275" customFormat="false" ht="15" hidden="false" customHeight="false" outlineLevel="0" collapsed="false">
      <c r="A2275" s="6" t="s">
        <v>2993</v>
      </c>
      <c r="B2275" s="6" t="s">
        <v>145</v>
      </c>
      <c r="C2275" s="6" t="s">
        <v>98</v>
      </c>
      <c r="D2275" s="6" t="s">
        <v>408</v>
      </c>
      <c r="E2275" s="6"/>
      <c r="F2275" s="6" t="s">
        <v>2997</v>
      </c>
      <c r="G2275" s="6" t="s">
        <v>3654</v>
      </c>
      <c r="H2275" s="6" t="s">
        <v>5070</v>
      </c>
      <c r="I2275" s="6" t="n">
        <v>15</v>
      </c>
      <c r="J2275" s="6"/>
      <c r="K2275" s="6" t="s">
        <v>5071</v>
      </c>
      <c r="L2275" s="7"/>
      <c r="M2275" s="7"/>
    </row>
    <row r="2276" customFormat="false" ht="15" hidden="false" customHeight="false" outlineLevel="0" collapsed="false">
      <c r="A2276" s="6" t="s">
        <v>2993</v>
      </c>
      <c r="B2276" s="6" t="s">
        <v>145</v>
      </c>
      <c r="C2276" s="6" t="s">
        <v>98</v>
      </c>
      <c r="D2276" s="6" t="s">
        <v>408</v>
      </c>
      <c r="E2276" s="6"/>
      <c r="F2276" s="6" t="s">
        <v>2997</v>
      </c>
      <c r="G2276" s="6" t="s">
        <v>3657</v>
      </c>
      <c r="H2276" s="6" t="s">
        <v>5072</v>
      </c>
      <c r="I2276" s="6" t="n">
        <v>30</v>
      </c>
      <c r="J2276" s="6"/>
      <c r="K2276" s="6" t="s">
        <v>5073</v>
      </c>
      <c r="L2276" s="7"/>
      <c r="M2276" s="7"/>
    </row>
    <row r="2277" customFormat="false" ht="15" hidden="false" customHeight="false" outlineLevel="0" collapsed="false">
      <c r="A2277" s="6" t="s">
        <v>2993</v>
      </c>
      <c r="B2277" s="6" t="s">
        <v>145</v>
      </c>
      <c r="C2277" s="6" t="s">
        <v>98</v>
      </c>
      <c r="D2277" s="6" t="s">
        <v>408</v>
      </c>
      <c r="E2277" s="6"/>
      <c r="F2277" s="6" t="s">
        <v>2997</v>
      </c>
      <c r="G2277" s="6" t="s">
        <v>3660</v>
      </c>
      <c r="H2277" s="6" t="s">
        <v>5074</v>
      </c>
      <c r="I2277" s="6" t="n">
        <v>5</v>
      </c>
      <c r="J2277" s="6"/>
      <c r="K2277" s="6" t="s">
        <v>5075</v>
      </c>
      <c r="L2277" s="7"/>
      <c r="M2277" s="7"/>
    </row>
    <row r="2278" customFormat="false" ht="23.85" hidden="false" customHeight="false" outlineLevel="0" collapsed="false">
      <c r="A2278" s="6" t="s">
        <v>3001</v>
      </c>
      <c r="B2278" s="6" t="s">
        <v>123</v>
      </c>
      <c r="C2278" s="6" t="s">
        <v>79</v>
      </c>
      <c r="D2278" s="6" t="s">
        <v>491</v>
      </c>
      <c r="E2278" s="6" t="s">
        <v>5076</v>
      </c>
      <c r="F2278" s="6" t="s">
        <v>3003</v>
      </c>
      <c r="G2278" s="6"/>
      <c r="H2278" s="6" t="s">
        <v>5077</v>
      </c>
      <c r="I2278" s="6"/>
      <c r="J2278" s="6" t="s">
        <v>83</v>
      </c>
      <c r="K2278" s="6" t="s">
        <v>5078</v>
      </c>
      <c r="L2278" s="7"/>
      <c r="M2278" s="7"/>
    </row>
    <row r="2279" customFormat="false" ht="23.85" hidden="false" customHeight="false" outlineLevel="0" collapsed="false">
      <c r="A2279" s="6" t="s">
        <v>3001</v>
      </c>
      <c r="B2279" s="6" t="s">
        <v>123</v>
      </c>
      <c r="C2279" s="6" t="s">
        <v>79</v>
      </c>
      <c r="D2279" s="6" t="s">
        <v>491</v>
      </c>
      <c r="E2279" s="6" t="s">
        <v>4109</v>
      </c>
      <c r="F2279" s="6" t="s">
        <v>3003</v>
      </c>
      <c r="G2279" s="6"/>
      <c r="H2279" s="6" t="s">
        <v>5079</v>
      </c>
      <c r="I2279" s="6"/>
      <c r="J2279" s="6" t="s">
        <v>83</v>
      </c>
      <c r="K2279" s="6" t="s">
        <v>5080</v>
      </c>
      <c r="L2279" s="7"/>
      <c r="M2279" s="7"/>
    </row>
    <row r="2280" customFormat="false" ht="23.85" hidden="false" customHeight="false" outlineLevel="0" collapsed="false">
      <c r="A2280" s="6" t="s">
        <v>3001</v>
      </c>
      <c r="B2280" s="6" t="s">
        <v>123</v>
      </c>
      <c r="C2280" s="6" t="s">
        <v>79</v>
      </c>
      <c r="D2280" s="6" t="s">
        <v>491</v>
      </c>
      <c r="E2280" s="6" t="s">
        <v>4115</v>
      </c>
      <c r="F2280" s="6" t="s">
        <v>3003</v>
      </c>
      <c r="G2280" s="6"/>
      <c r="H2280" s="6" t="s">
        <v>5081</v>
      </c>
      <c r="I2280" s="6"/>
      <c r="J2280" s="6" t="s">
        <v>83</v>
      </c>
      <c r="K2280" s="6" t="s">
        <v>5082</v>
      </c>
      <c r="L2280" s="7"/>
      <c r="M2280" s="7"/>
    </row>
    <row r="2281" customFormat="false" ht="23.85" hidden="false" customHeight="false" outlineLevel="0" collapsed="false">
      <c r="A2281" s="6" t="s">
        <v>3007</v>
      </c>
      <c r="B2281" s="6" t="s">
        <v>132</v>
      </c>
      <c r="C2281" s="6" t="s">
        <v>165</v>
      </c>
      <c r="D2281" s="6" t="s">
        <v>372</v>
      </c>
      <c r="E2281" s="6"/>
      <c r="F2281" s="6" t="s">
        <v>3011</v>
      </c>
      <c r="G2281" s="6" t="s">
        <v>3651</v>
      </c>
      <c r="H2281" s="6" t="s">
        <v>5083</v>
      </c>
      <c r="I2281" s="6" t="n">
        <v>98</v>
      </c>
      <c r="J2281" s="6" t="s">
        <v>83</v>
      </c>
      <c r="K2281" s="6" t="s">
        <v>5084</v>
      </c>
      <c r="L2281" s="7"/>
      <c r="M2281" s="7"/>
    </row>
    <row r="2282" customFormat="false" ht="15" hidden="false" customHeight="false" outlineLevel="0" collapsed="false">
      <c r="A2282" s="6" t="s">
        <v>3007</v>
      </c>
      <c r="B2282" s="6" t="s">
        <v>132</v>
      </c>
      <c r="C2282" s="6" t="s">
        <v>165</v>
      </c>
      <c r="D2282" s="6" t="s">
        <v>372</v>
      </c>
      <c r="E2282" s="6"/>
      <c r="F2282" s="6" t="s">
        <v>3011</v>
      </c>
      <c r="G2282" s="6" t="s">
        <v>3654</v>
      </c>
      <c r="H2282" s="6" t="s">
        <v>5085</v>
      </c>
      <c r="I2282" s="6" t="n">
        <v>25</v>
      </c>
      <c r="J2282" s="6"/>
      <c r="K2282" s="6" t="s">
        <v>5086</v>
      </c>
      <c r="L2282" s="7"/>
      <c r="M2282" s="7"/>
    </row>
    <row r="2283" customFormat="false" ht="23.85" hidden="false" customHeight="false" outlineLevel="0" collapsed="false">
      <c r="A2283" s="6" t="s">
        <v>3007</v>
      </c>
      <c r="B2283" s="6" t="s">
        <v>132</v>
      </c>
      <c r="C2283" s="6" t="s">
        <v>165</v>
      </c>
      <c r="D2283" s="6" t="s">
        <v>372</v>
      </c>
      <c r="E2283" s="6"/>
      <c r="F2283" s="6" t="s">
        <v>3011</v>
      </c>
      <c r="G2283" s="6" t="s">
        <v>3657</v>
      </c>
      <c r="H2283" s="6" t="s">
        <v>5087</v>
      </c>
      <c r="I2283" s="6" t="n">
        <v>35</v>
      </c>
      <c r="J2283" s="6"/>
      <c r="K2283" s="6" t="s">
        <v>5088</v>
      </c>
      <c r="L2283" s="7"/>
      <c r="M2283" s="7"/>
    </row>
    <row r="2284" customFormat="false" ht="15" hidden="false" customHeight="false" outlineLevel="0" collapsed="false">
      <c r="A2284" s="6" t="s">
        <v>3007</v>
      </c>
      <c r="B2284" s="6" t="s">
        <v>132</v>
      </c>
      <c r="C2284" s="6" t="s">
        <v>165</v>
      </c>
      <c r="D2284" s="6" t="s">
        <v>372</v>
      </c>
      <c r="E2284" s="6"/>
      <c r="F2284" s="6" t="s">
        <v>3011</v>
      </c>
      <c r="G2284" s="6" t="s">
        <v>3660</v>
      </c>
      <c r="H2284" s="6" t="s">
        <v>5089</v>
      </c>
      <c r="I2284" s="6" t="n">
        <v>5</v>
      </c>
      <c r="J2284" s="6"/>
      <c r="K2284" s="6" t="s">
        <v>5090</v>
      </c>
      <c r="L2284" s="7"/>
      <c r="M2284" s="7"/>
    </row>
    <row r="2285" customFormat="false" ht="15" hidden="false" customHeight="false" outlineLevel="0" collapsed="false">
      <c r="A2285" s="6" t="s">
        <v>3015</v>
      </c>
      <c r="B2285" s="6" t="s">
        <v>96</v>
      </c>
      <c r="C2285" s="6" t="s">
        <v>165</v>
      </c>
      <c r="D2285" s="6" t="s">
        <v>372</v>
      </c>
      <c r="E2285" s="6"/>
      <c r="F2285" s="6" t="s">
        <v>3020</v>
      </c>
      <c r="G2285" s="6" t="s">
        <v>3651</v>
      </c>
      <c r="H2285" s="6" t="s">
        <v>5091</v>
      </c>
      <c r="I2285" s="6" t="n">
        <v>33</v>
      </c>
      <c r="J2285" s="6" t="s">
        <v>83</v>
      </c>
      <c r="K2285" s="6" t="s">
        <v>5092</v>
      </c>
      <c r="L2285" s="7"/>
      <c r="M2285" s="7"/>
    </row>
    <row r="2286" customFormat="false" ht="15" hidden="false" customHeight="false" outlineLevel="0" collapsed="false">
      <c r="A2286" s="6" t="s">
        <v>3015</v>
      </c>
      <c r="B2286" s="6" t="s">
        <v>96</v>
      </c>
      <c r="C2286" s="6" t="s">
        <v>165</v>
      </c>
      <c r="D2286" s="6" t="s">
        <v>372</v>
      </c>
      <c r="E2286" s="6"/>
      <c r="F2286" s="6" t="s">
        <v>3020</v>
      </c>
      <c r="G2286" s="6" t="s">
        <v>3654</v>
      </c>
      <c r="H2286" s="6" t="s">
        <v>5093</v>
      </c>
      <c r="I2286" s="6" t="n">
        <v>33</v>
      </c>
      <c r="J2286" s="6" t="s">
        <v>83</v>
      </c>
      <c r="K2286" s="6" t="s">
        <v>5094</v>
      </c>
      <c r="L2286" s="7"/>
      <c r="M2286" s="7"/>
    </row>
    <row r="2287" customFormat="false" ht="15" hidden="false" customHeight="false" outlineLevel="0" collapsed="false">
      <c r="A2287" s="6" t="s">
        <v>3015</v>
      </c>
      <c r="B2287" s="6" t="s">
        <v>96</v>
      </c>
      <c r="C2287" s="6" t="s">
        <v>165</v>
      </c>
      <c r="D2287" s="6" t="s">
        <v>372</v>
      </c>
      <c r="E2287" s="6"/>
      <c r="F2287" s="6" t="s">
        <v>3020</v>
      </c>
      <c r="G2287" s="6" t="s">
        <v>3657</v>
      </c>
      <c r="H2287" s="6" t="s">
        <v>5095</v>
      </c>
      <c r="I2287" s="6" t="n">
        <v>33</v>
      </c>
      <c r="J2287" s="6" t="s">
        <v>83</v>
      </c>
      <c r="K2287" s="6" t="s">
        <v>5096</v>
      </c>
      <c r="L2287" s="7"/>
      <c r="M2287" s="7"/>
    </row>
    <row r="2288" customFormat="false" ht="15" hidden="false" customHeight="false" outlineLevel="0" collapsed="false">
      <c r="A2288" s="6" t="s">
        <v>3015</v>
      </c>
      <c r="B2288" s="6" t="s">
        <v>96</v>
      </c>
      <c r="C2288" s="6" t="s">
        <v>165</v>
      </c>
      <c r="D2288" s="6" t="s">
        <v>372</v>
      </c>
      <c r="E2288" s="6"/>
      <c r="F2288" s="6" t="s">
        <v>3020</v>
      </c>
      <c r="G2288" s="6" t="s">
        <v>3660</v>
      </c>
      <c r="H2288" s="6" t="s">
        <v>5097</v>
      </c>
      <c r="I2288" s="6" t="n">
        <v>0</v>
      </c>
      <c r="J2288" s="6"/>
      <c r="K2288" s="6" t="s">
        <v>5098</v>
      </c>
      <c r="L2288" s="7"/>
      <c r="M2288" s="7"/>
    </row>
    <row r="2289" customFormat="false" ht="23.85" hidden="false" customHeight="false" outlineLevel="0" collapsed="false">
      <c r="A2289" s="6" t="s">
        <v>3031</v>
      </c>
      <c r="B2289" s="6" t="s">
        <v>123</v>
      </c>
      <c r="C2289" s="6" t="s">
        <v>165</v>
      </c>
      <c r="D2289" s="6" t="s">
        <v>491</v>
      </c>
      <c r="E2289" s="6" t="s">
        <v>5099</v>
      </c>
      <c r="F2289" s="6" t="s">
        <v>3036</v>
      </c>
      <c r="G2289" s="6"/>
      <c r="H2289" s="6" t="s">
        <v>5100</v>
      </c>
      <c r="I2289" s="6"/>
      <c r="J2289" s="6" t="s">
        <v>83</v>
      </c>
      <c r="K2289" s="6" t="s">
        <v>5101</v>
      </c>
      <c r="L2289" s="7"/>
      <c r="M2289" s="7"/>
    </row>
    <row r="2290" customFormat="false" ht="23.85" hidden="false" customHeight="false" outlineLevel="0" collapsed="false">
      <c r="A2290" s="6" t="s">
        <v>3031</v>
      </c>
      <c r="B2290" s="6" t="s">
        <v>123</v>
      </c>
      <c r="C2290" s="6" t="s">
        <v>165</v>
      </c>
      <c r="D2290" s="6" t="s">
        <v>491</v>
      </c>
      <c r="E2290" s="6" t="s">
        <v>4779</v>
      </c>
      <c r="F2290" s="6" t="s">
        <v>3036</v>
      </c>
      <c r="G2290" s="6"/>
      <c r="H2290" s="6" t="s">
        <v>5102</v>
      </c>
      <c r="I2290" s="6"/>
      <c r="J2290" s="6" t="s">
        <v>83</v>
      </c>
      <c r="K2290" s="6" t="s">
        <v>5103</v>
      </c>
      <c r="L2290" s="7"/>
      <c r="M2290" s="7"/>
    </row>
    <row r="2291" customFormat="false" ht="23.85" hidden="false" customHeight="false" outlineLevel="0" collapsed="false">
      <c r="A2291" s="6" t="s">
        <v>3031</v>
      </c>
      <c r="B2291" s="6" t="s">
        <v>123</v>
      </c>
      <c r="C2291" s="6" t="s">
        <v>165</v>
      </c>
      <c r="D2291" s="6" t="s">
        <v>491</v>
      </c>
      <c r="E2291" s="6" t="s">
        <v>4379</v>
      </c>
      <c r="F2291" s="6" t="s">
        <v>3036</v>
      </c>
      <c r="G2291" s="6"/>
      <c r="H2291" s="6" t="s">
        <v>5104</v>
      </c>
      <c r="I2291" s="6"/>
      <c r="J2291" s="6" t="s">
        <v>83</v>
      </c>
      <c r="K2291" s="6" t="s">
        <v>5105</v>
      </c>
      <c r="L2291" s="7"/>
      <c r="M2291" s="7"/>
    </row>
    <row r="2292" customFormat="false" ht="23.85" hidden="false" customHeight="false" outlineLevel="0" collapsed="false">
      <c r="A2292" s="6" t="s">
        <v>3040</v>
      </c>
      <c r="B2292" s="6" t="s">
        <v>123</v>
      </c>
      <c r="C2292" s="6" t="s">
        <v>98</v>
      </c>
      <c r="D2292" s="6" t="s">
        <v>1062</v>
      </c>
      <c r="E2292" s="6" t="s">
        <v>4095</v>
      </c>
      <c r="F2292" s="6" t="s">
        <v>5106</v>
      </c>
      <c r="G2292" s="6" t="s">
        <v>3651</v>
      </c>
      <c r="H2292" s="6" t="s">
        <v>5107</v>
      </c>
      <c r="I2292" s="6" t="n">
        <v>98</v>
      </c>
      <c r="J2292" s="6" t="s">
        <v>83</v>
      </c>
      <c r="K2292" s="6" t="s">
        <v>5108</v>
      </c>
      <c r="L2292" s="7"/>
      <c r="M2292" s="7"/>
    </row>
    <row r="2293" customFormat="false" ht="23.85" hidden="false" customHeight="false" outlineLevel="0" collapsed="false">
      <c r="A2293" s="6" t="s">
        <v>3040</v>
      </c>
      <c r="B2293" s="6" t="s">
        <v>123</v>
      </c>
      <c r="C2293" s="6" t="s">
        <v>98</v>
      </c>
      <c r="D2293" s="6" t="s">
        <v>1062</v>
      </c>
      <c r="E2293" s="6" t="s">
        <v>4095</v>
      </c>
      <c r="F2293" s="6" t="s">
        <v>5106</v>
      </c>
      <c r="G2293" s="6" t="s">
        <v>3654</v>
      </c>
      <c r="H2293" s="6" t="s">
        <v>5109</v>
      </c>
      <c r="I2293" s="6" t="n">
        <v>20</v>
      </c>
      <c r="J2293" s="6"/>
      <c r="K2293" s="6" t="s">
        <v>5110</v>
      </c>
      <c r="L2293" s="7"/>
      <c r="M2293" s="7"/>
    </row>
    <row r="2294" customFormat="false" ht="23.85" hidden="false" customHeight="false" outlineLevel="0" collapsed="false">
      <c r="A2294" s="6" t="s">
        <v>3040</v>
      </c>
      <c r="B2294" s="6" t="s">
        <v>123</v>
      </c>
      <c r="C2294" s="6" t="s">
        <v>98</v>
      </c>
      <c r="D2294" s="6" t="s">
        <v>1062</v>
      </c>
      <c r="E2294" s="6" t="s">
        <v>4095</v>
      </c>
      <c r="F2294" s="6" t="s">
        <v>5106</v>
      </c>
      <c r="G2294" s="6" t="s">
        <v>3657</v>
      </c>
      <c r="H2294" s="6" t="s">
        <v>5111</v>
      </c>
      <c r="I2294" s="6" t="n">
        <v>25</v>
      </c>
      <c r="J2294" s="6"/>
      <c r="K2294" s="6" t="s">
        <v>5112</v>
      </c>
      <c r="L2294" s="7"/>
      <c r="M2294" s="7"/>
    </row>
    <row r="2295" customFormat="false" ht="23.85" hidden="false" customHeight="false" outlineLevel="0" collapsed="false">
      <c r="A2295" s="6" t="s">
        <v>3040</v>
      </c>
      <c r="B2295" s="6" t="s">
        <v>123</v>
      </c>
      <c r="C2295" s="6" t="s">
        <v>98</v>
      </c>
      <c r="D2295" s="6" t="s">
        <v>1062</v>
      </c>
      <c r="E2295" s="6" t="s">
        <v>4098</v>
      </c>
      <c r="F2295" s="6" t="s">
        <v>5113</v>
      </c>
      <c r="G2295" s="6" t="s">
        <v>3651</v>
      </c>
      <c r="H2295" s="6" t="s">
        <v>5114</v>
      </c>
      <c r="I2295" s="6" t="n">
        <v>25</v>
      </c>
      <c r="J2295" s="6"/>
      <c r="K2295" s="6" t="s">
        <v>5115</v>
      </c>
      <c r="L2295" s="7"/>
      <c r="M2295" s="7"/>
    </row>
    <row r="2296" customFormat="false" ht="23.85" hidden="false" customHeight="false" outlineLevel="0" collapsed="false">
      <c r="A2296" s="6" t="s">
        <v>3040</v>
      </c>
      <c r="B2296" s="6" t="s">
        <v>123</v>
      </c>
      <c r="C2296" s="6" t="s">
        <v>98</v>
      </c>
      <c r="D2296" s="6" t="s">
        <v>1062</v>
      </c>
      <c r="E2296" s="6" t="s">
        <v>4098</v>
      </c>
      <c r="F2296" s="6" t="s">
        <v>5113</v>
      </c>
      <c r="G2296" s="6" t="s">
        <v>3654</v>
      </c>
      <c r="H2296" s="6" t="s">
        <v>5116</v>
      </c>
      <c r="I2296" s="6" t="n">
        <v>98</v>
      </c>
      <c r="J2296" s="6" t="s">
        <v>83</v>
      </c>
      <c r="K2296" s="6" t="s">
        <v>5117</v>
      </c>
      <c r="L2296" s="7"/>
      <c r="M2296" s="7"/>
    </row>
    <row r="2297" customFormat="false" ht="23.85" hidden="false" customHeight="false" outlineLevel="0" collapsed="false">
      <c r="A2297" s="6" t="s">
        <v>3040</v>
      </c>
      <c r="B2297" s="6" t="s">
        <v>123</v>
      </c>
      <c r="C2297" s="6" t="s">
        <v>98</v>
      </c>
      <c r="D2297" s="6" t="s">
        <v>1062</v>
      </c>
      <c r="E2297" s="6" t="s">
        <v>4098</v>
      </c>
      <c r="F2297" s="6" t="s">
        <v>5113</v>
      </c>
      <c r="G2297" s="6" t="s">
        <v>3657</v>
      </c>
      <c r="H2297" s="6" t="s">
        <v>5118</v>
      </c>
      <c r="I2297" s="6" t="n">
        <v>35</v>
      </c>
      <c r="J2297" s="6"/>
      <c r="K2297" s="6" t="s">
        <v>5119</v>
      </c>
      <c r="L2297" s="7"/>
      <c r="M2297" s="7"/>
    </row>
    <row r="2298" customFormat="false" ht="23.85" hidden="false" customHeight="false" outlineLevel="0" collapsed="false">
      <c r="A2298" s="6" t="s">
        <v>3040</v>
      </c>
      <c r="B2298" s="6" t="s">
        <v>123</v>
      </c>
      <c r="C2298" s="6" t="s">
        <v>98</v>
      </c>
      <c r="D2298" s="6" t="s">
        <v>1062</v>
      </c>
      <c r="E2298" s="6" t="s">
        <v>5120</v>
      </c>
      <c r="F2298" s="6" t="s">
        <v>5121</v>
      </c>
      <c r="G2298" s="6" t="s">
        <v>3651</v>
      </c>
      <c r="H2298" s="6" t="s">
        <v>5122</v>
      </c>
      <c r="I2298" s="6" t="n">
        <v>35</v>
      </c>
      <c r="J2298" s="6"/>
      <c r="K2298" s="6" t="s">
        <v>5123</v>
      </c>
      <c r="L2298" s="7"/>
      <c r="M2298" s="7"/>
    </row>
    <row r="2299" customFormat="false" ht="23.85" hidden="false" customHeight="false" outlineLevel="0" collapsed="false">
      <c r="A2299" s="6" t="s">
        <v>3040</v>
      </c>
      <c r="B2299" s="6" t="s">
        <v>123</v>
      </c>
      <c r="C2299" s="6" t="s">
        <v>98</v>
      </c>
      <c r="D2299" s="6" t="s">
        <v>1062</v>
      </c>
      <c r="E2299" s="6" t="s">
        <v>5120</v>
      </c>
      <c r="F2299" s="6" t="s">
        <v>5121</v>
      </c>
      <c r="G2299" s="6" t="s">
        <v>3654</v>
      </c>
      <c r="H2299" s="6" t="s">
        <v>5124</v>
      </c>
      <c r="I2299" s="6" t="n">
        <v>15</v>
      </c>
      <c r="J2299" s="6"/>
      <c r="K2299" s="6" t="s">
        <v>5125</v>
      </c>
      <c r="L2299" s="7"/>
      <c r="M2299" s="7"/>
    </row>
    <row r="2300" customFormat="false" ht="23.85" hidden="false" customHeight="false" outlineLevel="0" collapsed="false">
      <c r="A2300" s="6" t="s">
        <v>3040</v>
      </c>
      <c r="B2300" s="6" t="s">
        <v>123</v>
      </c>
      <c r="C2300" s="6" t="s">
        <v>98</v>
      </c>
      <c r="D2300" s="6" t="s">
        <v>1062</v>
      </c>
      <c r="E2300" s="6" t="s">
        <v>5120</v>
      </c>
      <c r="F2300" s="6" t="s">
        <v>5121</v>
      </c>
      <c r="G2300" s="6" t="s">
        <v>3657</v>
      </c>
      <c r="H2300" s="6" t="s">
        <v>5126</v>
      </c>
      <c r="I2300" s="6" t="n">
        <v>98</v>
      </c>
      <c r="J2300" s="6" t="s">
        <v>83</v>
      </c>
      <c r="K2300" s="6" t="s">
        <v>5127</v>
      </c>
      <c r="L2300" s="7"/>
      <c r="M2300" s="7"/>
    </row>
    <row r="2301" customFormat="false" ht="23.85" hidden="false" customHeight="false" outlineLevel="0" collapsed="false">
      <c r="A2301" s="6" t="s">
        <v>3049</v>
      </c>
      <c r="B2301" s="6" t="s">
        <v>77</v>
      </c>
      <c r="C2301" s="6" t="s">
        <v>165</v>
      </c>
      <c r="D2301" s="6" t="s">
        <v>1062</v>
      </c>
      <c r="E2301" s="6" t="s">
        <v>3780</v>
      </c>
      <c r="F2301" s="6" t="s">
        <v>5128</v>
      </c>
      <c r="G2301" s="6" t="s">
        <v>3651</v>
      </c>
      <c r="H2301" s="6" t="s">
        <v>5129</v>
      </c>
      <c r="I2301" s="6" t="n">
        <v>98</v>
      </c>
      <c r="J2301" s="6" t="s">
        <v>83</v>
      </c>
      <c r="K2301" s="6" t="s">
        <v>5130</v>
      </c>
      <c r="L2301" s="7"/>
      <c r="M2301" s="7"/>
    </row>
    <row r="2302" customFormat="false" ht="23.85" hidden="false" customHeight="false" outlineLevel="0" collapsed="false">
      <c r="A2302" s="6" t="s">
        <v>3049</v>
      </c>
      <c r="B2302" s="6" t="s">
        <v>77</v>
      </c>
      <c r="C2302" s="6" t="s">
        <v>165</v>
      </c>
      <c r="D2302" s="6" t="s">
        <v>1062</v>
      </c>
      <c r="E2302" s="6" t="s">
        <v>3780</v>
      </c>
      <c r="F2302" s="6" t="s">
        <v>5128</v>
      </c>
      <c r="G2302" s="6" t="s">
        <v>3654</v>
      </c>
      <c r="H2302" s="6" t="s">
        <v>5131</v>
      </c>
      <c r="I2302" s="6" t="n">
        <v>30</v>
      </c>
      <c r="J2302" s="6"/>
      <c r="K2302" s="6" t="s">
        <v>5132</v>
      </c>
      <c r="L2302" s="7"/>
      <c r="M2302" s="7"/>
    </row>
    <row r="2303" customFormat="false" ht="23.85" hidden="false" customHeight="false" outlineLevel="0" collapsed="false">
      <c r="A2303" s="6" t="s">
        <v>3049</v>
      </c>
      <c r="B2303" s="6" t="s">
        <v>77</v>
      </c>
      <c r="C2303" s="6" t="s">
        <v>165</v>
      </c>
      <c r="D2303" s="6" t="s">
        <v>1062</v>
      </c>
      <c r="E2303" s="6" t="s">
        <v>3780</v>
      </c>
      <c r="F2303" s="6" t="s">
        <v>5128</v>
      </c>
      <c r="G2303" s="6" t="s">
        <v>3657</v>
      </c>
      <c r="H2303" s="6" t="s">
        <v>5133</v>
      </c>
      <c r="I2303" s="6" t="n">
        <v>35</v>
      </c>
      <c r="J2303" s="6"/>
      <c r="K2303" s="6" t="s">
        <v>5134</v>
      </c>
      <c r="L2303" s="7"/>
      <c r="M2303" s="7"/>
    </row>
    <row r="2304" customFormat="false" ht="23.85" hidden="false" customHeight="false" outlineLevel="0" collapsed="false">
      <c r="A2304" s="6" t="s">
        <v>3049</v>
      </c>
      <c r="B2304" s="6" t="s">
        <v>77</v>
      </c>
      <c r="C2304" s="6" t="s">
        <v>165</v>
      </c>
      <c r="D2304" s="6" t="s">
        <v>1062</v>
      </c>
      <c r="E2304" s="6" t="s">
        <v>4711</v>
      </c>
      <c r="F2304" s="6" t="s">
        <v>5135</v>
      </c>
      <c r="G2304" s="6" t="s">
        <v>3651</v>
      </c>
      <c r="H2304" s="6" t="s">
        <v>5136</v>
      </c>
      <c r="I2304" s="6" t="n">
        <v>15</v>
      </c>
      <c r="J2304" s="6"/>
      <c r="K2304" s="6" t="s">
        <v>5137</v>
      </c>
      <c r="L2304" s="7"/>
      <c r="M2304" s="7"/>
    </row>
    <row r="2305" customFormat="false" ht="23.85" hidden="false" customHeight="false" outlineLevel="0" collapsed="false">
      <c r="A2305" s="6" t="s">
        <v>3049</v>
      </c>
      <c r="B2305" s="6" t="s">
        <v>77</v>
      </c>
      <c r="C2305" s="6" t="s">
        <v>165</v>
      </c>
      <c r="D2305" s="6" t="s">
        <v>1062</v>
      </c>
      <c r="E2305" s="6" t="s">
        <v>4711</v>
      </c>
      <c r="F2305" s="6" t="s">
        <v>5135</v>
      </c>
      <c r="G2305" s="6" t="s">
        <v>3654</v>
      </c>
      <c r="H2305" s="6" t="s">
        <v>5138</v>
      </c>
      <c r="I2305" s="6" t="n">
        <v>98</v>
      </c>
      <c r="J2305" s="6" t="s">
        <v>83</v>
      </c>
      <c r="K2305" s="6" t="s">
        <v>5139</v>
      </c>
      <c r="L2305" s="7"/>
      <c r="M2305" s="7"/>
    </row>
    <row r="2306" customFormat="false" ht="23.85" hidden="false" customHeight="false" outlineLevel="0" collapsed="false">
      <c r="A2306" s="6" t="s">
        <v>3049</v>
      </c>
      <c r="B2306" s="6" t="s">
        <v>77</v>
      </c>
      <c r="C2306" s="6" t="s">
        <v>165</v>
      </c>
      <c r="D2306" s="6" t="s">
        <v>1062</v>
      </c>
      <c r="E2306" s="6" t="s">
        <v>4711</v>
      </c>
      <c r="F2306" s="6" t="s">
        <v>5135</v>
      </c>
      <c r="G2306" s="6" t="s">
        <v>3657</v>
      </c>
      <c r="H2306" s="6" t="s">
        <v>5140</v>
      </c>
      <c r="I2306" s="6" t="n">
        <v>25</v>
      </c>
      <c r="J2306" s="6"/>
      <c r="K2306" s="6" t="s">
        <v>5141</v>
      </c>
      <c r="L2306" s="7"/>
      <c r="M2306" s="7"/>
    </row>
    <row r="2307" customFormat="false" ht="23.85" hidden="false" customHeight="false" outlineLevel="0" collapsed="false">
      <c r="A2307" s="6" t="s">
        <v>3049</v>
      </c>
      <c r="B2307" s="6" t="s">
        <v>77</v>
      </c>
      <c r="C2307" s="6" t="s">
        <v>165</v>
      </c>
      <c r="D2307" s="6" t="s">
        <v>1062</v>
      </c>
      <c r="E2307" s="6" t="s">
        <v>4103</v>
      </c>
      <c r="F2307" s="6" t="s">
        <v>5142</v>
      </c>
      <c r="G2307" s="6" t="s">
        <v>3651</v>
      </c>
      <c r="H2307" s="6" t="s">
        <v>5143</v>
      </c>
      <c r="I2307" s="6" t="n">
        <v>20</v>
      </c>
      <c r="J2307" s="6"/>
      <c r="K2307" s="6" t="s">
        <v>5144</v>
      </c>
      <c r="L2307" s="7"/>
      <c r="M2307" s="7"/>
    </row>
    <row r="2308" customFormat="false" ht="23.85" hidden="false" customHeight="false" outlineLevel="0" collapsed="false">
      <c r="A2308" s="6" t="s">
        <v>3049</v>
      </c>
      <c r="B2308" s="6" t="s">
        <v>77</v>
      </c>
      <c r="C2308" s="6" t="s">
        <v>165</v>
      </c>
      <c r="D2308" s="6" t="s">
        <v>1062</v>
      </c>
      <c r="E2308" s="6" t="s">
        <v>4103</v>
      </c>
      <c r="F2308" s="6" t="s">
        <v>5142</v>
      </c>
      <c r="G2308" s="6" t="s">
        <v>3654</v>
      </c>
      <c r="H2308" s="6" t="s">
        <v>5145</v>
      </c>
      <c r="I2308" s="6" t="n">
        <v>40</v>
      </c>
      <c r="J2308" s="6"/>
      <c r="K2308" s="6" t="s">
        <v>5146</v>
      </c>
      <c r="L2308" s="7"/>
      <c r="M2308" s="7"/>
    </row>
    <row r="2309" customFormat="false" ht="23.85" hidden="false" customHeight="false" outlineLevel="0" collapsed="false">
      <c r="A2309" s="6" t="s">
        <v>3049</v>
      </c>
      <c r="B2309" s="6" t="s">
        <v>77</v>
      </c>
      <c r="C2309" s="6" t="s">
        <v>165</v>
      </c>
      <c r="D2309" s="6" t="s">
        <v>1062</v>
      </c>
      <c r="E2309" s="6" t="s">
        <v>4103</v>
      </c>
      <c r="F2309" s="6" t="s">
        <v>5142</v>
      </c>
      <c r="G2309" s="6" t="s">
        <v>3657</v>
      </c>
      <c r="H2309" s="6" t="s">
        <v>5147</v>
      </c>
      <c r="I2309" s="6" t="n">
        <v>98</v>
      </c>
      <c r="J2309" s="6" t="s">
        <v>83</v>
      </c>
      <c r="K2309" s="6" t="s">
        <v>5148</v>
      </c>
      <c r="L2309" s="7"/>
      <c r="M2309" s="7"/>
    </row>
    <row r="2310" customFormat="false" ht="23.85" hidden="false" customHeight="false" outlineLevel="0" collapsed="false">
      <c r="A2310" s="6" t="s">
        <v>3057</v>
      </c>
      <c r="B2310" s="6" t="s">
        <v>77</v>
      </c>
      <c r="C2310" s="6" t="s">
        <v>98</v>
      </c>
      <c r="D2310" s="6" t="s">
        <v>431</v>
      </c>
      <c r="E2310" s="6" t="s">
        <v>432</v>
      </c>
      <c r="F2310" s="6" t="s">
        <v>3062</v>
      </c>
      <c r="G2310" s="6" t="s">
        <v>3729</v>
      </c>
      <c r="H2310" s="6" t="s">
        <v>5149</v>
      </c>
      <c r="I2310" s="6" t="n">
        <v>1</v>
      </c>
      <c r="J2310" s="6" t="s">
        <v>3692</v>
      </c>
      <c r="K2310" s="6"/>
      <c r="L2310" s="7"/>
      <c r="M2310" s="7"/>
    </row>
    <row r="2311" customFormat="false" ht="23.85" hidden="false" customHeight="false" outlineLevel="0" collapsed="false">
      <c r="A2311" s="6" t="s">
        <v>3057</v>
      </c>
      <c r="B2311" s="6" t="s">
        <v>77</v>
      </c>
      <c r="C2311" s="6" t="s">
        <v>98</v>
      </c>
      <c r="D2311" s="6" t="s">
        <v>431</v>
      </c>
      <c r="E2311" s="6" t="s">
        <v>432</v>
      </c>
      <c r="F2311" s="6" t="s">
        <v>3062</v>
      </c>
      <c r="G2311" s="6" t="s">
        <v>3780</v>
      </c>
      <c r="H2311" s="6" t="s">
        <v>5150</v>
      </c>
      <c r="I2311" s="6" t="n">
        <v>2</v>
      </c>
      <c r="J2311" s="6" t="s">
        <v>3695</v>
      </c>
      <c r="K2311" s="6"/>
      <c r="L2311" s="7"/>
      <c r="M2311" s="7"/>
    </row>
    <row r="2312" customFormat="false" ht="23.85" hidden="false" customHeight="false" outlineLevel="0" collapsed="false">
      <c r="A2312" s="6" t="s">
        <v>3057</v>
      </c>
      <c r="B2312" s="6" t="s">
        <v>77</v>
      </c>
      <c r="C2312" s="6" t="s">
        <v>98</v>
      </c>
      <c r="D2312" s="6" t="s">
        <v>431</v>
      </c>
      <c r="E2312" s="6" t="s">
        <v>432</v>
      </c>
      <c r="F2312" s="6" t="s">
        <v>3062</v>
      </c>
      <c r="G2312" s="6" t="s">
        <v>3884</v>
      </c>
      <c r="H2312" s="6" t="s">
        <v>5151</v>
      </c>
      <c r="I2312" s="6" t="n">
        <v>3</v>
      </c>
      <c r="J2312" s="6" t="s">
        <v>3698</v>
      </c>
      <c r="K2312" s="6"/>
      <c r="L2312" s="7"/>
      <c r="M2312" s="7"/>
    </row>
    <row r="2313" customFormat="false" ht="23.85" hidden="false" customHeight="false" outlineLevel="0" collapsed="false">
      <c r="A2313" s="6" t="s">
        <v>3057</v>
      </c>
      <c r="B2313" s="6" t="s">
        <v>77</v>
      </c>
      <c r="C2313" s="6" t="s">
        <v>98</v>
      </c>
      <c r="D2313" s="6" t="s">
        <v>431</v>
      </c>
      <c r="E2313" s="6" t="s">
        <v>432</v>
      </c>
      <c r="F2313" s="6" t="s">
        <v>3062</v>
      </c>
      <c r="G2313" s="6" t="s">
        <v>5152</v>
      </c>
      <c r="H2313" s="6" t="s">
        <v>5153</v>
      </c>
      <c r="I2313" s="6" t="n">
        <v>4</v>
      </c>
      <c r="J2313" s="6" t="s">
        <v>3701</v>
      </c>
      <c r="K2313" s="6"/>
      <c r="L2313" s="7"/>
      <c r="M2313" s="7"/>
    </row>
    <row r="2314" customFormat="false" ht="23.85" hidden="false" customHeight="false" outlineLevel="0" collapsed="false">
      <c r="A2314" s="6" t="s">
        <v>3074</v>
      </c>
      <c r="B2314" s="6" t="s">
        <v>110</v>
      </c>
      <c r="C2314" s="6" t="s">
        <v>98</v>
      </c>
      <c r="D2314" s="6" t="s">
        <v>452</v>
      </c>
      <c r="E2314" s="6"/>
      <c r="F2314" s="6" t="s">
        <v>3079</v>
      </c>
      <c r="G2314" s="6" t="s">
        <v>3651</v>
      </c>
      <c r="H2314" s="6" t="s">
        <v>5154</v>
      </c>
      <c r="I2314" s="6" t="n">
        <v>34</v>
      </c>
      <c r="J2314" s="6" t="s">
        <v>83</v>
      </c>
      <c r="K2314" s="6" t="s">
        <v>5155</v>
      </c>
      <c r="L2314" s="7"/>
      <c r="M2314" s="7"/>
    </row>
    <row r="2315" customFormat="false" ht="23.85" hidden="false" customHeight="false" outlineLevel="0" collapsed="false">
      <c r="A2315" s="6" t="s">
        <v>3074</v>
      </c>
      <c r="B2315" s="6" t="s">
        <v>110</v>
      </c>
      <c r="C2315" s="6" t="s">
        <v>98</v>
      </c>
      <c r="D2315" s="6" t="s">
        <v>452</v>
      </c>
      <c r="E2315" s="6"/>
      <c r="F2315" s="6" t="s">
        <v>3079</v>
      </c>
      <c r="G2315" s="6" t="s">
        <v>3654</v>
      </c>
      <c r="H2315" s="6" t="s">
        <v>5156</v>
      </c>
      <c r="I2315" s="6" t="n">
        <v>33</v>
      </c>
      <c r="J2315" s="6" t="s">
        <v>83</v>
      </c>
      <c r="K2315" s="6" t="s">
        <v>5157</v>
      </c>
      <c r="L2315" s="7"/>
      <c r="M2315" s="7"/>
    </row>
    <row r="2316" customFormat="false" ht="23.85" hidden="false" customHeight="false" outlineLevel="0" collapsed="false">
      <c r="A2316" s="6" t="s">
        <v>3074</v>
      </c>
      <c r="B2316" s="6" t="s">
        <v>110</v>
      </c>
      <c r="C2316" s="6" t="s">
        <v>98</v>
      </c>
      <c r="D2316" s="6" t="s">
        <v>452</v>
      </c>
      <c r="E2316" s="6"/>
      <c r="F2316" s="6" t="s">
        <v>3079</v>
      </c>
      <c r="G2316" s="6" t="s">
        <v>3657</v>
      </c>
      <c r="H2316" s="6" t="s">
        <v>5158</v>
      </c>
      <c r="I2316" s="6" t="n">
        <v>33</v>
      </c>
      <c r="J2316" s="6" t="s">
        <v>83</v>
      </c>
      <c r="K2316" s="6" t="s">
        <v>5159</v>
      </c>
      <c r="L2316" s="7"/>
      <c r="M2316" s="7"/>
    </row>
    <row r="2317" customFormat="false" ht="23.85" hidden="false" customHeight="false" outlineLevel="0" collapsed="false">
      <c r="A2317" s="6" t="s">
        <v>3074</v>
      </c>
      <c r="B2317" s="6" t="s">
        <v>110</v>
      </c>
      <c r="C2317" s="6" t="s">
        <v>98</v>
      </c>
      <c r="D2317" s="6" t="s">
        <v>452</v>
      </c>
      <c r="E2317" s="6"/>
      <c r="F2317" s="6" t="s">
        <v>3079</v>
      </c>
      <c r="G2317" s="6" t="s">
        <v>3660</v>
      </c>
      <c r="H2317" s="6" t="s">
        <v>5160</v>
      </c>
      <c r="I2317" s="6" t="n">
        <v>0</v>
      </c>
      <c r="J2317" s="6"/>
      <c r="K2317" s="6" t="s">
        <v>5161</v>
      </c>
      <c r="L2317" s="7"/>
      <c r="M2317" s="7"/>
    </row>
    <row r="2318" customFormat="false" ht="23.85" hidden="false" customHeight="false" outlineLevel="0" collapsed="false">
      <c r="A2318" s="6" t="s">
        <v>3074</v>
      </c>
      <c r="B2318" s="6" t="s">
        <v>110</v>
      </c>
      <c r="C2318" s="6" t="s">
        <v>98</v>
      </c>
      <c r="D2318" s="6" t="s">
        <v>452</v>
      </c>
      <c r="E2318" s="6"/>
      <c r="F2318" s="6" t="s">
        <v>3079</v>
      </c>
      <c r="G2318" s="6" t="s">
        <v>3687</v>
      </c>
      <c r="H2318" s="6" t="s">
        <v>5162</v>
      </c>
      <c r="I2318" s="6" t="n">
        <v>0</v>
      </c>
      <c r="J2318" s="6"/>
      <c r="K2318" s="6" t="s">
        <v>5163</v>
      </c>
      <c r="L2318" s="7"/>
      <c r="M2318" s="7"/>
    </row>
    <row r="2319" customFormat="false" ht="15" hidden="false" customHeight="false" outlineLevel="0" collapsed="false">
      <c r="A2319" s="6" t="s">
        <v>3082</v>
      </c>
      <c r="B2319" s="6" t="s">
        <v>132</v>
      </c>
      <c r="C2319" s="6" t="s">
        <v>98</v>
      </c>
      <c r="D2319" s="6" t="s">
        <v>1330</v>
      </c>
      <c r="E2319" s="6"/>
      <c r="F2319" s="6" t="s">
        <v>3087</v>
      </c>
      <c r="G2319" s="6" t="s">
        <v>3651</v>
      </c>
      <c r="H2319" s="6" t="s">
        <v>5164</v>
      </c>
      <c r="I2319" s="6" t="n">
        <v>98</v>
      </c>
      <c r="J2319" s="6" t="s">
        <v>83</v>
      </c>
      <c r="K2319" s="6" t="s">
        <v>5165</v>
      </c>
      <c r="L2319" s="7"/>
      <c r="M2319" s="7"/>
    </row>
    <row r="2320" customFormat="false" ht="15" hidden="false" customHeight="false" outlineLevel="0" collapsed="false">
      <c r="A2320" s="6" t="s">
        <v>3082</v>
      </c>
      <c r="B2320" s="6" t="s">
        <v>132</v>
      </c>
      <c r="C2320" s="6" t="s">
        <v>98</v>
      </c>
      <c r="D2320" s="6" t="s">
        <v>1330</v>
      </c>
      <c r="E2320" s="6"/>
      <c r="F2320" s="6" t="s">
        <v>3087</v>
      </c>
      <c r="G2320" s="6" t="s">
        <v>3654</v>
      </c>
      <c r="H2320" s="6" t="s">
        <v>5166</v>
      </c>
      <c r="I2320" s="6" t="n">
        <v>35</v>
      </c>
      <c r="J2320" s="6"/>
      <c r="K2320" s="6" t="s">
        <v>5167</v>
      </c>
      <c r="L2320" s="7"/>
      <c r="M2320" s="7"/>
    </row>
    <row r="2321" customFormat="false" ht="23.85" hidden="false" customHeight="false" outlineLevel="0" collapsed="false">
      <c r="A2321" s="6" t="s">
        <v>3082</v>
      </c>
      <c r="B2321" s="6" t="s">
        <v>132</v>
      </c>
      <c r="C2321" s="6" t="s">
        <v>98</v>
      </c>
      <c r="D2321" s="6" t="s">
        <v>1330</v>
      </c>
      <c r="E2321" s="6"/>
      <c r="F2321" s="6" t="s">
        <v>3087</v>
      </c>
      <c r="G2321" s="6" t="s">
        <v>3657</v>
      </c>
      <c r="H2321" s="6" t="s">
        <v>5168</v>
      </c>
      <c r="I2321" s="6" t="n">
        <v>30</v>
      </c>
      <c r="J2321" s="6"/>
      <c r="K2321" s="6" t="s">
        <v>5169</v>
      </c>
      <c r="L2321" s="7"/>
      <c r="M2321" s="7"/>
    </row>
    <row r="2322" customFormat="false" ht="15" hidden="false" customHeight="false" outlineLevel="0" collapsed="false">
      <c r="A2322" s="6" t="s">
        <v>3082</v>
      </c>
      <c r="B2322" s="6" t="s">
        <v>132</v>
      </c>
      <c r="C2322" s="6" t="s">
        <v>98</v>
      </c>
      <c r="D2322" s="6" t="s">
        <v>1330</v>
      </c>
      <c r="E2322" s="6"/>
      <c r="F2322" s="6" t="s">
        <v>3087</v>
      </c>
      <c r="G2322" s="6" t="s">
        <v>3660</v>
      </c>
      <c r="H2322" s="6" t="s">
        <v>5170</v>
      </c>
      <c r="I2322" s="6" t="n">
        <v>20</v>
      </c>
      <c r="J2322" s="6"/>
      <c r="K2322" s="6" t="s">
        <v>5171</v>
      </c>
      <c r="L2322" s="7"/>
      <c r="M2322" s="7"/>
    </row>
    <row r="2323" customFormat="false" ht="23.85" hidden="false" customHeight="false" outlineLevel="0" collapsed="false">
      <c r="A2323" s="6" t="s">
        <v>3091</v>
      </c>
      <c r="B2323" s="6" t="s">
        <v>145</v>
      </c>
      <c r="C2323" s="6" t="s">
        <v>165</v>
      </c>
      <c r="D2323" s="6" t="s">
        <v>491</v>
      </c>
      <c r="E2323" s="6" t="s">
        <v>5172</v>
      </c>
      <c r="F2323" s="6" t="s">
        <v>3096</v>
      </c>
      <c r="G2323" s="6"/>
      <c r="H2323" s="6" t="s">
        <v>5173</v>
      </c>
      <c r="I2323" s="6"/>
      <c r="J2323" s="6" t="s">
        <v>83</v>
      </c>
      <c r="K2323" s="6" t="s">
        <v>5174</v>
      </c>
      <c r="L2323" s="7"/>
      <c r="M2323" s="7"/>
    </row>
    <row r="2324" customFormat="false" ht="23.85" hidden="false" customHeight="false" outlineLevel="0" collapsed="false">
      <c r="A2324" s="6" t="s">
        <v>3091</v>
      </c>
      <c r="B2324" s="6" t="s">
        <v>145</v>
      </c>
      <c r="C2324" s="6" t="s">
        <v>165</v>
      </c>
      <c r="D2324" s="6" t="s">
        <v>491</v>
      </c>
      <c r="E2324" s="6" t="s">
        <v>4312</v>
      </c>
      <c r="F2324" s="6" t="s">
        <v>3096</v>
      </c>
      <c r="G2324" s="6"/>
      <c r="H2324" s="6" t="s">
        <v>5175</v>
      </c>
      <c r="I2324" s="6"/>
      <c r="J2324" s="6" t="s">
        <v>83</v>
      </c>
      <c r="K2324" s="6" t="s">
        <v>5176</v>
      </c>
      <c r="L2324" s="7"/>
      <c r="M2324" s="7"/>
    </row>
    <row r="2325" customFormat="false" ht="23.85" hidden="false" customHeight="false" outlineLevel="0" collapsed="false">
      <c r="A2325" s="6" t="s">
        <v>3091</v>
      </c>
      <c r="B2325" s="6" t="s">
        <v>145</v>
      </c>
      <c r="C2325" s="6" t="s">
        <v>165</v>
      </c>
      <c r="D2325" s="6" t="s">
        <v>491</v>
      </c>
      <c r="E2325" s="6" t="s">
        <v>5177</v>
      </c>
      <c r="F2325" s="6" t="s">
        <v>3096</v>
      </c>
      <c r="G2325" s="6"/>
      <c r="H2325" s="6" t="s">
        <v>5178</v>
      </c>
      <c r="I2325" s="6"/>
      <c r="J2325" s="6" t="s">
        <v>83</v>
      </c>
      <c r="K2325" s="6" t="s">
        <v>5179</v>
      </c>
      <c r="L2325" s="7"/>
      <c r="M2325" s="7"/>
    </row>
    <row r="2326" customFormat="false" ht="23.85" hidden="false" customHeight="false" outlineLevel="0" collapsed="false">
      <c r="A2326" s="6" t="s">
        <v>3100</v>
      </c>
      <c r="B2326" s="6" t="s">
        <v>123</v>
      </c>
      <c r="C2326" s="6" t="s">
        <v>98</v>
      </c>
      <c r="D2326" s="6" t="s">
        <v>1062</v>
      </c>
      <c r="E2326" s="6" t="s">
        <v>5180</v>
      </c>
      <c r="F2326" s="6" t="s">
        <v>5181</v>
      </c>
      <c r="G2326" s="6" t="s">
        <v>3651</v>
      </c>
      <c r="H2326" s="6" t="s">
        <v>5182</v>
      </c>
      <c r="I2326" s="6" t="n">
        <v>35</v>
      </c>
      <c r="J2326" s="6"/>
      <c r="K2326" s="6" t="s">
        <v>5183</v>
      </c>
      <c r="L2326" s="7"/>
      <c r="M2326" s="7"/>
    </row>
    <row r="2327" customFormat="false" ht="23.85" hidden="false" customHeight="false" outlineLevel="0" collapsed="false">
      <c r="A2327" s="6" t="s">
        <v>3100</v>
      </c>
      <c r="B2327" s="6" t="s">
        <v>123</v>
      </c>
      <c r="C2327" s="6" t="s">
        <v>98</v>
      </c>
      <c r="D2327" s="6" t="s">
        <v>1062</v>
      </c>
      <c r="E2327" s="6" t="s">
        <v>5180</v>
      </c>
      <c r="F2327" s="6" t="s">
        <v>5181</v>
      </c>
      <c r="G2327" s="6" t="s">
        <v>3654</v>
      </c>
      <c r="H2327" s="6" t="s">
        <v>5184</v>
      </c>
      <c r="I2327" s="6" t="n">
        <v>98</v>
      </c>
      <c r="J2327" s="6" t="s">
        <v>83</v>
      </c>
      <c r="K2327" s="6" t="s">
        <v>5185</v>
      </c>
      <c r="L2327" s="7"/>
      <c r="M2327" s="7"/>
    </row>
    <row r="2328" customFormat="false" ht="23.85" hidden="false" customHeight="false" outlineLevel="0" collapsed="false">
      <c r="A2328" s="6" t="s">
        <v>3100</v>
      </c>
      <c r="B2328" s="6" t="s">
        <v>123</v>
      </c>
      <c r="C2328" s="6" t="s">
        <v>98</v>
      </c>
      <c r="D2328" s="6" t="s">
        <v>1062</v>
      </c>
      <c r="E2328" s="6" t="s">
        <v>5180</v>
      </c>
      <c r="F2328" s="6" t="s">
        <v>5181</v>
      </c>
      <c r="G2328" s="6" t="s">
        <v>3657</v>
      </c>
      <c r="H2328" s="6" t="s">
        <v>5186</v>
      </c>
      <c r="I2328" s="6" t="n">
        <v>20</v>
      </c>
      <c r="J2328" s="6"/>
      <c r="K2328" s="6" t="s">
        <v>5187</v>
      </c>
      <c r="L2328" s="7"/>
      <c r="M2328" s="7"/>
    </row>
    <row r="2329" customFormat="false" ht="23.85" hidden="false" customHeight="false" outlineLevel="0" collapsed="false">
      <c r="A2329" s="6" t="s">
        <v>3100</v>
      </c>
      <c r="B2329" s="6" t="s">
        <v>123</v>
      </c>
      <c r="C2329" s="6" t="s">
        <v>98</v>
      </c>
      <c r="D2329" s="6" t="s">
        <v>1062</v>
      </c>
      <c r="E2329" s="6" t="s">
        <v>5188</v>
      </c>
      <c r="F2329" s="6" t="s">
        <v>5189</v>
      </c>
      <c r="G2329" s="6" t="s">
        <v>3651</v>
      </c>
      <c r="H2329" s="6" t="s">
        <v>5190</v>
      </c>
      <c r="I2329" s="6" t="n">
        <v>20</v>
      </c>
      <c r="J2329" s="6"/>
      <c r="K2329" s="6" t="s">
        <v>5191</v>
      </c>
      <c r="L2329" s="7"/>
      <c r="M2329" s="7"/>
    </row>
    <row r="2330" customFormat="false" ht="23.85" hidden="false" customHeight="false" outlineLevel="0" collapsed="false">
      <c r="A2330" s="6" t="s">
        <v>3100</v>
      </c>
      <c r="B2330" s="6" t="s">
        <v>123</v>
      </c>
      <c r="C2330" s="6" t="s">
        <v>98</v>
      </c>
      <c r="D2330" s="6" t="s">
        <v>1062</v>
      </c>
      <c r="E2330" s="6" t="s">
        <v>5188</v>
      </c>
      <c r="F2330" s="6" t="s">
        <v>5189</v>
      </c>
      <c r="G2330" s="6" t="s">
        <v>3654</v>
      </c>
      <c r="H2330" s="6" t="s">
        <v>5192</v>
      </c>
      <c r="I2330" s="6" t="n">
        <v>25</v>
      </c>
      <c r="J2330" s="6"/>
      <c r="K2330" s="6" t="s">
        <v>5193</v>
      </c>
      <c r="L2330" s="7"/>
      <c r="M2330" s="7"/>
    </row>
    <row r="2331" customFormat="false" ht="23.85" hidden="false" customHeight="false" outlineLevel="0" collapsed="false">
      <c r="A2331" s="6" t="s">
        <v>3100</v>
      </c>
      <c r="B2331" s="6" t="s">
        <v>123</v>
      </c>
      <c r="C2331" s="6" t="s">
        <v>98</v>
      </c>
      <c r="D2331" s="6" t="s">
        <v>1062</v>
      </c>
      <c r="E2331" s="6" t="s">
        <v>5188</v>
      </c>
      <c r="F2331" s="6" t="s">
        <v>5189</v>
      </c>
      <c r="G2331" s="6" t="s">
        <v>3657</v>
      </c>
      <c r="H2331" s="6" t="s">
        <v>5194</v>
      </c>
      <c r="I2331" s="6" t="n">
        <v>98</v>
      </c>
      <c r="J2331" s="6" t="s">
        <v>83</v>
      </c>
      <c r="K2331" s="6" t="s">
        <v>5195</v>
      </c>
      <c r="L2331" s="7"/>
      <c r="M2331" s="7"/>
    </row>
    <row r="2332" customFormat="false" ht="23.85" hidden="false" customHeight="false" outlineLevel="0" collapsed="false">
      <c r="A2332" s="6" t="s">
        <v>3100</v>
      </c>
      <c r="B2332" s="6" t="s">
        <v>123</v>
      </c>
      <c r="C2332" s="6" t="s">
        <v>98</v>
      </c>
      <c r="D2332" s="6" t="s">
        <v>1062</v>
      </c>
      <c r="E2332" s="6" t="s">
        <v>5196</v>
      </c>
      <c r="F2332" s="6" t="s">
        <v>5197</v>
      </c>
      <c r="G2332" s="6" t="s">
        <v>3651</v>
      </c>
      <c r="H2332" s="6" t="s">
        <v>5198</v>
      </c>
      <c r="I2332" s="6" t="n">
        <v>98</v>
      </c>
      <c r="J2332" s="6" t="s">
        <v>83</v>
      </c>
      <c r="K2332" s="6" t="s">
        <v>5199</v>
      </c>
      <c r="L2332" s="7"/>
      <c r="M2332" s="7"/>
    </row>
    <row r="2333" customFormat="false" ht="23.85" hidden="false" customHeight="false" outlineLevel="0" collapsed="false">
      <c r="A2333" s="6" t="s">
        <v>3100</v>
      </c>
      <c r="B2333" s="6" t="s">
        <v>123</v>
      </c>
      <c r="C2333" s="6" t="s">
        <v>98</v>
      </c>
      <c r="D2333" s="6" t="s">
        <v>1062</v>
      </c>
      <c r="E2333" s="6" t="s">
        <v>5196</v>
      </c>
      <c r="F2333" s="6" t="s">
        <v>5197</v>
      </c>
      <c r="G2333" s="6" t="s">
        <v>3654</v>
      </c>
      <c r="H2333" s="6" t="s">
        <v>5200</v>
      </c>
      <c r="I2333" s="6" t="n">
        <v>18</v>
      </c>
      <c r="J2333" s="6"/>
      <c r="K2333" s="6" t="s">
        <v>5201</v>
      </c>
      <c r="L2333" s="7"/>
      <c r="M2333" s="7"/>
    </row>
    <row r="2334" customFormat="false" ht="23.85" hidden="false" customHeight="false" outlineLevel="0" collapsed="false">
      <c r="A2334" s="6" t="s">
        <v>3100</v>
      </c>
      <c r="B2334" s="6" t="s">
        <v>123</v>
      </c>
      <c r="C2334" s="6" t="s">
        <v>98</v>
      </c>
      <c r="D2334" s="6" t="s">
        <v>1062</v>
      </c>
      <c r="E2334" s="6" t="s">
        <v>5196</v>
      </c>
      <c r="F2334" s="6" t="s">
        <v>5197</v>
      </c>
      <c r="G2334" s="6" t="s">
        <v>3657</v>
      </c>
      <c r="H2334" s="6" t="s">
        <v>5202</v>
      </c>
      <c r="I2334" s="6" t="n">
        <v>24</v>
      </c>
      <c r="J2334" s="6"/>
      <c r="K2334" s="6" t="s">
        <v>5203</v>
      </c>
      <c r="L2334" s="7"/>
      <c r="M2334" s="7"/>
    </row>
    <row r="2335" customFormat="false" ht="23.85" hidden="false" customHeight="false" outlineLevel="0" collapsed="false">
      <c r="A2335" s="6" t="s">
        <v>3109</v>
      </c>
      <c r="B2335" s="6" t="s">
        <v>77</v>
      </c>
      <c r="C2335" s="6" t="s">
        <v>165</v>
      </c>
      <c r="D2335" s="6" t="s">
        <v>431</v>
      </c>
      <c r="E2335" s="6" t="s">
        <v>432</v>
      </c>
      <c r="F2335" s="6" t="s">
        <v>3114</v>
      </c>
      <c r="G2335" s="6" t="s">
        <v>5204</v>
      </c>
      <c r="H2335" s="6" t="s">
        <v>5205</v>
      </c>
      <c r="I2335" s="6" t="n">
        <v>1</v>
      </c>
      <c r="J2335" s="6" t="s">
        <v>3692</v>
      </c>
      <c r="K2335" s="6"/>
      <c r="L2335" s="7"/>
      <c r="M2335" s="7"/>
    </row>
    <row r="2336" customFormat="false" ht="23.85" hidden="false" customHeight="false" outlineLevel="0" collapsed="false">
      <c r="A2336" s="6" t="s">
        <v>3109</v>
      </c>
      <c r="B2336" s="6" t="s">
        <v>77</v>
      </c>
      <c r="C2336" s="6" t="s">
        <v>165</v>
      </c>
      <c r="D2336" s="6" t="s">
        <v>431</v>
      </c>
      <c r="E2336" s="6" t="s">
        <v>432</v>
      </c>
      <c r="F2336" s="6" t="s">
        <v>3114</v>
      </c>
      <c r="G2336" s="6" t="s">
        <v>3729</v>
      </c>
      <c r="H2336" s="6" t="s">
        <v>5206</v>
      </c>
      <c r="I2336" s="6" t="n">
        <v>2</v>
      </c>
      <c r="J2336" s="6" t="s">
        <v>3695</v>
      </c>
      <c r="K2336" s="6"/>
      <c r="L2336" s="7"/>
      <c r="M2336" s="7"/>
    </row>
    <row r="2337" customFormat="false" ht="23.85" hidden="false" customHeight="false" outlineLevel="0" collapsed="false">
      <c r="A2337" s="6" t="s">
        <v>3109</v>
      </c>
      <c r="B2337" s="6" t="s">
        <v>77</v>
      </c>
      <c r="C2337" s="6" t="s">
        <v>165</v>
      </c>
      <c r="D2337" s="6" t="s">
        <v>431</v>
      </c>
      <c r="E2337" s="6" t="s">
        <v>432</v>
      </c>
      <c r="F2337" s="6" t="s">
        <v>3114</v>
      </c>
      <c r="G2337" s="6" t="s">
        <v>3699</v>
      </c>
      <c r="H2337" s="6" t="s">
        <v>5207</v>
      </c>
      <c r="I2337" s="6" t="n">
        <v>3</v>
      </c>
      <c r="J2337" s="6" t="s">
        <v>3698</v>
      </c>
      <c r="K2337" s="6"/>
      <c r="L2337" s="7"/>
      <c r="M2337" s="7"/>
    </row>
    <row r="2338" customFormat="false" ht="23.85" hidden="false" customHeight="false" outlineLevel="0" collapsed="false">
      <c r="A2338" s="6" t="s">
        <v>3109</v>
      </c>
      <c r="B2338" s="6" t="s">
        <v>77</v>
      </c>
      <c r="C2338" s="6" t="s">
        <v>165</v>
      </c>
      <c r="D2338" s="6" t="s">
        <v>431</v>
      </c>
      <c r="E2338" s="6" t="s">
        <v>432</v>
      </c>
      <c r="F2338" s="6" t="s">
        <v>3114</v>
      </c>
      <c r="G2338" s="6" t="s">
        <v>4018</v>
      </c>
      <c r="H2338" s="6" t="s">
        <v>5208</v>
      </c>
      <c r="I2338" s="6" t="n">
        <v>4</v>
      </c>
      <c r="J2338" s="6" t="s">
        <v>3701</v>
      </c>
      <c r="K2338" s="6"/>
      <c r="L2338" s="7"/>
      <c r="M2338" s="7"/>
    </row>
    <row r="2339" customFormat="false" ht="23.85" hidden="false" customHeight="false" outlineLevel="0" collapsed="false">
      <c r="A2339" s="6" t="s">
        <v>3118</v>
      </c>
      <c r="B2339" s="6" t="s">
        <v>96</v>
      </c>
      <c r="C2339" s="6" t="s">
        <v>98</v>
      </c>
      <c r="D2339" s="6" t="s">
        <v>452</v>
      </c>
      <c r="E2339" s="6"/>
      <c r="F2339" s="6" t="s">
        <v>3125</v>
      </c>
      <c r="G2339" s="6" t="s">
        <v>3651</v>
      </c>
      <c r="H2339" s="6" t="s">
        <v>5209</v>
      </c>
      <c r="I2339" s="6" t="n">
        <v>34</v>
      </c>
      <c r="J2339" s="6" t="s">
        <v>83</v>
      </c>
      <c r="K2339" s="6" t="s">
        <v>5210</v>
      </c>
      <c r="L2339" s="7"/>
      <c r="M2339" s="7"/>
    </row>
    <row r="2340" customFormat="false" ht="23.85" hidden="false" customHeight="false" outlineLevel="0" collapsed="false">
      <c r="A2340" s="6" t="s">
        <v>3118</v>
      </c>
      <c r="B2340" s="6" t="s">
        <v>96</v>
      </c>
      <c r="C2340" s="6" t="s">
        <v>98</v>
      </c>
      <c r="D2340" s="6" t="s">
        <v>452</v>
      </c>
      <c r="E2340" s="6"/>
      <c r="F2340" s="6" t="s">
        <v>3125</v>
      </c>
      <c r="G2340" s="6" t="s">
        <v>3654</v>
      </c>
      <c r="H2340" s="6" t="s">
        <v>5211</v>
      </c>
      <c r="I2340" s="6" t="n">
        <v>0</v>
      </c>
      <c r="J2340" s="6"/>
      <c r="K2340" s="6" t="s">
        <v>5212</v>
      </c>
      <c r="L2340" s="7"/>
      <c r="M2340" s="7"/>
    </row>
    <row r="2341" customFormat="false" ht="23.85" hidden="false" customHeight="false" outlineLevel="0" collapsed="false">
      <c r="A2341" s="6" t="s">
        <v>3118</v>
      </c>
      <c r="B2341" s="6" t="s">
        <v>96</v>
      </c>
      <c r="C2341" s="6" t="s">
        <v>98</v>
      </c>
      <c r="D2341" s="6" t="s">
        <v>452</v>
      </c>
      <c r="E2341" s="6"/>
      <c r="F2341" s="6" t="s">
        <v>3125</v>
      </c>
      <c r="G2341" s="6" t="s">
        <v>3657</v>
      </c>
      <c r="H2341" s="6" t="s">
        <v>5213</v>
      </c>
      <c r="I2341" s="6" t="n">
        <v>33</v>
      </c>
      <c r="J2341" s="6" t="s">
        <v>83</v>
      </c>
      <c r="K2341" s="6" t="s">
        <v>5214</v>
      </c>
      <c r="L2341" s="7"/>
      <c r="M2341" s="7"/>
    </row>
    <row r="2342" customFormat="false" ht="23.85" hidden="false" customHeight="false" outlineLevel="0" collapsed="false">
      <c r="A2342" s="6" t="s">
        <v>3118</v>
      </c>
      <c r="B2342" s="6" t="s">
        <v>96</v>
      </c>
      <c r="C2342" s="6" t="s">
        <v>98</v>
      </c>
      <c r="D2342" s="6" t="s">
        <v>452</v>
      </c>
      <c r="E2342" s="6"/>
      <c r="F2342" s="6" t="s">
        <v>3125</v>
      </c>
      <c r="G2342" s="6" t="s">
        <v>3660</v>
      </c>
      <c r="H2342" s="6" t="s">
        <v>5215</v>
      </c>
      <c r="I2342" s="6" t="n">
        <v>33</v>
      </c>
      <c r="J2342" s="6" t="s">
        <v>83</v>
      </c>
      <c r="K2342" s="6" t="s">
        <v>5216</v>
      </c>
      <c r="L2342" s="7"/>
      <c r="M2342" s="7"/>
    </row>
    <row r="2343" customFormat="false" ht="23.85" hidden="false" customHeight="false" outlineLevel="0" collapsed="false">
      <c r="A2343" s="6" t="s">
        <v>3118</v>
      </c>
      <c r="B2343" s="6" t="s">
        <v>96</v>
      </c>
      <c r="C2343" s="6" t="s">
        <v>98</v>
      </c>
      <c r="D2343" s="6" t="s">
        <v>452</v>
      </c>
      <c r="E2343" s="6"/>
      <c r="F2343" s="6" t="s">
        <v>3125</v>
      </c>
      <c r="G2343" s="6" t="s">
        <v>3687</v>
      </c>
      <c r="H2343" s="6" t="s">
        <v>5217</v>
      </c>
      <c r="I2343" s="6" t="n">
        <v>0</v>
      </c>
      <c r="J2343" s="6"/>
      <c r="K2343" s="6" t="s">
        <v>5218</v>
      </c>
      <c r="L2343" s="7"/>
      <c r="M2343" s="7"/>
    </row>
    <row r="2344" customFormat="false" ht="23.85" hidden="false" customHeight="false" outlineLevel="0" collapsed="false">
      <c r="A2344" s="6" t="s">
        <v>3148</v>
      </c>
      <c r="B2344" s="6" t="s">
        <v>132</v>
      </c>
      <c r="C2344" s="6" t="s">
        <v>98</v>
      </c>
      <c r="D2344" s="6" t="s">
        <v>80</v>
      </c>
      <c r="E2344" s="6"/>
      <c r="F2344" s="6" t="s">
        <v>3154</v>
      </c>
      <c r="G2344" s="6" t="s">
        <v>3549</v>
      </c>
      <c r="H2344" s="6" t="s">
        <v>5219</v>
      </c>
      <c r="I2344" s="6" t="n">
        <v>55</v>
      </c>
      <c r="J2344" s="6"/>
      <c r="K2344" s="6" t="s">
        <v>5220</v>
      </c>
      <c r="L2344" s="7"/>
      <c r="M2344" s="7"/>
    </row>
    <row r="2345" customFormat="false" ht="23.85" hidden="false" customHeight="false" outlineLevel="0" collapsed="false">
      <c r="A2345" s="6" t="s">
        <v>3148</v>
      </c>
      <c r="B2345" s="6" t="s">
        <v>132</v>
      </c>
      <c r="C2345" s="6" t="s">
        <v>98</v>
      </c>
      <c r="D2345" s="6" t="s">
        <v>80</v>
      </c>
      <c r="E2345" s="6"/>
      <c r="F2345" s="6" t="s">
        <v>3154</v>
      </c>
      <c r="G2345" s="6" t="s">
        <v>3552</v>
      </c>
      <c r="H2345" s="6" t="s">
        <v>5221</v>
      </c>
      <c r="I2345" s="6" t="n">
        <v>98</v>
      </c>
      <c r="J2345" s="6" t="s">
        <v>83</v>
      </c>
      <c r="K2345" s="6" t="s">
        <v>5222</v>
      </c>
      <c r="L2345" s="7"/>
      <c r="M2345" s="7"/>
    </row>
    <row r="2346" customFormat="false" ht="23.85" hidden="false" customHeight="false" outlineLevel="0" collapsed="false">
      <c r="A2346" s="6" t="s">
        <v>3148</v>
      </c>
      <c r="B2346" s="6" t="s">
        <v>132</v>
      </c>
      <c r="C2346" s="6" t="s">
        <v>98</v>
      </c>
      <c r="D2346" s="6" t="s">
        <v>80</v>
      </c>
      <c r="E2346" s="6"/>
      <c r="F2346" s="6" t="s">
        <v>3154</v>
      </c>
      <c r="G2346" s="6" t="s">
        <v>3555</v>
      </c>
      <c r="H2346" s="6" t="s">
        <v>5223</v>
      </c>
      <c r="I2346" s="6" t="n">
        <v>5</v>
      </c>
      <c r="J2346" s="6"/>
      <c r="K2346" s="6" t="s">
        <v>5224</v>
      </c>
      <c r="L2346" s="7"/>
      <c r="M2346" s="7"/>
    </row>
    <row r="2347" customFormat="false" ht="23.85" hidden="false" customHeight="false" outlineLevel="0" collapsed="false">
      <c r="A2347" s="6" t="s">
        <v>3158</v>
      </c>
      <c r="B2347" s="6" t="s">
        <v>110</v>
      </c>
      <c r="C2347" s="6" t="s">
        <v>165</v>
      </c>
      <c r="D2347" s="6" t="s">
        <v>80</v>
      </c>
      <c r="E2347" s="6"/>
      <c r="F2347" s="6" t="s">
        <v>3162</v>
      </c>
      <c r="G2347" s="6" t="s">
        <v>3549</v>
      </c>
      <c r="H2347" s="6" t="s">
        <v>5225</v>
      </c>
      <c r="I2347" s="6" t="n">
        <v>70</v>
      </c>
      <c r="J2347" s="6"/>
      <c r="K2347" s="6" t="s">
        <v>5226</v>
      </c>
      <c r="L2347" s="7"/>
      <c r="M2347" s="7"/>
    </row>
    <row r="2348" customFormat="false" ht="23.85" hidden="false" customHeight="false" outlineLevel="0" collapsed="false">
      <c r="A2348" s="6" t="s">
        <v>3158</v>
      </c>
      <c r="B2348" s="6" t="s">
        <v>110</v>
      </c>
      <c r="C2348" s="6" t="s">
        <v>165</v>
      </c>
      <c r="D2348" s="6" t="s">
        <v>80</v>
      </c>
      <c r="E2348" s="6"/>
      <c r="F2348" s="6" t="s">
        <v>3162</v>
      </c>
      <c r="G2348" s="6" t="s">
        <v>3552</v>
      </c>
      <c r="H2348" s="6" t="s">
        <v>5227</v>
      </c>
      <c r="I2348" s="6" t="n">
        <v>98</v>
      </c>
      <c r="J2348" s="6" t="s">
        <v>83</v>
      </c>
      <c r="K2348" s="6" t="s">
        <v>5228</v>
      </c>
      <c r="L2348" s="7"/>
      <c r="M2348" s="7"/>
    </row>
    <row r="2349" customFormat="false" ht="15" hidden="false" customHeight="false" outlineLevel="0" collapsed="false">
      <c r="A2349" s="6" t="s">
        <v>3158</v>
      </c>
      <c r="B2349" s="6" t="s">
        <v>110</v>
      </c>
      <c r="C2349" s="6" t="s">
        <v>165</v>
      </c>
      <c r="D2349" s="6" t="s">
        <v>80</v>
      </c>
      <c r="E2349" s="6"/>
      <c r="F2349" s="6" t="s">
        <v>3162</v>
      </c>
      <c r="G2349" s="6" t="s">
        <v>3555</v>
      </c>
      <c r="H2349" s="6" t="s">
        <v>5229</v>
      </c>
      <c r="I2349" s="6" t="n">
        <v>5</v>
      </c>
      <c r="J2349" s="6"/>
      <c r="K2349" s="6" t="s">
        <v>5230</v>
      </c>
      <c r="L2349" s="7"/>
      <c r="M2349" s="7"/>
    </row>
    <row r="2350" customFormat="false" ht="23.85" hidden="false" customHeight="false" outlineLevel="0" collapsed="false">
      <c r="A2350" s="6" t="s">
        <v>3166</v>
      </c>
      <c r="B2350" s="6" t="s">
        <v>145</v>
      </c>
      <c r="C2350" s="6" t="s">
        <v>98</v>
      </c>
      <c r="D2350" s="6" t="s">
        <v>80</v>
      </c>
      <c r="E2350" s="6"/>
      <c r="F2350" s="6" t="s">
        <v>3170</v>
      </c>
      <c r="G2350" s="6" t="s">
        <v>3549</v>
      </c>
      <c r="H2350" s="6" t="s">
        <v>5231</v>
      </c>
      <c r="I2350" s="6" t="n">
        <v>78</v>
      </c>
      <c r="J2350" s="6"/>
      <c r="K2350" s="6" t="s">
        <v>5232</v>
      </c>
      <c r="L2350" s="7"/>
      <c r="M2350" s="7"/>
    </row>
    <row r="2351" customFormat="false" ht="23.85" hidden="false" customHeight="false" outlineLevel="0" collapsed="false">
      <c r="A2351" s="6" t="s">
        <v>3166</v>
      </c>
      <c r="B2351" s="6" t="s">
        <v>145</v>
      </c>
      <c r="C2351" s="6" t="s">
        <v>98</v>
      </c>
      <c r="D2351" s="6" t="s">
        <v>80</v>
      </c>
      <c r="E2351" s="6"/>
      <c r="F2351" s="6" t="s">
        <v>3170</v>
      </c>
      <c r="G2351" s="6" t="s">
        <v>3552</v>
      </c>
      <c r="H2351" s="6" t="s">
        <v>5233</v>
      </c>
      <c r="I2351" s="6" t="n">
        <v>98</v>
      </c>
      <c r="J2351" s="6" t="s">
        <v>83</v>
      </c>
      <c r="K2351" s="6" t="s">
        <v>5234</v>
      </c>
      <c r="L2351" s="7"/>
      <c r="M2351" s="7"/>
    </row>
    <row r="2352" customFormat="false" ht="15" hidden="false" customHeight="false" outlineLevel="0" collapsed="false">
      <c r="A2352" s="6" t="s">
        <v>3166</v>
      </c>
      <c r="B2352" s="6" t="s">
        <v>145</v>
      </c>
      <c r="C2352" s="6" t="s">
        <v>98</v>
      </c>
      <c r="D2352" s="6" t="s">
        <v>80</v>
      </c>
      <c r="E2352" s="6"/>
      <c r="F2352" s="6" t="s">
        <v>3170</v>
      </c>
      <c r="G2352" s="6" t="s">
        <v>3555</v>
      </c>
      <c r="H2352" s="6" t="s">
        <v>5235</v>
      </c>
      <c r="I2352" s="6" t="n">
        <v>5</v>
      </c>
      <c r="J2352" s="6"/>
      <c r="K2352" s="6" t="s">
        <v>5236</v>
      </c>
      <c r="L2352" s="7"/>
      <c r="M2352" s="7"/>
    </row>
    <row r="2353" customFormat="false" ht="23.85" hidden="false" customHeight="false" outlineLevel="0" collapsed="false">
      <c r="A2353" s="6" t="s">
        <v>3174</v>
      </c>
      <c r="B2353" s="6" t="s">
        <v>96</v>
      </c>
      <c r="C2353" s="6" t="s">
        <v>165</v>
      </c>
      <c r="D2353" s="6" t="s">
        <v>80</v>
      </c>
      <c r="E2353" s="6"/>
      <c r="F2353" s="6" t="s">
        <v>106</v>
      </c>
      <c r="G2353" s="6" t="s">
        <v>3549</v>
      </c>
      <c r="H2353" s="6" t="s">
        <v>5237</v>
      </c>
      <c r="I2353" s="6" t="n">
        <v>82</v>
      </c>
      <c r="J2353" s="6"/>
      <c r="K2353" s="6" t="s">
        <v>5238</v>
      </c>
      <c r="L2353" s="7"/>
      <c r="M2353" s="7"/>
    </row>
    <row r="2354" customFormat="false" ht="23.85" hidden="false" customHeight="false" outlineLevel="0" collapsed="false">
      <c r="A2354" s="6" t="s">
        <v>3174</v>
      </c>
      <c r="B2354" s="6" t="s">
        <v>96</v>
      </c>
      <c r="C2354" s="6" t="s">
        <v>165</v>
      </c>
      <c r="D2354" s="6" t="s">
        <v>80</v>
      </c>
      <c r="E2354" s="6"/>
      <c r="F2354" s="6" t="s">
        <v>106</v>
      </c>
      <c r="G2354" s="6" t="s">
        <v>3552</v>
      </c>
      <c r="H2354" s="6" t="s">
        <v>5239</v>
      </c>
      <c r="I2354" s="6" t="n">
        <v>98</v>
      </c>
      <c r="J2354" s="6" t="s">
        <v>83</v>
      </c>
      <c r="K2354" s="6" t="s">
        <v>5240</v>
      </c>
      <c r="L2354" s="7"/>
      <c r="M2354" s="7"/>
    </row>
    <row r="2355" customFormat="false" ht="15" hidden="false" customHeight="false" outlineLevel="0" collapsed="false">
      <c r="A2355" s="6" t="s">
        <v>3174</v>
      </c>
      <c r="B2355" s="6" t="s">
        <v>96</v>
      </c>
      <c r="C2355" s="6" t="s">
        <v>165</v>
      </c>
      <c r="D2355" s="6" t="s">
        <v>80</v>
      </c>
      <c r="E2355" s="6"/>
      <c r="F2355" s="6" t="s">
        <v>106</v>
      </c>
      <c r="G2355" s="6" t="s">
        <v>3555</v>
      </c>
      <c r="H2355" s="6" t="s">
        <v>5241</v>
      </c>
      <c r="I2355" s="6" t="n">
        <v>5</v>
      </c>
      <c r="J2355" s="6"/>
      <c r="K2355" s="6" t="s">
        <v>5242</v>
      </c>
      <c r="L2355" s="7"/>
      <c r="M2355" s="7"/>
    </row>
    <row r="2356" customFormat="false" ht="15" hidden="false" customHeight="false" outlineLevel="0" collapsed="false">
      <c r="A2356" s="6" t="s">
        <v>3181</v>
      </c>
      <c r="B2356" s="6" t="s">
        <v>123</v>
      </c>
      <c r="C2356" s="6" t="s">
        <v>79</v>
      </c>
      <c r="D2356" s="6" t="s">
        <v>80</v>
      </c>
      <c r="E2356" s="6"/>
      <c r="F2356" s="6" t="s">
        <v>3185</v>
      </c>
      <c r="G2356" s="6" t="s">
        <v>3549</v>
      </c>
      <c r="H2356" s="6" t="s">
        <v>5243</v>
      </c>
      <c r="I2356" s="6" t="n">
        <v>65</v>
      </c>
      <c r="J2356" s="6"/>
      <c r="K2356" s="6" t="s">
        <v>5244</v>
      </c>
      <c r="L2356" s="7"/>
      <c r="M2356" s="7"/>
    </row>
    <row r="2357" customFormat="false" ht="23.85" hidden="false" customHeight="false" outlineLevel="0" collapsed="false">
      <c r="A2357" s="6" t="s">
        <v>3181</v>
      </c>
      <c r="B2357" s="6" t="s">
        <v>123</v>
      </c>
      <c r="C2357" s="6" t="s">
        <v>79</v>
      </c>
      <c r="D2357" s="6" t="s">
        <v>80</v>
      </c>
      <c r="E2357" s="6"/>
      <c r="F2357" s="6" t="s">
        <v>3185</v>
      </c>
      <c r="G2357" s="6" t="s">
        <v>3552</v>
      </c>
      <c r="H2357" s="6" t="s">
        <v>5245</v>
      </c>
      <c r="I2357" s="6" t="n">
        <v>98</v>
      </c>
      <c r="J2357" s="6" t="s">
        <v>83</v>
      </c>
      <c r="K2357" s="6" t="s">
        <v>5246</v>
      </c>
      <c r="L2357" s="7"/>
      <c r="M2357" s="7"/>
    </row>
    <row r="2358" customFormat="false" ht="15" hidden="false" customHeight="false" outlineLevel="0" collapsed="false">
      <c r="A2358" s="6" t="s">
        <v>3181</v>
      </c>
      <c r="B2358" s="6" t="s">
        <v>123</v>
      </c>
      <c r="C2358" s="6" t="s">
        <v>79</v>
      </c>
      <c r="D2358" s="6" t="s">
        <v>80</v>
      </c>
      <c r="E2358" s="6"/>
      <c r="F2358" s="6" t="s">
        <v>3185</v>
      </c>
      <c r="G2358" s="6" t="s">
        <v>3555</v>
      </c>
      <c r="H2358" s="6" t="s">
        <v>5247</v>
      </c>
      <c r="I2358" s="6" t="n">
        <v>20</v>
      </c>
      <c r="J2358" s="6"/>
      <c r="K2358" s="6" t="s">
        <v>5248</v>
      </c>
      <c r="L2358" s="7"/>
      <c r="M2358" s="7"/>
    </row>
    <row r="2359" customFormat="false" ht="15" hidden="false" customHeight="false" outlineLevel="0" collapsed="false">
      <c r="A2359" s="6" t="s">
        <v>3189</v>
      </c>
      <c r="B2359" s="6" t="s">
        <v>77</v>
      </c>
      <c r="C2359" s="6" t="s">
        <v>98</v>
      </c>
      <c r="D2359" s="6" t="s">
        <v>80</v>
      </c>
      <c r="E2359" s="6"/>
      <c r="F2359" s="6" t="s">
        <v>3196</v>
      </c>
      <c r="G2359" s="6" t="s">
        <v>3549</v>
      </c>
      <c r="H2359" s="6" t="s">
        <v>5249</v>
      </c>
      <c r="I2359" s="6" t="n">
        <v>70</v>
      </c>
      <c r="J2359" s="6"/>
      <c r="K2359" s="6" t="s">
        <v>5250</v>
      </c>
      <c r="L2359" s="7"/>
      <c r="M2359" s="7"/>
    </row>
    <row r="2360" customFormat="false" ht="23.85" hidden="false" customHeight="false" outlineLevel="0" collapsed="false">
      <c r="A2360" s="6" t="s">
        <v>3189</v>
      </c>
      <c r="B2360" s="6" t="s">
        <v>77</v>
      </c>
      <c r="C2360" s="6" t="s">
        <v>98</v>
      </c>
      <c r="D2360" s="6" t="s">
        <v>80</v>
      </c>
      <c r="E2360" s="6"/>
      <c r="F2360" s="6" t="s">
        <v>3196</v>
      </c>
      <c r="G2360" s="6" t="s">
        <v>3552</v>
      </c>
      <c r="H2360" s="6" t="s">
        <v>5251</v>
      </c>
      <c r="I2360" s="6" t="n">
        <v>98</v>
      </c>
      <c r="J2360" s="6" t="s">
        <v>83</v>
      </c>
      <c r="K2360" s="6" t="s">
        <v>5252</v>
      </c>
      <c r="L2360" s="7"/>
      <c r="M2360" s="7"/>
    </row>
    <row r="2361" customFormat="false" ht="15" hidden="false" customHeight="false" outlineLevel="0" collapsed="false">
      <c r="A2361" s="6" t="s">
        <v>3189</v>
      </c>
      <c r="B2361" s="6" t="s">
        <v>77</v>
      </c>
      <c r="C2361" s="6" t="s">
        <v>98</v>
      </c>
      <c r="D2361" s="6" t="s">
        <v>80</v>
      </c>
      <c r="E2361" s="6"/>
      <c r="F2361" s="6" t="s">
        <v>3196</v>
      </c>
      <c r="G2361" s="6" t="s">
        <v>3555</v>
      </c>
      <c r="H2361" s="6" t="s">
        <v>5253</v>
      </c>
      <c r="I2361" s="6" t="n">
        <v>0</v>
      </c>
      <c r="J2361" s="6"/>
      <c r="K2361" s="6" t="s">
        <v>5254</v>
      </c>
      <c r="L2361" s="7"/>
      <c r="M2361" s="7"/>
    </row>
    <row r="2362" customFormat="false" ht="23.85" hidden="false" customHeight="false" outlineLevel="0" collapsed="false">
      <c r="A2362" s="6" t="s">
        <v>3200</v>
      </c>
      <c r="B2362" s="6" t="s">
        <v>132</v>
      </c>
      <c r="C2362" s="6" t="s">
        <v>98</v>
      </c>
      <c r="D2362" s="6" t="s">
        <v>396</v>
      </c>
      <c r="E2362" s="6"/>
      <c r="F2362" s="6" t="s">
        <v>3208</v>
      </c>
      <c r="G2362" s="6" t="s">
        <v>3651</v>
      </c>
      <c r="H2362" s="6" t="s">
        <v>5255</v>
      </c>
      <c r="I2362" s="6" t="n">
        <v>20</v>
      </c>
      <c r="J2362" s="6"/>
      <c r="K2362" s="6" t="s">
        <v>5256</v>
      </c>
      <c r="L2362" s="7"/>
      <c r="M2362" s="7"/>
    </row>
    <row r="2363" customFormat="false" ht="23.85" hidden="false" customHeight="false" outlineLevel="0" collapsed="false">
      <c r="A2363" s="6" t="s">
        <v>3200</v>
      </c>
      <c r="B2363" s="6" t="s">
        <v>132</v>
      </c>
      <c r="C2363" s="6" t="s">
        <v>98</v>
      </c>
      <c r="D2363" s="6" t="s">
        <v>396</v>
      </c>
      <c r="E2363" s="6"/>
      <c r="F2363" s="6" t="s">
        <v>3208</v>
      </c>
      <c r="G2363" s="6" t="s">
        <v>3654</v>
      </c>
      <c r="H2363" s="6" t="s">
        <v>5257</v>
      </c>
      <c r="I2363" s="6" t="n">
        <v>98</v>
      </c>
      <c r="J2363" s="6" t="s">
        <v>83</v>
      </c>
      <c r="K2363" s="6" t="s">
        <v>5258</v>
      </c>
      <c r="L2363" s="7"/>
      <c r="M2363" s="7"/>
    </row>
    <row r="2364" customFormat="false" ht="23.85" hidden="false" customHeight="false" outlineLevel="0" collapsed="false">
      <c r="A2364" s="6" t="s">
        <v>3200</v>
      </c>
      <c r="B2364" s="6" t="s">
        <v>132</v>
      </c>
      <c r="C2364" s="6" t="s">
        <v>98</v>
      </c>
      <c r="D2364" s="6" t="s">
        <v>396</v>
      </c>
      <c r="E2364" s="6"/>
      <c r="F2364" s="6" t="s">
        <v>3208</v>
      </c>
      <c r="G2364" s="6" t="s">
        <v>3657</v>
      </c>
      <c r="H2364" s="6" t="s">
        <v>5259</v>
      </c>
      <c r="I2364" s="6" t="n">
        <v>25</v>
      </c>
      <c r="J2364" s="6"/>
      <c r="K2364" s="6" t="s">
        <v>5260</v>
      </c>
      <c r="L2364" s="7"/>
      <c r="M2364" s="7"/>
    </row>
    <row r="2365" customFormat="false" ht="23.85" hidden="false" customHeight="false" outlineLevel="0" collapsed="false">
      <c r="A2365" s="6" t="s">
        <v>3200</v>
      </c>
      <c r="B2365" s="6" t="s">
        <v>132</v>
      </c>
      <c r="C2365" s="6" t="s">
        <v>98</v>
      </c>
      <c r="D2365" s="6" t="s">
        <v>396</v>
      </c>
      <c r="E2365" s="6"/>
      <c r="F2365" s="6" t="s">
        <v>3208</v>
      </c>
      <c r="G2365" s="6" t="s">
        <v>3660</v>
      </c>
      <c r="H2365" s="6" t="s">
        <v>5261</v>
      </c>
      <c r="I2365" s="6" t="n">
        <v>35</v>
      </c>
      <c r="J2365" s="6"/>
      <c r="K2365" s="6" t="s">
        <v>5262</v>
      </c>
      <c r="L2365" s="7"/>
      <c r="M2365" s="7"/>
    </row>
    <row r="2366" customFormat="false" ht="23.85" hidden="false" customHeight="false" outlineLevel="0" collapsed="false">
      <c r="A2366" s="6" t="s">
        <v>3212</v>
      </c>
      <c r="B2366" s="6" t="s">
        <v>132</v>
      </c>
      <c r="C2366" s="6" t="s">
        <v>98</v>
      </c>
      <c r="D2366" s="6" t="s">
        <v>452</v>
      </c>
      <c r="E2366" s="6"/>
      <c r="F2366" s="6" t="s">
        <v>3216</v>
      </c>
      <c r="G2366" s="6" t="s">
        <v>3651</v>
      </c>
      <c r="H2366" s="6" t="s">
        <v>5263</v>
      </c>
      <c r="I2366" s="6" t="n">
        <v>25</v>
      </c>
      <c r="J2366" s="6" t="s">
        <v>83</v>
      </c>
      <c r="K2366" s="6" t="s">
        <v>5264</v>
      </c>
      <c r="L2366" s="7"/>
      <c r="M2366" s="7"/>
    </row>
    <row r="2367" customFormat="false" ht="23.85" hidden="false" customHeight="false" outlineLevel="0" collapsed="false">
      <c r="A2367" s="6" t="s">
        <v>3212</v>
      </c>
      <c r="B2367" s="6" t="s">
        <v>132</v>
      </c>
      <c r="C2367" s="6" t="s">
        <v>98</v>
      </c>
      <c r="D2367" s="6" t="s">
        <v>452</v>
      </c>
      <c r="E2367" s="6"/>
      <c r="F2367" s="6" t="s">
        <v>3216</v>
      </c>
      <c r="G2367" s="6" t="s">
        <v>3654</v>
      </c>
      <c r="H2367" s="6" t="s">
        <v>5265</v>
      </c>
      <c r="I2367" s="6" t="n">
        <v>25</v>
      </c>
      <c r="J2367" s="6" t="s">
        <v>83</v>
      </c>
      <c r="K2367" s="6" t="s">
        <v>5266</v>
      </c>
      <c r="L2367" s="7"/>
      <c r="M2367" s="7"/>
    </row>
    <row r="2368" customFormat="false" ht="23.85" hidden="false" customHeight="false" outlineLevel="0" collapsed="false">
      <c r="A2368" s="6" t="s">
        <v>3212</v>
      </c>
      <c r="B2368" s="6" t="s">
        <v>132</v>
      </c>
      <c r="C2368" s="6" t="s">
        <v>98</v>
      </c>
      <c r="D2368" s="6" t="s">
        <v>452</v>
      </c>
      <c r="E2368" s="6"/>
      <c r="F2368" s="6" t="s">
        <v>3216</v>
      </c>
      <c r="G2368" s="6" t="s">
        <v>3657</v>
      </c>
      <c r="H2368" s="6" t="s">
        <v>5267</v>
      </c>
      <c r="I2368" s="6" t="n">
        <v>25</v>
      </c>
      <c r="J2368" s="6" t="s">
        <v>83</v>
      </c>
      <c r="K2368" s="6" t="s">
        <v>5268</v>
      </c>
      <c r="L2368" s="7"/>
      <c r="M2368" s="7"/>
    </row>
    <row r="2369" customFormat="false" ht="23.85" hidden="false" customHeight="false" outlineLevel="0" collapsed="false">
      <c r="A2369" s="6" t="s">
        <v>3212</v>
      </c>
      <c r="B2369" s="6" t="s">
        <v>132</v>
      </c>
      <c r="C2369" s="6" t="s">
        <v>98</v>
      </c>
      <c r="D2369" s="6" t="s">
        <v>452</v>
      </c>
      <c r="E2369" s="6"/>
      <c r="F2369" s="6" t="s">
        <v>3216</v>
      </c>
      <c r="G2369" s="6" t="s">
        <v>3660</v>
      </c>
      <c r="H2369" s="6" t="s">
        <v>5269</v>
      </c>
      <c r="I2369" s="6" t="n">
        <v>25</v>
      </c>
      <c r="J2369" s="6" t="s">
        <v>83</v>
      </c>
      <c r="K2369" s="6" t="s">
        <v>5270</v>
      </c>
      <c r="L2369" s="7"/>
      <c r="M2369" s="7"/>
    </row>
    <row r="2370" customFormat="false" ht="23.85" hidden="false" customHeight="false" outlineLevel="0" collapsed="false">
      <c r="A2370" s="6" t="s">
        <v>3212</v>
      </c>
      <c r="B2370" s="6" t="s">
        <v>132</v>
      </c>
      <c r="C2370" s="6" t="s">
        <v>98</v>
      </c>
      <c r="D2370" s="6" t="s">
        <v>452</v>
      </c>
      <c r="E2370" s="6"/>
      <c r="F2370" s="6" t="s">
        <v>3216</v>
      </c>
      <c r="G2370" s="6" t="s">
        <v>3687</v>
      </c>
      <c r="H2370" s="6" t="s">
        <v>5271</v>
      </c>
      <c r="I2370" s="6" t="n">
        <v>0</v>
      </c>
      <c r="J2370" s="6"/>
      <c r="K2370" s="6" t="s">
        <v>5272</v>
      </c>
      <c r="L2370" s="7"/>
      <c r="M2370" s="7"/>
    </row>
    <row r="2371" customFormat="false" ht="23.85" hidden="false" customHeight="false" outlineLevel="0" collapsed="false">
      <c r="A2371" s="6" t="s">
        <v>3219</v>
      </c>
      <c r="B2371" s="6" t="s">
        <v>145</v>
      </c>
      <c r="C2371" s="6" t="s">
        <v>165</v>
      </c>
      <c r="D2371" s="6" t="s">
        <v>491</v>
      </c>
      <c r="E2371" s="6" t="s">
        <v>5273</v>
      </c>
      <c r="F2371" s="6" t="s">
        <v>3226</v>
      </c>
      <c r="G2371" s="6"/>
      <c r="H2371" s="6" t="s">
        <v>5274</v>
      </c>
      <c r="I2371" s="6"/>
      <c r="J2371" s="6" t="s">
        <v>83</v>
      </c>
      <c r="K2371" s="6" t="s">
        <v>5275</v>
      </c>
      <c r="L2371" s="7"/>
      <c r="M2371" s="7"/>
    </row>
    <row r="2372" customFormat="false" ht="23.85" hidden="false" customHeight="false" outlineLevel="0" collapsed="false">
      <c r="A2372" s="6" t="s">
        <v>3219</v>
      </c>
      <c r="B2372" s="6" t="s">
        <v>145</v>
      </c>
      <c r="C2372" s="6" t="s">
        <v>165</v>
      </c>
      <c r="D2372" s="6" t="s">
        <v>491</v>
      </c>
      <c r="E2372" s="6" t="s">
        <v>5276</v>
      </c>
      <c r="F2372" s="6" t="s">
        <v>3226</v>
      </c>
      <c r="G2372" s="6"/>
      <c r="H2372" s="6" t="s">
        <v>5277</v>
      </c>
      <c r="I2372" s="6"/>
      <c r="J2372" s="6" t="s">
        <v>83</v>
      </c>
      <c r="K2372" s="6" t="s">
        <v>5278</v>
      </c>
      <c r="L2372" s="7"/>
      <c r="M2372" s="7"/>
    </row>
    <row r="2373" customFormat="false" ht="23.85" hidden="false" customHeight="false" outlineLevel="0" collapsed="false">
      <c r="A2373" s="6" t="s">
        <v>3219</v>
      </c>
      <c r="B2373" s="6" t="s">
        <v>145</v>
      </c>
      <c r="C2373" s="6" t="s">
        <v>165</v>
      </c>
      <c r="D2373" s="6" t="s">
        <v>491</v>
      </c>
      <c r="E2373" s="6" t="s">
        <v>5279</v>
      </c>
      <c r="F2373" s="6" t="s">
        <v>3226</v>
      </c>
      <c r="G2373" s="6"/>
      <c r="H2373" s="6" t="s">
        <v>5280</v>
      </c>
      <c r="I2373" s="6"/>
      <c r="J2373" s="6" t="s">
        <v>83</v>
      </c>
      <c r="K2373" s="6" t="s">
        <v>5281</v>
      </c>
      <c r="L2373" s="7"/>
      <c r="M2373" s="7"/>
    </row>
    <row r="2374" customFormat="false" ht="23.85" hidden="false" customHeight="false" outlineLevel="0" collapsed="false">
      <c r="A2374" s="6" t="s">
        <v>3230</v>
      </c>
      <c r="B2374" s="6" t="s">
        <v>110</v>
      </c>
      <c r="C2374" s="6" t="s">
        <v>98</v>
      </c>
      <c r="D2374" s="6" t="s">
        <v>372</v>
      </c>
      <c r="E2374" s="6"/>
      <c r="F2374" s="6" t="s">
        <v>3237</v>
      </c>
      <c r="G2374" s="6" t="s">
        <v>3651</v>
      </c>
      <c r="H2374" s="6" t="s">
        <v>5282</v>
      </c>
      <c r="I2374" s="6" t="n">
        <v>25</v>
      </c>
      <c r="J2374" s="6" t="s">
        <v>83</v>
      </c>
      <c r="K2374" s="6" t="s">
        <v>5283</v>
      </c>
      <c r="L2374" s="7"/>
      <c r="M2374" s="7"/>
    </row>
    <row r="2375" customFormat="false" ht="23.85" hidden="false" customHeight="false" outlineLevel="0" collapsed="false">
      <c r="A2375" s="6" t="s">
        <v>3230</v>
      </c>
      <c r="B2375" s="6" t="s">
        <v>110</v>
      </c>
      <c r="C2375" s="6" t="s">
        <v>98</v>
      </c>
      <c r="D2375" s="6" t="s">
        <v>372</v>
      </c>
      <c r="E2375" s="6"/>
      <c r="F2375" s="6" t="s">
        <v>3237</v>
      </c>
      <c r="G2375" s="6" t="s">
        <v>3654</v>
      </c>
      <c r="H2375" s="6" t="s">
        <v>5284</v>
      </c>
      <c r="I2375" s="6" t="n">
        <v>25</v>
      </c>
      <c r="J2375" s="6" t="s">
        <v>83</v>
      </c>
      <c r="K2375" s="6" t="s">
        <v>5285</v>
      </c>
      <c r="L2375" s="7"/>
      <c r="M2375" s="7"/>
    </row>
    <row r="2376" customFormat="false" ht="23.85" hidden="false" customHeight="false" outlineLevel="0" collapsed="false">
      <c r="A2376" s="6" t="s">
        <v>3230</v>
      </c>
      <c r="B2376" s="6" t="s">
        <v>110</v>
      </c>
      <c r="C2376" s="6" t="s">
        <v>98</v>
      </c>
      <c r="D2376" s="6" t="s">
        <v>372</v>
      </c>
      <c r="E2376" s="6"/>
      <c r="F2376" s="6" t="s">
        <v>3237</v>
      </c>
      <c r="G2376" s="6" t="s">
        <v>3657</v>
      </c>
      <c r="H2376" s="6" t="s">
        <v>5286</v>
      </c>
      <c r="I2376" s="6" t="n">
        <v>25</v>
      </c>
      <c r="J2376" s="6" t="s">
        <v>83</v>
      </c>
      <c r="K2376" s="6" t="s">
        <v>5287</v>
      </c>
      <c r="L2376" s="7"/>
      <c r="M2376" s="7"/>
    </row>
    <row r="2377" customFormat="false" ht="23.85" hidden="false" customHeight="false" outlineLevel="0" collapsed="false">
      <c r="A2377" s="6" t="s">
        <v>3230</v>
      </c>
      <c r="B2377" s="6" t="s">
        <v>110</v>
      </c>
      <c r="C2377" s="6" t="s">
        <v>98</v>
      </c>
      <c r="D2377" s="6" t="s">
        <v>372</v>
      </c>
      <c r="E2377" s="6"/>
      <c r="F2377" s="6" t="s">
        <v>3237</v>
      </c>
      <c r="G2377" s="6" t="s">
        <v>3660</v>
      </c>
      <c r="H2377" s="6" t="s">
        <v>5288</v>
      </c>
      <c r="I2377" s="6" t="n">
        <v>25</v>
      </c>
      <c r="J2377" s="6" t="s">
        <v>83</v>
      </c>
      <c r="K2377" s="6" t="s">
        <v>5289</v>
      </c>
      <c r="L2377" s="7"/>
      <c r="M2377" s="7"/>
    </row>
    <row r="2378" customFormat="false" ht="23.85" hidden="false" customHeight="false" outlineLevel="0" collapsed="false">
      <c r="A2378" s="6" t="s">
        <v>3230</v>
      </c>
      <c r="B2378" s="6" t="s">
        <v>110</v>
      </c>
      <c r="C2378" s="6" t="s">
        <v>98</v>
      </c>
      <c r="D2378" s="6" t="s">
        <v>372</v>
      </c>
      <c r="E2378" s="6"/>
      <c r="F2378" s="6" t="s">
        <v>3237</v>
      </c>
      <c r="G2378" s="6" t="s">
        <v>3687</v>
      </c>
      <c r="H2378" s="6" t="s">
        <v>5290</v>
      </c>
      <c r="I2378" s="6" t="n">
        <v>0</v>
      </c>
      <c r="J2378" s="6"/>
      <c r="K2378" s="6" t="s">
        <v>5291</v>
      </c>
      <c r="L2378" s="7"/>
      <c r="M2378" s="7"/>
    </row>
    <row r="2379" customFormat="false" ht="23.85" hidden="false" customHeight="false" outlineLevel="0" collapsed="false">
      <c r="A2379" s="6" t="s">
        <v>3240</v>
      </c>
      <c r="B2379" s="6" t="s">
        <v>96</v>
      </c>
      <c r="C2379" s="6" t="s">
        <v>98</v>
      </c>
      <c r="D2379" s="6" t="s">
        <v>396</v>
      </c>
      <c r="E2379" s="6"/>
      <c r="F2379" s="6" t="s">
        <v>3247</v>
      </c>
      <c r="G2379" s="6" t="s">
        <v>3651</v>
      </c>
      <c r="H2379" s="6" t="s">
        <v>5292</v>
      </c>
      <c r="I2379" s="6" t="n">
        <v>25</v>
      </c>
      <c r="J2379" s="6"/>
      <c r="K2379" s="6" t="s">
        <v>5293</v>
      </c>
      <c r="L2379" s="7"/>
      <c r="M2379" s="7"/>
    </row>
    <row r="2380" customFormat="false" ht="23.85" hidden="false" customHeight="false" outlineLevel="0" collapsed="false">
      <c r="A2380" s="6" t="s">
        <v>3240</v>
      </c>
      <c r="B2380" s="6" t="s">
        <v>96</v>
      </c>
      <c r="C2380" s="6" t="s">
        <v>98</v>
      </c>
      <c r="D2380" s="6" t="s">
        <v>396</v>
      </c>
      <c r="E2380" s="6"/>
      <c r="F2380" s="6" t="s">
        <v>3247</v>
      </c>
      <c r="G2380" s="6" t="s">
        <v>3654</v>
      </c>
      <c r="H2380" s="6" t="s">
        <v>5294</v>
      </c>
      <c r="I2380" s="6" t="n">
        <v>98</v>
      </c>
      <c r="J2380" s="6" t="s">
        <v>83</v>
      </c>
      <c r="K2380" s="6" t="s">
        <v>5295</v>
      </c>
      <c r="L2380" s="7"/>
      <c r="M2380" s="7"/>
    </row>
    <row r="2381" customFormat="false" ht="23.85" hidden="false" customHeight="false" outlineLevel="0" collapsed="false">
      <c r="A2381" s="6" t="s">
        <v>3240</v>
      </c>
      <c r="B2381" s="6" t="s">
        <v>96</v>
      </c>
      <c r="C2381" s="6" t="s">
        <v>98</v>
      </c>
      <c r="D2381" s="6" t="s">
        <v>396</v>
      </c>
      <c r="E2381" s="6"/>
      <c r="F2381" s="6" t="s">
        <v>3247</v>
      </c>
      <c r="G2381" s="6" t="s">
        <v>3657</v>
      </c>
      <c r="H2381" s="6" t="s">
        <v>5296</v>
      </c>
      <c r="I2381" s="6" t="n">
        <v>35</v>
      </c>
      <c r="J2381" s="6"/>
      <c r="K2381" s="6" t="s">
        <v>5297</v>
      </c>
      <c r="L2381" s="7"/>
      <c r="M2381" s="7"/>
    </row>
    <row r="2382" customFormat="false" ht="23.85" hidden="false" customHeight="false" outlineLevel="0" collapsed="false">
      <c r="A2382" s="6" t="s">
        <v>3240</v>
      </c>
      <c r="B2382" s="6" t="s">
        <v>96</v>
      </c>
      <c r="C2382" s="6" t="s">
        <v>98</v>
      </c>
      <c r="D2382" s="6" t="s">
        <v>396</v>
      </c>
      <c r="E2382" s="6"/>
      <c r="F2382" s="6" t="s">
        <v>3247</v>
      </c>
      <c r="G2382" s="6" t="s">
        <v>3660</v>
      </c>
      <c r="H2382" s="6" t="s">
        <v>5298</v>
      </c>
      <c r="I2382" s="6" t="n">
        <v>10</v>
      </c>
      <c r="J2382" s="6"/>
      <c r="K2382" s="6" t="s">
        <v>5299</v>
      </c>
      <c r="L2382" s="7"/>
      <c r="M2382" s="7"/>
    </row>
    <row r="2383" customFormat="false" ht="23.85" hidden="false" customHeight="false" outlineLevel="0" collapsed="false">
      <c r="A2383" s="6" t="s">
        <v>3251</v>
      </c>
      <c r="B2383" s="6" t="s">
        <v>132</v>
      </c>
      <c r="C2383" s="6" t="s">
        <v>165</v>
      </c>
      <c r="D2383" s="6" t="s">
        <v>431</v>
      </c>
      <c r="E2383" s="6" t="s">
        <v>432</v>
      </c>
      <c r="F2383" s="6" t="s">
        <v>3253</v>
      </c>
      <c r="G2383" s="6" t="s">
        <v>4029</v>
      </c>
      <c r="H2383" s="6" t="s">
        <v>5300</v>
      </c>
      <c r="I2383" s="6" t="n">
        <v>1</v>
      </c>
      <c r="J2383" s="6" t="s">
        <v>3692</v>
      </c>
      <c r="K2383" s="6"/>
      <c r="L2383" s="7"/>
      <c r="M2383" s="7"/>
    </row>
    <row r="2384" customFormat="false" ht="23.85" hidden="false" customHeight="false" outlineLevel="0" collapsed="false">
      <c r="A2384" s="6" t="s">
        <v>3251</v>
      </c>
      <c r="B2384" s="6" t="s">
        <v>132</v>
      </c>
      <c r="C2384" s="6" t="s">
        <v>165</v>
      </c>
      <c r="D2384" s="6" t="s">
        <v>431</v>
      </c>
      <c r="E2384" s="6" t="s">
        <v>432</v>
      </c>
      <c r="F2384" s="6" t="s">
        <v>3253</v>
      </c>
      <c r="G2384" s="6" t="s">
        <v>4037</v>
      </c>
      <c r="H2384" s="6" t="s">
        <v>5301</v>
      </c>
      <c r="I2384" s="6" t="n">
        <v>2</v>
      </c>
      <c r="J2384" s="6" t="s">
        <v>3695</v>
      </c>
      <c r="K2384" s="6"/>
      <c r="L2384" s="7"/>
      <c r="M2384" s="7"/>
    </row>
    <row r="2385" customFormat="false" ht="23.85" hidden="false" customHeight="false" outlineLevel="0" collapsed="false">
      <c r="A2385" s="6" t="s">
        <v>3251</v>
      </c>
      <c r="B2385" s="6" t="s">
        <v>132</v>
      </c>
      <c r="C2385" s="6" t="s">
        <v>165</v>
      </c>
      <c r="D2385" s="6" t="s">
        <v>431</v>
      </c>
      <c r="E2385" s="6" t="s">
        <v>432</v>
      </c>
      <c r="F2385" s="6" t="s">
        <v>3253</v>
      </c>
      <c r="G2385" s="6" t="s">
        <v>3699</v>
      </c>
      <c r="H2385" s="6" t="s">
        <v>5302</v>
      </c>
      <c r="I2385" s="6" t="n">
        <v>3</v>
      </c>
      <c r="J2385" s="6" t="s">
        <v>3698</v>
      </c>
      <c r="K2385" s="6"/>
      <c r="L2385" s="7"/>
      <c r="M2385" s="7"/>
    </row>
    <row r="2386" customFormat="false" ht="23.85" hidden="false" customHeight="false" outlineLevel="0" collapsed="false">
      <c r="A2386" s="6" t="s">
        <v>3251</v>
      </c>
      <c r="B2386" s="6" t="s">
        <v>132</v>
      </c>
      <c r="C2386" s="6" t="s">
        <v>165</v>
      </c>
      <c r="D2386" s="6" t="s">
        <v>431</v>
      </c>
      <c r="E2386" s="6" t="s">
        <v>432</v>
      </c>
      <c r="F2386" s="6" t="s">
        <v>3253</v>
      </c>
      <c r="G2386" s="6" t="s">
        <v>4018</v>
      </c>
      <c r="H2386" s="6" t="s">
        <v>5303</v>
      </c>
      <c r="I2386" s="6" t="n">
        <v>4</v>
      </c>
      <c r="J2386" s="6" t="s">
        <v>3701</v>
      </c>
      <c r="K2386" s="6"/>
      <c r="L2386" s="7"/>
      <c r="M2386" s="7"/>
    </row>
    <row r="2387" customFormat="false" ht="23.85" hidden="false" customHeight="false" outlineLevel="0" collapsed="false">
      <c r="A2387" s="6" t="s">
        <v>3257</v>
      </c>
      <c r="B2387" s="6" t="s">
        <v>110</v>
      </c>
      <c r="C2387" s="6" t="s">
        <v>165</v>
      </c>
      <c r="D2387" s="6" t="s">
        <v>491</v>
      </c>
      <c r="E2387" s="6" t="s">
        <v>5304</v>
      </c>
      <c r="F2387" s="6" t="s">
        <v>3259</v>
      </c>
      <c r="G2387" s="6"/>
      <c r="H2387" s="6" t="s">
        <v>5305</v>
      </c>
      <c r="I2387" s="6"/>
      <c r="J2387" s="6" t="s">
        <v>83</v>
      </c>
      <c r="K2387" s="6" t="s">
        <v>5306</v>
      </c>
      <c r="L2387" s="7"/>
      <c r="M2387" s="7"/>
    </row>
    <row r="2388" customFormat="false" ht="23.85" hidden="false" customHeight="false" outlineLevel="0" collapsed="false">
      <c r="A2388" s="6" t="s">
        <v>3257</v>
      </c>
      <c r="B2388" s="6" t="s">
        <v>110</v>
      </c>
      <c r="C2388" s="6" t="s">
        <v>165</v>
      </c>
      <c r="D2388" s="6" t="s">
        <v>491</v>
      </c>
      <c r="E2388" s="6" t="s">
        <v>5307</v>
      </c>
      <c r="F2388" s="6" t="s">
        <v>3259</v>
      </c>
      <c r="G2388" s="6"/>
      <c r="H2388" s="6" t="s">
        <v>5308</v>
      </c>
      <c r="I2388" s="6"/>
      <c r="J2388" s="6" t="s">
        <v>83</v>
      </c>
      <c r="K2388" s="6" t="s">
        <v>5309</v>
      </c>
      <c r="L2388" s="7"/>
      <c r="M2388" s="7"/>
    </row>
    <row r="2389" customFormat="false" ht="23.85" hidden="false" customHeight="false" outlineLevel="0" collapsed="false">
      <c r="A2389" s="6" t="s">
        <v>3257</v>
      </c>
      <c r="B2389" s="6" t="s">
        <v>110</v>
      </c>
      <c r="C2389" s="6" t="s">
        <v>165</v>
      </c>
      <c r="D2389" s="6" t="s">
        <v>491</v>
      </c>
      <c r="E2389" s="6" t="s">
        <v>5310</v>
      </c>
      <c r="F2389" s="6" t="s">
        <v>3259</v>
      </c>
      <c r="G2389" s="6"/>
      <c r="H2389" s="6" t="s">
        <v>5311</v>
      </c>
      <c r="I2389" s="6"/>
      <c r="J2389" s="6" t="s">
        <v>83</v>
      </c>
      <c r="K2389" s="6" t="s">
        <v>5312</v>
      </c>
      <c r="L2389" s="7"/>
      <c r="M2389" s="7"/>
    </row>
    <row r="2390" customFormat="false" ht="15" hidden="false" customHeight="false" outlineLevel="0" collapsed="false">
      <c r="A2390" s="6" t="s">
        <v>3263</v>
      </c>
      <c r="B2390" s="6" t="s">
        <v>145</v>
      </c>
      <c r="C2390" s="6" t="s">
        <v>165</v>
      </c>
      <c r="D2390" s="6" t="s">
        <v>408</v>
      </c>
      <c r="E2390" s="6"/>
      <c r="F2390" s="6" t="s">
        <v>3267</v>
      </c>
      <c r="G2390" s="6" t="s">
        <v>3651</v>
      </c>
      <c r="H2390" s="6" t="s">
        <v>5313</v>
      </c>
      <c r="I2390" s="6" t="n">
        <v>10</v>
      </c>
      <c r="J2390" s="6"/>
      <c r="K2390" s="6" t="s">
        <v>5314</v>
      </c>
      <c r="L2390" s="7"/>
      <c r="M2390" s="7"/>
    </row>
    <row r="2391" customFormat="false" ht="23.85" hidden="false" customHeight="false" outlineLevel="0" collapsed="false">
      <c r="A2391" s="6" t="s">
        <v>3263</v>
      </c>
      <c r="B2391" s="6" t="s">
        <v>145</v>
      </c>
      <c r="C2391" s="6" t="s">
        <v>165</v>
      </c>
      <c r="D2391" s="6" t="s">
        <v>408</v>
      </c>
      <c r="E2391" s="6"/>
      <c r="F2391" s="6" t="s">
        <v>3267</v>
      </c>
      <c r="G2391" s="6" t="s">
        <v>3654</v>
      </c>
      <c r="H2391" s="6" t="s">
        <v>5315</v>
      </c>
      <c r="I2391" s="6" t="n">
        <v>98</v>
      </c>
      <c r="J2391" s="6" t="s">
        <v>83</v>
      </c>
      <c r="K2391" s="6" t="s">
        <v>5316</v>
      </c>
      <c r="L2391" s="7"/>
      <c r="M2391" s="7"/>
    </row>
    <row r="2392" customFormat="false" ht="15" hidden="false" customHeight="false" outlineLevel="0" collapsed="false">
      <c r="A2392" s="6" t="s">
        <v>3263</v>
      </c>
      <c r="B2392" s="6" t="s">
        <v>145</v>
      </c>
      <c r="C2392" s="6" t="s">
        <v>165</v>
      </c>
      <c r="D2392" s="6" t="s">
        <v>408</v>
      </c>
      <c r="E2392" s="6"/>
      <c r="F2392" s="6" t="s">
        <v>3267</v>
      </c>
      <c r="G2392" s="6" t="s">
        <v>3657</v>
      </c>
      <c r="H2392" s="6" t="s">
        <v>5317</v>
      </c>
      <c r="I2392" s="6" t="n">
        <v>35</v>
      </c>
      <c r="J2392" s="6"/>
      <c r="K2392" s="6" t="s">
        <v>5318</v>
      </c>
      <c r="L2392" s="7"/>
      <c r="M2392" s="7"/>
    </row>
    <row r="2393" customFormat="false" ht="23.85" hidden="false" customHeight="false" outlineLevel="0" collapsed="false">
      <c r="A2393" s="6" t="s">
        <v>3263</v>
      </c>
      <c r="B2393" s="6" t="s">
        <v>145</v>
      </c>
      <c r="C2393" s="6" t="s">
        <v>165</v>
      </c>
      <c r="D2393" s="6" t="s">
        <v>408</v>
      </c>
      <c r="E2393" s="6"/>
      <c r="F2393" s="6" t="s">
        <v>3267</v>
      </c>
      <c r="G2393" s="6" t="s">
        <v>3660</v>
      </c>
      <c r="H2393" s="6" t="s">
        <v>5319</v>
      </c>
      <c r="I2393" s="6" t="n">
        <v>40</v>
      </c>
      <c r="J2393" s="6"/>
      <c r="K2393" s="6" t="s">
        <v>5320</v>
      </c>
      <c r="L2393" s="7"/>
      <c r="M2393" s="7"/>
    </row>
    <row r="2394" customFormat="false" ht="23.85" hidden="false" customHeight="false" outlineLevel="0" collapsed="false">
      <c r="A2394" s="6" t="s">
        <v>3271</v>
      </c>
      <c r="B2394" s="6" t="s">
        <v>132</v>
      </c>
      <c r="C2394" s="6" t="s">
        <v>98</v>
      </c>
      <c r="D2394" s="6" t="s">
        <v>452</v>
      </c>
      <c r="E2394" s="6"/>
      <c r="F2394" s="6" t="s">
        <v>3273</v>
      </c>
      <c r="G2394" s="6" t="s">
        <v>3651</v>
      </c>
      <c r="H2394" s="6" t="s">
        <v>5321</v>
      </c>
      <c r="I2394" s="6" t="n">
        <v>33</v>
      </c>
      <c r="J2394" s="6" t="s">
        <v>83</v>
      </c>
      <c r="K2394" s="6" t="s">
        <v>5322</v>
      </c>
      <c r="L2394" s="7"/>
      <c r="M2394" s="7"/>
    </row>
    <row r="2395" customFormat="false" ht="23.85" hidden="false" customHeight="false" outlineLevel="0" collapsed="false">
      <c r="A2395" s="6" t="s">
        <v>3271</v>
      </c>
      <c r="B2395" s="6" t="s">
        <v>132</v>
      </c>
      <c r="C2395" s="6" t="s">
        <v>98</v>
      </c>
      <c r="D2395" s="6" t="s">
        <v>452</v>
      </c>
      <c r="E2395" s="6"/>
      <c r="F2395" s="6" t="s">
        <v>3273</v>
      </c>
      <c r="G2395" s="6" t="s">
        <v>3654</v>
      </c>
      <c r="H2395" s="6" t="s">
        <v>5323</v>
      </c>
      <c r="I2395" s="6" t="n">
        <v>33</v>
      </c>
      <c r="J2395" s="6" t="s">
        <v>83</v>
      </c>
      <c r="K2395" s="6" t="s">
        <v>5324</v>
      </c>
      <c r="L2395" s="7"/>
      <c r="M2395" s="7"/>
    </row>
    <row r="2396" customFormat="false" ht="23.85" hidden="false" customHeight="false" outlineLevel="0" collapsed="false">
      <c r="A2396" s="6" t="s">
        <v>3271</v>
      </c>
      <c r="B2396" s="6" t="s">
        <v>132</v>
      </c>
      <c r="C2396" s="6" t="s">
        <v>98</v>
      </c>
      <c r="D2396" s="6" t="s">
        <v>452</v>
      </c>
      <c r="E2396" s="6"/>
      <c r="F2396" s="6" t="s">
        <v>3273</v>
      </c>
      <c r="G2396" s="6" t="s">
        <v>3657</v>
      </c>
      <c r="H2396" s="6" t="s">
        <v>5325</v>
      </c>
      <c r="I2396" s="6" t="n">
        <v>33</v>
      </c>
      <c r="J2396" s="6" t="s">
        <v>83</v>
      </c>
      <c r="K2396" s="6" t="s">
        <v>5326</v>
      </c>
      <c r="L2396" s="7"/>
      <c r="M2396" s="7"/>
    </row>
    <row r="2397" customFormat="false" ht="23.85" hidden="false" customHeight="false" outlineLevel="0" collapsed="false">
      <c r="A2397" s="6" t="s">
        <v>3271</v>
      </c>
      <c r="B2397" s="6" t="s">
        <v>132</v>
      </c>
      <c r="C2397" s="6" t="s">
        <v>98</v>
      </c>
      <c r="D2397" s="6" t="s">
        <v>452</v>
      </c>
      <c r="E2397" s="6"/>
      <c r="F2397" s="6" t="s">
        <v>3273</v>
      </c>
      <c r="G2397" s="6" t="s">
        <v>3660</v>
      </c>
      <c r="H2397" s="6" t="s">
        <v>5327</v>
      </c>
      <c r="I2397" s="6" t="n">
        <v>0</v>
      </c>
      <c r="J2397" s="6"/>
      <c r="K2397" s="6" t="s">
        <v>5328</v>
      </c>
      <c r="L2397" s="7"/>
      <c r="M2397" s="7"/>
    </row>
    <row r="2398" customFormat="false" ht="23.85" hidden="false" customHeight="false" outlineLevel="0" collapsed="false">
      <c r="A2398" s="6" t="s">
        <v>3276</v>
      </c>
      <c r="B2398" s="6" t="s">
        <v>123</v>
      </c>
      <c r="C2398" s="6" t="s">
        <v>98</v>
      </c>
      <c r="D2398" s="6" t="s">
        <v>491</v>
      </c>
      <c r="E2398" s="6" t="s">
        <v>5329</v>
      </c>
      <c r="F2398" s="6" t="s">
        <v>3278</v>
      </c>
      <c r="G2398" s="6"/>
      <c r="H2398" s="6" t="s">
        <v>5330</v>
      </c>
      <c r="I2398" s="6"/>
      <c r="J2398" s="6" t="s">
        <v>83</v>
      </c>
      <c r="K2398" s="6" t="s">
        <v>5331</v>
      </c>
      <c r="L2398" s="7"/>
      <c r="M2398" s="7"/>
    </row>
    <row r="2399" customFormat="false" ht="23.85" hidden="false" customHeight="false" outlineLevel="0" collapsed="false">
      <c r="A2399" s="6" t="s">
        <v>3276</v>
      </c>
      <c r="B2399" s="6" t="s">
        <v>123</v>
      </c>
      <c r="C2399" s="6" t="s">
        <v>98</v>
      </c>
      <c r="D2399" s="6" t="s">
        <v>491</v>
      </c>
      <c r="E2399" s="6" t="s">
        <v>4351</v>
      </c>
      <c r="F2399" s="6" t="s">
        <v>3278</v>
      </c>
      <c r="G2399" s="6"/>
      <c r="H2399" s="6" t="s">
        <v>5332</v>
      </c>
      <c r="I2399" s="6"/>
      <c r="J2399" s="6" t="s">
        <v>83</v>
      </c>
      <c r="K2399" s="6" t="s">
        <v>5333</v>
      </c>
      <c r="L2399" s="7"/>
      <c r="M2399" s="7"/>
    </row>
    <row r="2400" customFormat="false" ht="23.85" hidden="false" customHeight="false" outlineLevel="0" collapsed="false">
      <c r="A2400" s="6" t="s">
        <v>3276</v>
      </c>
      <c r="B2400" s="6" t="s">
        <v>123</v>
      </c>
      <c r="C2400" s="6" t="s">
        <v>98</v>
      </c>
      <c r="D2400" s="6" t="s">
        <v>491</v>
      </c>
      <c r="E2400" s="6" t="s">
        <v>4115</v>
      </c>
      <c r="F2400" s="6" t="s">
        <v>3278</v>
      </c>
      <c r="G2400" s="6"/>
      <c r="H2400" s="6" t="s">
        <v>5334</v>
      </c>
      <c r="I2400" s="6"/>
      <c r="J2400" s="6" t="s">
        <v>83</v>
      </c>
      <c r="K2400" s="6" t="s">
        <v>5335</v>
      </c>
      <c r="L2400" s="7"/>
      <c r="M2400" s="7"/>
    </row>
    <row r="2401" customFormat="false" ht="23.85" hidden="false" customHeight="false" outlineLevel="0" collapsed="false">
      <c r="A2401" s="6" t="s">
        <v>3282</v>
      </c>
      <c r="B2401" s="6" t="s">
        <v>77</v>
      </c>
      <c r="C2401" s="6" t="s">
        <v>98</v>
      </c>
      <c r="D2401" s="6" t="s">
        <v>431</v>
      </c>
      <c r="E2401" s="6" t="s">
        <v>432</v>
      </c>
      <c r="F2401" s="6" t="s">
        <v>3284</v>
      </c>
      <c r="G2401" s="6" t="s">
        <v>5204</v>
      </c>
      <c r="H2401" s="6" t="s">
        <v>5336</v>
      </c>
      <c r="I2401" s="6" t="n">
        <v>1</v>
      </c>
      <c r="J2401" s="6" t="s">
        <v>3692</v>
      </c>
      <c r="K2401" s="6"/>
      <c r="L2401" s="7"/>
      <c r="M2401" s="7"/>
    </row>
    <row r="2402" customFormat="false" ht="23.85" hidden="false" customHeight="false" outlineLevel="0" collapsed="false">
      <c r="A2402" s="6" t="s">
        <v>3282</v>
      </c>
      <c r="B2402" s="6" t="s">
        <v>77</v>
      </c>
      <c r="C2402" s="6" t="s">
        <v>98</v>
      </c>
      <c r="D2402" s="6" t="s">
        <v>431</v>
      </c>
      <c r="E2402" s="6" t="s">
        <v>432</v>
      </c>
      <c r="F2402" s="6" t="s">
        <v>3284</v>
      </c>
      <c r="G2402" s="6" t="s">
        <v>3731</v>
      </c>
      <c r="H2402" s="6" t="s">
        <v>5337</v>
      </c>
      <c r="I2402" s="6" t="n">
        <v>2</v>
      </c>
      <c r="J2402" s="6" t="s">
        <v>3695</v>
      </c>
      <c r="K2402" s="6"/>
      <c r="L2402" s="7"/>
      <c r="M2402" s="7"/>
    </row>
    <row r="2403" customFormat="false" ht="23.85" hidden="false" customHeight="false" outlineLevel="0" collapsed="false">
      <c r="A2403" s="6" t="s">
        <v>3282</v>
      </c>
      <c r="B2403" s="6" t="s">
        <v>77</v>
      </c>
      <c r="C2403" s="6" t="s">
        <v>98</v>
      </c>
      <c r="D2403" s="6" t="s">
        <v>431</v>
      </c>
      <c r="E2403" s="6" t="s">
        <v>432</v>
      </c>
      <c r="F2403" s="6" t="s">
        <v>3284</v>
      </c>
      <c r="G2403" s="6" t="s">
        <v>3733</v>
      </c>
      <c r="H2403" s="6" t="s">
        <v>5338</v>
      </c>
      <c r="I2403" s="6" t="n">
        <v>3</v>
      </c>
      <c r="J2403" s="6" t="s">
        <v>3698</v>
      </c>
      <c r="K2403" s="6"/>
      <c r="L2403" s="7"/>
      <c r="M2403" s="7"/>
    </row>
    <row r="2404" customFormat="false" ht="23.85" hidden="false" customHeight="false" outlineLevel="0" collapsed="false">
      <c r="A2404" s="6" t="s">
        <v>3282</v>
      </c>
      <c r="B2404" s="6" t="s">
        <v>77</v>
      </c>
      <c r="C2404" s="6" t="s">
        <v>98</v>
      </c>
      <c r="D2404" s="6" t="s">
        <v>431</v>
      </c>
      <c r="E2404" s="6" t="s">
        <v>432</v>
      </c>
      <c r="F2404" s="6" t="s">
        <v>3284</v>
      </c>
      <c r="G2404" s="6" t="s">
        <v>5339</v>
      </c>
      <c r="H2404" s="6" t="s">
        <v>5340</v>
      </c>
      <c r="I2404" s="6" t="n">
        <v>4</v>
      </c>
      <c r="J2404" s="6" t="s">
        <v>3701</v>
      </c>
      <c r="K2404" s="6"/>
      <c r="L2404" s="7"/>
      <c r="M2404" s="7"/>
    </row>
    <row r="2405" customFormat="false" ht="15" hidden="false" customHeight="false" outlineLevel="0" collapsed="false">
      <c r="A2405" s="6" t="s">
        <v>3288</v>
      </c>
      <c r="B2405" s="6" t="s">
        <v>96</v>
      </c>
      <c r="C2405" s="6" t="s">
        <v>98</v>
      </c>
      <c r="D2405" s="6" t="s">
        <v>372</v>
      </c>
      <c r="E2405" s="6"/>
      <c r="F2405" s="6" t="s">
        <v>3295</v>
      </c>
      <c r="G2405" s="6" t="s">
        <v>3651</v>
      </c>
      <c r="H2405" s="6" t="s">
        <v>5341</v>
      </c>
      <c r="I2405" s="6" t="n">
        <v>20</v>
      </c>
      <c r="J2405" s="6"/>
      <c r="K2405" s="6" t="s">
        <v>5342</v>
      </c>
      <c r="L2405" s="7"/>
      <c r="M2405" s="7"/>
    </row>
    <row r="2406" customFormat="false" ht="23.85" hidden="false" customHeight="false" outlineLevel="0" collapsed="false">
      <c r="A2406" s="6" t="s">
        <v>3288</v>
      </c>
      <c r="B2406" s="6" t="s">
        <v>96</v>
      </c>
      <c r="C2406" s="6" t="s">
        <v>98</v>
      </c>
      <c r="D2406" s="6" t="s">
        <v>372</v>
      </c>
      <c r="E2406" s="6"/>
      <c r="F2406" s="6" t="s">
        <v>3295</v>
      </c>
      <c r="G2406" s="6" t="s">
        <v>3654</v>
      </c>
      <c r="H2406" s="6" t="s">
        <v>5343</v>
      </c>
      <c r="I2406" s="6" t="n">
        <v>98</v>
      </c>
      <c r="J2406" s="6" t="s">
        <v>83</v>
      </c>
      <c r="K2406" s="6" t="s">
        <v>5344</v>
      </c>
      <c r="L2406" s="7"/>
      <c r="M2406" s="7"/>
    </row>
    <row r="2407" customFormat="false" ht="15" hidden="false" customHeight="false" outlineLevel="0" collapsed="false">
      <c r="A2407" s="6" t="s">
        <v>3288</v>
      </c>
      <c r="B2407" s="6" t="s">
        <v>96</v>
      </c>
      <c r="C2407" s="6" t="s">
        <v>98</v>
      </c>
      <c r="D2407" s="6" t="s">
        <v>372</v>
      </c>
      <c r="E2407" s="6"/>
      <c r="F2407" s="6" t="s">
        <v>3295</v>
      </c>
      <c r="G2407" s="6" t="s">
        <v>3657</v>
      </c>
      <c r="H2407" s="6" t="s">
        <v>5345</v>
      </c>
      <c r="I2407" s="6" t="n">
        <v>45</v>
      </c>
      <c r="J2407" s="6"/>
      <c r="K2407" s="6" t="s">
        <v>5346</v>
      </c>
      <c r="L2407" s="7"/>
      <c r="M2407" s="7"/>
    </row>
    <row r="2408" customFormat="false" ht="15" hidden="false" customHeight="false" outlineLevel="0" collapsed="false">
      <c r="A2408" s="6" t="s">
        <v>3288</v>
      </c>
      <c r="B2408" s="6" t="s">
        <v>96</v>
      </c>
      <c r="C2408" s="6" t="s">
        <v>98</v>
      </c>
      <c r="D2408" s="6" t="s">
        <v>372</v>
      </c>
      <c r="E2408" s="6"/>
      <c r="F2408" s="6" t="s">
        <v>3295</v>
      </c>
      <c r="G2408" s="6" t="s">
        <v>3660</v>
      </c>
      <c r="H2408" s="6" t="s">
        <v>5347</v>
      </c>
      <c r="I2408" s="6" t="n">
        <v>15</v>
      </c>
      <c r="J2408" s="6"/>
      <c r="K2408" s="6" t="s">
        <v>5348</v>
      </c>
      <c r="L2408" s="7"/>
      <c r="M2408" s="7"/>
    </row>
    <row r="2409" customFormat="false" ht="23.85" hidden="false" customHeight="false" outlineLevel="0" collapsed="false">
      <c r="A2409" s="6" t="s">
        <v>3299</v>
      </c>
      <c r="B2409" s="6" t="s">
        <v>145</v>
      </c>
      <c r="C2409" s="6" t="s">
        <v>165</v>
      </c>
      <c r="D2409" s="6" t="s">
        <v>452</v>
      </c>
      <c r="E2409" s="6"/>
      <c r="F2409" s="6" t="s">
        <v>3301</v>
      </c>
      <c r="G2409" s="6" t="s">
        <v>3651</v>
      </c>
      <c r="H2409" s="6" t="s">
        <v>5349</v>
      </c>
      <c r="I2409" s="6" t="n">
        <v>25</v>
      </c>
      <c r="J2409" s="6" t="s">
        <v>83</v>
      </c>
      <c r="K2409" s="6" t="s">
        <v>5350</v>
      </c>
      <c r="L2409" s="7"/>
      <c r="M2409" s="7"/>
    </row>
    <row r="2410" customFormat="false" ht="23.85" hidden="false" customHeight="false" outlineLevel="0" collapsed="false">
      <c r="A2410" s="6" t="s">
        <v>3299</v>
      </c>
      <c r="B2410" s="6" t="s">
        <v>145</v>
      </c>
      <c r="C2410" s="6" t="s">
        <v>165</v>
      </c>
      <c r="D2410" s="6" t="s">
        <v>452</v>
      </c>
      <c r="E2410" s="6"/>
      <c r="F2410" s="6" t="s">
        <v>3301</v>
      </c>
      <c r="G2410" s="6" t="s">
        <v>3654</v>
      </c>
      <c r="H2410" s="6" t="s">
        <v>5351</v>
      </c>
      <c r="I2410" s="6" t="n">
        <v>25</v>
      </c>
      <c r="J2410" s="6" t="s">
        <v>83</v>
      </c>
      <c r="K2410" s="6" t="s">
        <v>5352</v>
      </c>
      <c r="L2410" s="7"/>
      <c r="M2410" s="7"/>
    </row>
    <row r="2411" customFormat="false" ht="23.85" hidden="false" customHeight="false" outlineLevel="0" collapsed="false">
      <c r="A2411" s="6" t="s">
        <v>3299</v>
      </c>
      <c r="B2411" s="6" t="s">
        <v>145</v>
      </c>
      <c r="C2411" s="6" t="s">
        <v>165</v>
      </c>
      <c r="D2411" s="6" t="s">
        <v>452</v>
      </c>
      <c r="E2411" s="6"/>
      <c r="F2411" s="6" t="s">
        <v>3301</v>
      </c>
      <c r="G2411" s="6" t="s">
        <v>3657</v>
      </c>
      <c r="H2411" s="6" t="s">
        <v>5353</v>
      </c>
      <c r="I2411" s="6" t="n">
        <v>25</v>
      </c>
      <c r="J2411" s="6" t="s">
        <v>83</v>
      </c>
      <c r="K2411" s="6" t="s">
        <v>5354</v>
      </c>
      <c r="L2411" s="7"/>
      <c r="M2411" s="7"/>
    </row>
    <row r="2412" customFormat="false" ht="23.85" hidden="false" customHeight="false" outlineLevel="0" collapsed="false">
      <c r="A2412" s="6" t="s">
        <v>3299</v>
      </c>
      <c r="B2412" s="6" t="s">
        <v>145</v>
      </c>
      <c r="C2412" s="6" t="s">
        <v>165</v>
      </c>
      <c r="D2412" s="6" t="s">
        <v>452</v>
      </c>
      <c r="E2412" s="6"/>
      <c r="F2412" s="6" t="s">
        <v>3301</v>
      </c>
      <c r="G2412" s="6" t="s">
        <v>3660</v>
      </c>
      <c r="H2412" s="6" t="s">
        <v>5355</v>
      </c>
      <c r="I2412" s="6" t="n">
        <v>25</v>
      </c>
      <c r="J2412" s="6" t="s">
        <v>83</v>
      </c>
      <c r="K2412" s="6" t="s">
        <v>5356</v>
      </c>
      <c r="L2412" s="7"/>
      <c r="M2412" s="7"/>
    </row>
    <row r="2413" customFormat="false" ht="23.85" hidden="false" customHeight="false" outlineLevel="0" collapsed="false">
      <c r="A2413" s="6" t="s">
        <v>3299</v>
      </c>
      <c r="B2413" s="6" t="s">
        <v>145</v>
      </c>
      <c r="C2413" s="6" t="s">
        <v>165</v>
      </c>
      <c r="D2413" s="6" t="s">
        <v>452</v>
      </c>
      <c r="E2413" s="6"/>
      <c r="F2413" s="6" t="s">
        <v>3301</v>
      </c>
      <c r="G2413" s="6" t="s">
        <v>3687</v>
      </c>
      <c r="H2413" s="6" t="s">
        <v>5357</v>
      </c>
      <c r="I2413" s="6" t="n">
        <v>0</v>
      </c>
      <c r="J2413" s="6"/>
      <c r="K2413" s="6" t="s">
        <v>5358</v>
      </c>
      <c r="L2413" s="7"/>
      <c r="M2413" s="7"/>
    </row>
    <row r="2414" customFormat="false" ht="23.85" hidden="false" customHeight="false" outlineLevel="0" collapsed="false">
      <c r="A2414" s="6" t="s">
        <v>3304</v>
      </c>
      <c r="B2414" s="6" t="s">
        <v>110</v>
      </c>
      <c r="C2414" s="6" t="s">
        <v>165</v>
      </c>
      <c r="D2414" s="6" t="s">
        <v>431</v>
      </c>
      <c r="E2414" s="6" t="s">
        <v>432</v>
      </c>
      <c r="F2414" s="6" t="s">
        <v>3308</v>
      </c>
      <c r="G2414" s="6" t="s">
        <v>4262</v>
      </c>
      <c r="H2414" s="6" t="s">
        <v>5359</v>
      </c>
      <c r="I2414" s="6" t="n">
        <v>1</v>
      </c>
      <c r="J2414" s="6" t="s">
        <v>3692</v>
      </c>
      <c r="K2414" s="6"/>
      <c r="L2414" s="7"/>
      <c r="M2414" s="7"/>
    </row>
    <row r="2415" customFormat="false" ht="23.85" hidden="false" customHeight="false" outlineLevel="0" collapsed="false">
      <c r="A2415" s="6" t="s">
        <v>3304</v>
      </c>
      <c r="B2415" s="6" t="s">
        <v>110</v>
      </c>
      <c r="C2415" s="6" t="s">
        <v>165</v>
      </c>
      <c r="D2415" s="6" t="s">
        <v>431</v>
      </c>
      <c r="E2415" s="6" t="s">
        <v>432</v>
      </c>
      <c r="F2415" s="6" t="s">
        <v>3308</v>
      </c>
      <c r="G2415" s="6" t="s">
        <v>5360</v>
      </c>
      <c r="H2415" s="6" t="s">
        <v>5361</v>
      </c>
      <c r="I2415" s="6" t="n">
        <v>2</v>
      </c>
      <c r="J2415" s="6" t="s">
        <v>3695</v>
      </c>
      <c r="K2415" s="6"/>
      <c r="L2415" s="7"/>
      <c r="M2415" s="7"/>
    </row>
    <row r="2416" customFormat="false" ht="23.85" hidden="false" customHeight="false" outlineLevel="0" collapsed="false">
      <c r="A2416" s="6" t="s">
        <v>3304</v>
      </c>
      <c r="B2416" s="6" t="s">
        <v>110</v>
      </c>
      <c r="C2416" s="6" t="s">
        <v>165</v>
      </c>
      <c r="D2416" s="6" t="s">
        <v>431</v>
      </c>
      <c r="E2416" s="6" t="s">
        <v>432</v>
      </c>
      <c r="F2416" s="6" t="s">
        <v>3308</v>
      </c>
      <c r="G2416" s="6" t="s">
        <v>5362</v>
      </c>
      <c r="H2416" s="6" t="s">
        <v>5363</v>
      </c>
      <c r="I2416" s="6" t="n">
        <v>3</v>
      </c>
      <c r="J2416" s="6" t="s">
        <v>3698</v>
      </c>
      <c r="K2416" s="6"/>
      <c r="L2416" s="7"/>
      <c r="M2416" s="7"/>
    </row>
    <row r="2417" customFormat="false" ht="23.85" hidden="false" customHeight="false" outlineLevel="0" collapsed="false">
      <c r="A2417" s="6" t="s">
        <v>3304</v>
      </c>
      <c r="B2417" s="6" t="s">
        <v>110</v>
      </c>
      <c r="C2417" s="6" t="s">
        <v>165</v>
      </c>
      <c r="D2417" s="6" t="s">
        <v>431</v>
      </c>
      <c r="E2417" s="6" t="s">
        <v>432</v>
      </c>
      <c r="F2417" s="6" t="s">
        <v>3308</v>
      </c>
      <c r="G2417" s="6" t="s">
        <v>5364</v>
      </c>
      <c r="H2417" s="6" t="s">
        <v>5365</v>
      </c>
      <c r="I2417" s="6" t="n">
        <v>4</v>
      </c>
      <c r="J2417" s="6" t="s">
        <v>3701</v>
      </c>
      <c r="K2417" s="6"/>
      <c r="L2417" s="7"/>
      <c r="M2417" s="7"/>
    </row>
    <row r="2418" customFormat="false" ht="23.85" hidden="false" customHeight="false" outlineLevel="0" collapsed="false">
      <c r="A2418" s="6" t="s">
        <v>3312</v>
      </c>
      <c r="B2418" s="6" t="s">
        <v>132</v>
      </c>
      <c r="C2418" s="6" t="s">
        <v>98</v>
      </c>
      <c r="D2418" s="6" t="s">
        <v>408</v>
      </c>
      <c r="E2418" s="6"/>
      <c r="F2418" s="6" t="s">
        <v>3314</v>
      </c>
      <c r="G2418" s="6" t="s">
        <v>3651</v>
      </c>
      <c r="H2418" s="6" t="s">
        <v>5366</v>
      </c>
      <c r="I2418" s="6" t="n">
        <v>20</v>
      </c>
      <c r="J2418" s="6"/>
      <c r="K2418" s="6" t="s">
        <v>5367</v>
      </c>
      <c r="L2418" s="7"/>
      <c r="M2418" s="7"/>
    </row>
    <row r="2419" customFormat="false" ht="23.85" hidden="false" customHeight="false" outlineLevel="0" collapsed="false">
      <c r="A2419" s="6" t="s">
        <v>3312</v>
      </c>
      <c r="B2419" s="6" t="s">
        <v>132</v>
      </c>
      <c r="C2419" s="6" t="s">
        <v>98</v>
      </c>
      <c r="D2419" s="6" t="s">
        <v>408</v>
      </c>
      <c r="E2419" s="6"/>
      <c r="F2419" s="6" t="s">
        <v>3314</v>
      </c>
      <c r="G2419" s="6" t="s">
        <v>3654</v>
      </c>
      <c r="H2419" s="6" t="s">
        <v>5368</v>
      </c>
      <c r="I2419" s="6" t="n">
        <v>98</v>
      </c>
      <c r="J2419" s="6" t="s">
        <v>83</v>
      </c>
      <c r="K2419" s="6" t="s">
        <v>5369</v>
      </c>
      <c r="L2419" s="7"/>
      <c r="M2419" s="7"/>
    </row>
    <row r="2420" customFormat="false" ht="23.85" hidden="false" customHeight="false" outlineLevel="0" collapsed="false">
      <c r="A2420" s="6" t="s">
        <v>3312</v>
      </c>
      <c r="B2420" s="6" t="s">
        <v>132</v>
      </c>
      <c r="C2420" s="6" t="s">
        <v>98</v>
      </c>
      <c r="D2420" s="6" t="s">
        <v>408</v>
      </c>
      <c r="E2420" s="6"/>
      <c r="F2420" s="6" t="s">
        <v>3314</v>
      </c>
      <c r="G2420" s="6" t="s">
        <v>3657</v>
      </c>
      <c r="H2420" s="6" t="s">
        <v>5370</v>
      </c>
      <c r="I2420" s="6" t="n">
        <v>35</v>
      </c>
      <c r="J2420" s="6"/>
      <c r="K2420" s="6" t="s">
        <v>5371</v>
      </c>
      <c r="L2420" s="7"/>
      <c r="M2420" s="7"/>
    </row>
    <row r="2421" customFormat="false" ht="23.85" hidden="false" customHeight="false" outlineLevel="0" collapsed="false">
      <c r="A2421" s="6" t="s">
        <v>3312</v>
      </c>
      <c r="B2421" s="6" t="s">
        <v>132</v>
      </c>
      <c r="C2421" s="6" t="s">
        <v>98</v>
      </c>
      <c r="D2421" s="6" t="s">
        <v>408</v>
      </c>
      <c r="E2421" s="6"/>
      <c r="F2421" s="6" t="s">
        <v>3314</v>
      </c>
      <c r="G2421" s="6" t="s">
        <v>3660</v>
      </c>
      <c r="H2421" s="6" t="s">
        <v>5372</v>
      </c>
      <c r="I2421" s="6" t="n">
        <v>40</v>
      </c>
      <c r="J2421" s="6"/>
      <c r="K2421" s="6" t="s">
        <v>5373</v>
      </c>
      <c r="L2421" s="7"/>
      <c r="M2421" s="7"/>
    </row>
    <row r="2422" customFormat="false" ht="23.85" hidden="false" customHeight="false" outlineLevel="0" collapsed="false">
      <c r="A2422" s="6" t="s">
        <v>3318</v>
      </c>
      <c r="B2422" s="6" t="s">
        <v>145</v>
      </c>
      <c r="C2422" s="6" t="s">
        <v>98</v>
      </c>
      <c r="D2422" s="6" t="s">
        <v>491</v>
      </c>
      <c r="E2422" s="6" t="s">
        <v>5374</v>
      </c>
      <c r="F2422" s="6" t="s">
        <v>3320</v>
      </c>
      <c r="G2422" s="6"/>
      <c r="H2422" s="6" t="s">
        <v>5375</v>
      </c>
      <c r="I2422" s="6"/>
      <c r="J2422" s="6" t="s">
        <v>83</v>
      </c>
      <c r="K2422" s="6" t="s">
        <v>5376</v>
      </c>
      <c r="L2422" s="7"/>
      <c r="M2422" s="7"/>
    </row>
    <row r="2423" customFormat="false" ht="23.85" hidden="false" customHeight="false" outlineLevel="0" collapsed="false">
      <c r="A2423" s="6" t="s">
        <v>3318</v>
      </c>
      <c r="B2423" s="6" t="s">
        <v>145</v>
      </c>
      <c r="C2423" s="6" t="s">
        <v>98</v>
      </c>
      <c r="D2423" s="6" t="s">
        <v>491</v>
      </c>
      <c r="E2423" s="6" t="s">
        <v>5377</v>
      </c>
      <c r="F2423" s="6" t="s">
        <v>3320</v>
      </c>
      <c r="G2423" s="6"/>
      <c r="H2423" s="6" t="s">
        <v>5378</v>
      </c>
      <c r="I2423" s="6"/>
      <c r="J2423" s="6" t="s">
        <v>83</v>
      </c>
      <c r="K2423" s="6" t="s">
        <v>5379</v>
      </c>
      <c r="L2423" s="7"/>
      <c r="M2423" s="7"/>
    </row>
    <row r="2424" customFormat="false" ht="23.85" hidden="false" customHeight="false" outlineLevel="0" collapsed="false">
      <c r="A2424" s="6" t="s">
        <v>3318</v>
      </c>
      <c r="B2424" s="6" t="s">
        <v>145</v>
      </c>
      <c r="C2424" s="6" t="s">
        <v>98</v>
      </c>
      <c r="D2424" s="6" t="s">
        <v>491</v>
      </c>
      <c r="E2424" s="6" t="s">
        <v>5380</v>
      </c>
      <c r="F2424" s="6" t="s">
        <v>3320</v>
      </c>
      <c r="G2424" s="6"/>
      <c r="H2424" s="6" t="s">
        <v>5381</v>
      </c>
      <c r="I2424" s="6"/>
      <c r="J2424" s="6" t="s">
        <v>83</v>
      </c>
      <c r="K2424" s="6" t="s">
        <v>5382</v>
      </c>
      <c r="L2424" s="7"/>
      <c r="M2424" s="7"/>
    </row>
    <row r="2425" customFormat="false" ht="15" hidden="false" customHeight="false" outlineLevel="0" collapsed="false">
      <c r="A2425" s="6" t="s">
        <v>3324</v>
      </c>
      <c r="B2425" s="6" t="s">
        <v>96</v>
      </c>
      <c r="C2425" s="6" t="s">
        <v>165</v>
      </c>
      <c r="D2425" s="6" t="s">
        <v>396</v>
      </c>
      <c r="E2425" s="6"/>
      <c r="F2425" s="6" t="s">
        <v>3328</v>
      </c>
      <c r="G2425" s="6" t="s">
        <v>3651</v>
      </c>
      <c r="H2425" s="6" t="s">
        <v>5383</v>
      </c>
      <c r="I2425" s="6" t="n">
        <v>20</v>
      </c>
      <c r="J2425" s="6"/>
      <c r="K2425" s="6" t="s">
        <v>5384</v>
      </c>
      <c r="L2425" s="7"/>
      <c r="M2425" s="7"/>
    </row>
    <row r="2426" customFormat="false" ht="23.85" hidden="false" customHeight="false" outlineLevel="0" collapsed="false">
      <c r="A2426" s="6" t="s">
        <v>3324</v>
      </c>
      <c r="B2426" s="6" t="s">
        <v>96</v>
      </c>
      <c r="C2426" s="6" t="s">
        <v>165</v>
      </c>
      <c r="D2426" s="6" t="s">
        <v>396</v>
      </c>
      <c r="E2426" s="6"/>
      <c r="F2426" s="6" t="s">
        <v>3328</v>
      </c>
      <c r="G2426" s="6" t="s">
        <v>3654</v>
      </c>
      <c r="H2426" s="6" t="s">
        <v>5385</v>
      </c>
      <c r="I2426" s="6" t="n">
        <v>98</v>
      </c>
      <c r="J2426" s="6" t="s">
        <v>83</v>
      </c>
      <c r="K2426" s="6" t="s">
        <v>5386</v>
      </c>
      <c r="L2426" s="7"/>
      <c r="M2426" s="7"/>
    </row>
    <row r="2427" customFormat="false" ht="15" hidden="false" customHeight="false" outlineLevel="0" collapsed="false">
      <c r="A2427" s="6" t="s">
        <v>3324</v>
      </c>
      <c r="B2427" s="6" t="s">
        <v>96</v>
      </c>
      <c r="C2427" s="6" t="s">
        <v>165</v>
      </c>
      <c r="D2427" s="6" t="s">
        <v>396</v>
      </c>
      <c r="E2427" s="6"/>
      <c r="F2427" s="6" t="s">
        <v>3328</v>
      </c>
      <c r="G2427" s="6" t="s">
        <v>3657</v>
      </c>
      <c r="H2427" s="6" t="s">
        <v>5387</v>
      </c>
      <c r="I2427" s="6" t="n">
        <v>35</v>
      </c>
      <c r="J2427" s="6"/>
      <c r="K2427" s="6" t="s">
        <v>5388</v>
      </c>
      <c r="L2427" s="7"/>
      <c r="M2427" s="7"/>
    </row>
    <row r="2428" customFormat="false" ht="15" hidden="false" customHeight="false" outlineLevel="0" collapsed="false">
      <c r="A2428" s="6" t="s">
        <v>3324</v>
      </c>
      <c r="B2428" s="6" t="s">
        <v>96</v>
      </c>
      <c r="C2428" s="6" t="s">
        <v>165</v>
      </c>
      <c r="D2428" s="6" t="s">
        <v>396</v>
      </c>
      <c r="E2428" s="6"/>
      <c r="F2428" s="6" t="s">
        <v>3328</v>
      </c>
      <c r="G2428" s="6" t="s">
        <v>3660</v>
      </c>
      <c r="H2428" s="6" t="s">
        <v>5389</v>
      </c>
      <c r="I2428" s="6" t="n">
        <v>30</v>
      </c>
      <c r="J2428" s="6"/>
      <c r="K2428" s="6" t="s">
        <v>5390</v>
      </c>
      <c r="L2428" s="7"/>
      <c r="M2428" s="7"/>
    </row>
    <row r="2429" customFormat="false" ht="15" hidden="false" customHeight="false" outlineLevel="0" collapsed="false">
      <c r="A2429" s="6" t="s">
        <v>3332</v>
      </c>
      <c r="B2429" s="6" t="s">
        <v>132</v>
      </c>
      <c r="C2429" s="6" t="s">
        <v>79</v>
      </c>
      <c r="D2429" s="6" t="s">
        <v>2725</v>
      </c>
      <c r="E2429" s="6"/>
      <c r="F2429" s="6" t="s">
        <v>3334</v>
      </c>
      <c r="G2429" s="6" t="s">
        <v>3651</v>
      </c>
      <c r="H2429" s="6" t="s">
        <v>5391</v>
      </c>
      <c r="I2429" s="6" t="n">
        <v>15</v>
      </c>
      <c r="J2429" s="6"/>
      <c r="K2429" s="6" t="s">
        <v>5392</v>
      </c>
      <c r="L2429" s="7"/>
      <c r="M2429" s="7"/>
    </row>
    <row r="2430" customFormat="false" ht="23.85" hidden="false" customHeight="false" outlineLevel="0" collapsed="false">
      <c r="A2430" s="6" t="s">
        <v>3332</v>
      </c>
      <c r="B2430" s="6" t="s">
        <v>132</v>
      </c>
      <c r="C2430" s="6" t="s">
        <v>79</v>
      </c>
      <c r="D2430" s="6" t="s">
        <v>2725</v>
      </c>
      <c r="E2430" s="6"/>
      <c r="F2430" s="6" t="s">
        <v>3334</v>
      </c>
      <c r="G2430" s="6" t="s">
        <v>3654</v>
      </c>
      <c r="H2430" s="6" t="s">
        <v>5393</v>
      </c>
      <c r="I2430" s="6" t="n">
        <v>95</v>
      </c>
      <c r="J2430" s="6" t="s">
        <v>83</v>
      </c>
      <c r="K2430" s="6" t="s">
        <v>5394</v>
      </c>
      <c r="L2430" s="7"/>
      <c r="M2430" s="7"/>
    </row>
    <row r="2431" customFormat="false" ht="15" hidden="false" customHeight="false" outlineLevel="0" collapsed="false">
      <c r="A2431" s="6" t="s">
        <v>3332</v>
      </c>
      <c r="B2431" s="6" t="s">
        <v>132</v>
      </c>
      <c r="C2431" s="6" t="s">
        <v>79</v>
      </c>
      <c r="D2431" s="6" t="s">
        <v>2725</v>
      </c>
      <c r="E2431" s="6"/>
      <c r="F2431" s="6" t="s">
        <v>3334</v>
      </c>
      <c r="G2431" s="6" t="s">
        <v>3657</v>
      </c>
      <c r="H2431" s="6" t="s">
        <v>5395</v>
      </c>
      <c r="I2431" s="6" t="n">
        <v>20</v>
      </c>
      <c r="J2431" s="6"/>
      <c r="K2431" s="6" t="s">
        <v>5396</v>
      </c>
      <c r="L2431" s="7"/>
      <c r="M2431" s="7"/>
    </row>
    <row r="2432" customFormat="false" ht="15" hidden="false" customHeight="false" outlineLevel="0" collapsed="false">
      <c r="A2432" s="6" t="s">
        <v>3332</v>
      </c>
      <c r="B2432" s="6" t="s">
        <v>132</v>
      </c>
      <c r="C2432" s="6" t="s">
        <v>79</v>
      </c>
      <c r="D2432" s="6" t="s">
        <v>2725</v>
      </c>
      <c r="E2432" s="6"/>
      <c r="F2432" s="6" t="s">
        <v>3334</v>
      </c>
      <c r="G2432" s="6" t="s">
        <v>3660</v>
      </c>
      <c r="H2432" s="6" t="s">
        <v>5397</v>
      </c>
      <c r="I2432" s="6" t="n">
        <v>35</v>
      </c>
      <c r="J2432" s="6"/>
      <c r="K2432" s="6" t="s">
        <v>5398</v>
      </c>
      <c r="L2432" s="7"/>
      <c r="M2432" s="7"/>
    </row>
    <row r="2433" customFormat="false" ht="23.85" hidden="false" customHeight="false" outlineLevel="0" collapsed="false">
      <c r="A2433" s="6" t="s">
        <v>3338</v>
      </c>
      <c r="B2433" s="6" t="s">
        <v>132</v>
      </c>
      <c r="C2433" s="6" t="s">
        <v>98</v>
      </c>
      <c r="D2433" s="6" t="s">
        <v>452</v>
      </c>
      <c r="E2433" s="6"/>
      <c r="F2433" s="6" t="s">
        <v>3340</v>
      </c>
      <c r="G2433" s="6" t="s">
        <v>3651</v>
      </c>
      <c r="H2433" s="6" t="s">
        <v>5399</v>
      </c>
      <c r="I2433" s="6" t="n">
        <v>25</v>
      </c>
      <c r="J2433" s="6" t="s">
        <v>83</v>
      </c>
      <c r="K2433" s="6" t="s">
        <v>5400</v>
      </c>
      <c r="L2433" s="7"/>
      <c r="M2433" s="7"/>
    </row>
    <row r="2434" customFormat="false" ht="23.85" hidden="false" customHeight="false" outlineLevel="0" collapsed="false">
      <c r="A2434" s="6" t="s">
        <v>3338</v>
      </c>
      <c r="B2434" s="6" t="s">
        <v>132</v>
      </c>
      <c r="C2434" s="6" t="s">
        <v>98</v>
      </c>
      <c r="D2434" s="6" t="s">
        <v>452</v>
      </c>
      <c r="E2434" s="6"/>
      <c r="F2434" s="6" t="s">
        <v>3340</v>
      </c>
      <c r="G2434" s="6" t="s">
        <v>3654</v>
      </c>
      <c r="H2434" s="6" t="s">
        <v>5401</v>
      </c>
      <c r="I2434" s="6" t="n">
        <v>25</v>
      </c>
      <c r="J2434" s="6" t="s">
        <v>83</v>
      </c>
      <c r="K2434" s="6" t="s">
        <v>5402</v>
      </c>
      <c r="L2434" s="7"/>
      <c r="M2434" s="7"/>
    </row>
    <row r="2435" customFormat="false" ht="23.85" hidden="false" customHeight="false" outlineLevel="0" collapsed="false">
      <c r="A2435" s="6" t="s">
        <v>3338</v>
      </c>
      <c r="B2435" s="6" t="s">
        <v>132</v>
      </c>
      <c r="C2435" s="6" t="s">
        <v>98</v>
      </c>
      <c r="D2435" s="6" t="s">
        <v>452</v>
      </c>
      <c r="E2435" s="6"/>
      <c r="F2435" s="6" t="s">
        <v>3340</v>
      </c>
      <c r="G2435" s="6" t="s">
        <v>3657</v>
      </c>
      <c r="H2435" s="6" t="s">
        <v>5403</v>
      </c>
      <c r="I2435" s="6" t="n">
        <v>25</v>
      </c>
      <c r="J2435" s="6" t="s">
        <v>83</v>
      </c>
      <c r="K2435" s="6" t="s">
        <v>5404</v>
      </c>
      <c r="L2435" s="7"/>
      <c r="M2435" s="7"/>
    </row>
    <row r="2436" customFormat="false" ht="23.85" hidden="false" customHeight="false" outlineLevel="0" collapsed="false">
      <c r="A2436" s="6" t="s">
        <v>3338</v>
      </c>
      <c r="B2436" s="6" t="s">
        <v>132</v>
      </c>
      <c r="C2436" s="6" t="s">
        <v>98</v>
      </c>
      <c r="D2436" s="6" t="s">
        <v>452</v>
      </c>
      <c r="E2436" s="6"/>
      <c r="F2436" s="6" t="s">
        <v>3340</v>
      </c>
      <c r="G2436" s="6" t="s">
        <v>3660</v>
      </c>
      <c r="H2436" s="6" t="s">
        <v>5405</v>
      </c>
      <c r="I2436" s="6" t="n">
        <v>25</v>
      </c>
      <c r="J2436" s="6" t="s">
        <v>83</v>
      </c>
      <c r="K2436" s="6" t="s">
        <v>5406</v>
      </c>
      <c r="L2436" s="7"/>
      <c r="M2436" s="7"/>
    </row>
    <row r="2437" customFormat="false" ht="23.85" hidden="false" customHeight="false" outlineLevel="0" collapsed="false">
      <c r="A2437" s="6" t="s">
        <v>3338</v>
      </c>
      <c r="B2437" s="6" t="s">
        <v>132</v>
      </c>
      <c r="C2437" s="6" t="s">
        <v>98</v>
      </c>
      <c r="D2437" s="6" t="s">
        <v>452</v>
      </c>
      <c r="E2437" s="6"/>
      <c r="F2437" s="6" t="s">
        <v>3340</v>
      </c>
      <c r="G2437" s="6" t="s">
        <v>3687</v>
      </c>
      <c r="H2437" s="6" t="s">
        <v>5407</v>
      </c>
      <c r="I2437" s="6" t="n">
        <v>0</v>
      </c>
      <c r="J2437" s="6"/>
      <c r="K2437" s="6" t="s">
        <v>5408</v>
      </c>
      <c r="L2437" s="7"/>
      <c r="M2437" s="7"/>
    </row>
    <row r="2438" customFormat="false" ht="23.85" hidden="false" customHeight="false" outlineLevel="0" collapsed="false">
      <c r="A2438" s="6" t="s">
        <v>3343</v>
      </c>
      <c r="B2438" s="6" t="s">
        <v>110</v>
      </c>
      <c r="C2438" s="6" t="s">
        <v>98</v>
      </c>
      <c r="D2438" s="6" t="s">
        <v>452</v>
      </c>
      <c r="E2438" s="6"/>
      <c r="F2438" s="6" t="s">
        <v>3347</v>
      </c>
      <c r="G2438" s="6" t="s">
        <v>3651</v>
      </c>
      <c r="H2438" s="6" t="s">
        <v>5409</v>
      </c>
      <c r="I2438" s="6" t="n">
        <v>25</v>
      </c>
      <c r="J2438" s="6" t="s">
        <v>83</v>
      </c>
      <c r="K2438" s="6" t="s">
        <v>5410</v>
      </c>
      <c r="L2438" s="7"/>
      <c r="M2438" s="7"/>
    </row>
    <row r="2439" customFormat="false" ht="23.85" hidden="false" customHeight="false" outlineLevel="0" collapsed="false">
      <c r="A2439" s="6" t="s">
        <v>3343</v>
      </c>
      <c r="B2439" s="6" t="s">
        <v>110</v>
      </c>
      <c r="C2439" s="6" t="s">
        <v>98</v>
      </c>
      <c r="D2439" s="6" t="s">
        <v>452</v>
      </c>
      <c r="E2439" s="6"/>
      <c r="F2439" s="6" t="s">
        <v>3347</v>
      </c>
      <c r="G2439" s="6" t="s">
        <v>3654</v>
      </c>
      <c r="H2439" s="6" t="s">
        <v>5411</v>
      </c>
      <c r="I2439" s="6" t="n">
        <v>25</v>
      </c>
      <c r="J2439" s="6" t="s">
        <v>83</v>
      </c>
      <c r="K2439" s="6" t="s">
        <v>5412</v>
      </c>
      <c r="L2439" s="7"/>
      <c r="M2439" s="7"/>
    </row>
    <row r="2440" customFormat="false" ht="23.85" hidden="false" customHeight="false" outlineLevel="0" collapsed="false">
      <c r="A2440" s="6" t="s">
        <v>3343</v>
      </c>
      <c r="B2440" s="6" t="s">
        <v>110</v>
      </c>
      <c r="C2440" s="6" t="s">
        <v>98</v>
      </c>
      <c r="D2440" s="6" t="s">
        <v>452</v>
      </c>
      <c r="E2440" s="6"/>
      <c r="F2440" s="6" t="s">
        <v>3347</v>
      </c>
      <c r="G2440" s="6" t="s">
        <v>3657</v>
      </c>
      <c r="H2440" s="6" t="s">
        <v>5413</v>
      </c>
      <c r="I2440" s="6" t="n">
        <v>25</v>
      </c>
      <c r="J2440" s="6" t="s">
        <v>83</v>
      </c>
      <c r="K2440" s="6" t="s">
        <v>5414</v>
      </c>
      <c r="L2440" s="7"/>
      <c r="M2440" s="7"/>
    </row>
    <row r="2441" customFormat="false" ht="23.85" hidden="false" customHeight="false" outlineLevel="0" collapsed="false">
      <c r="A2441" s="6" t="s">
        <v>3343</v>
      </c>
      <c r="B2441" s="6" t="s">
        <v>110</v>
      </c>
      <c r="C2441" s="6" t="s">
        <v>98</v>
      </c>
      <c r="D2441" s="6" t="s">
        <v>452</v>
      </c>
      <c r="E2441" s="6"/>
      <c r="F2441" s="6" t="s">
        <v>3347</v>
      </c>
      <c r="G2441" s="6" t="s">
        <v>3660</v>
      </c>
      <c r="H2441" s="6" t="s">
        <v>5415</v>
      </c>
      <c r="I2441" s="6" t="n">
        <v>25</v>
      </c>
      <c r="J2441" s="6" t="s">
        <v>83</v>
      </c>
      <c r="K2441" s="6" t="s">
        <v>5416</v>
      </c>
      <c r="L2441" s="7"/>
      <c r="M2441" s="7"/>
    </row>
    <row r="2442" customFormat="false" ht="23.85" hidden="false" customHeight="false" outlineLevel="0" collapsed="false">
      <c r="A2442" s="6" t="s">
        <v>3343</v>
      </c>
      <c r="B2442" s="6" t="s">
        <v>110</v>
      </c>
      <c r="C2442" s="6" t="s">
        <v>98</v>
      </c>
      <c r="D2442" s="6" t="s">
        <v>452</v>
      </c>
      <c r="E2442" s="6"/>
      <c r="F2442" s="6" t="s">
        <v>3347</v>
      </c>
      <c r="G2442" s="6" t="s">
        <v>3687</v>
      </c>
      <c r="H2442" s="6" t="s">
        <v>5417</v>
      </c>
      <c r="I2442" s="6" t="n">
        <v>0</v>
      </c>
      <c r="J2442" s="6"/>
      <c r="K2442" s="6" t="s">
        <v>5418</v>
      </c>
      <c r="L2442" s="7"/>
      <c r="M2442" s="7"/>
    </row>
    <row r="2443" customFormat="false" ht="15" hidden="false" customHeight="false" outlineLevel="0" collapsed="false">
      <c r="A2443" s="6" t="s">
        <v>3350</v>
      </c>
      <c r="B2443" s="6" t="s">
        <v>110</v>
      </c>
      <c r="C2443" s="6" t="s">
        <v>165</v>
      </c>
      <c r="D2443" s="6" t="s">
        <v>408</v>
      </c>
      <c r="E2443" s="6"/>
      <c r="F2443" s="6" t="s">
        <v>3352</v>
      </c>
      <c r="G2443" s="6" t="s">
        <v>3651</v>
      </c>
      <c r="H2443" s="6" t="s">
        <v>5419</v>
      </c>
      <c r="I2443" s="6" t="n">
        <v>25</v>
      </c>
      <c r="J2443" s="6"/>
      <c r="K2443" s="6" t="s">
        <v>5420</v>
      </c>
      <c r="L2443" s="7"/>
      <c r="M2443" s="7"/>
    </row>
    <row r="2444" customFormat="false" ht="23.85" hidden="false" customHeight="false" outlineLevel="0" collapsed="false">
      <c r="A2444" s="6" t="s">
        <v>3350</v>
      </c>
      <c r="B2444" s="6" t="s">
        <v>110</v>
      </c>
      <c r="C2444" s="6" t="s">
        <v>165</v>
      </c>
      <c r="D2444" s="6" t="s">
        <v>408</v>
      </c>
      <c r="E2444" s="6"/>
      <c r="F2444" s="6" t="s">
        <v>3352</v>
      </c>
      <c r="G2444" s="6" t="s">
        <v>3654</v>
      </c>
      <c r="H2444" s="6" t="s">
        <v>5421</v>
      </c>
      <c r="I2444" s="6" t="n">
        <v>98</v>
      </c>
      <c r="J2444" s="6" t="s">
        <v>83</v>
      </c>
      <c r="K2444" s="6" t="s">
        <v>5422</v>
      </c>
      <c r="L2444" s="7"/>
      <c r="M2444" s="7"/>
    </row>
    <row r="2445" customFormat="false" ht="15" hidden="false" customHeight="false" outlineLevel="0" collapsed="false">
      <c r="A2445" s="6" t="s">
        <v>3350</v>
      </c>
      <c r="B2445" s="6" t="s">
        <v>110</v>
      </c>
      <c r="C2445" s="6" t="s">
        <v>165</v>
      </c>
      <c r="D2445" s="6" t="s">
        <v>408</v>
      </c>
      <c r="E2445" s="6"/>
      <c r="F2445" s="6" t="s">
        <v>3352</v>
      </c>
      <c r="G2445" s="6" t="s">
        <v>3657</v>
      </c>
      <c r="H2445" s="6" t="s">
        <v>5423</v>
      </c>
      <c r="I2445" s="6" t="n">
        <v>40</v>
      </c>
      <c r="J2445" s="6"/>
      <c r="K2445" s="6" t="s">
        <v>5424</v>
      </c>
      <c r="L2445" s="7"/>
      <c r="M2445" s="7"/>
    </row>
    <row r="2446" customFormat="false" ht="15" hidden="false" customHeight="false" outlineLevel="0" collapsed="false">
      <c r="A2446" s="6" t="s">
        <v>3350</v>
      </c>
      <c r="B2446" s="6" t="s">
        <v>110</v>
      </c>
      <c r="C2446" s="6" t="s">
        <v>165</v>
      </c>
      <c r="D2446" s="6" t="s">
        <v>408</v>
      </c>
      <c r="E2446" s="6"/>
      <c r="F2446" s="6" t="s">
        <v>3352</v>
      </c>
      <c r="G2446" s="6" t="s">
        <v>3660</v>
      </c>
      <c r="H2446" s="6" t="s">
        <v>5425</v>
      </c>
      <c r="I2446" s="6" t="n">
        <v>15</v>
      </c>
      <c r="J2446" s="6"/>
      <c r="K2446" s="6" t="s">
        <v>5426</v>
      </c>
      <c r="L2446" s="7"/>
      <c r="M2446" s="7"/>
    </row>
    <row r="2447" customFormat="false" ht="23.85" hidden="false" customHeight="false" outlineLevel="0" collapsed="false">
      <c r="A2447" s="6" t="s">
        <v>3356</v>
      </c>
      <c r="B2447" s="6" t="s">
        <v>145</v>
      </c>
      <c r="C2447" s="6" t="s">
        <v>98</v>
      </c>
      <c r="D2447" s="6" t="s">
        <v>491</v>
      </c>
      <c r="E2447" s="6" t="s">
        <v>5427</v>
      </c>
      <c r="F2447" s="6" t="s">
        <v>3358</v>
      </c>
      <c r="G2447" s="6"/>
      <c r="H2447" s="6" t="s">
        <v>5428</v>
      </c>
      <c r="I2447" s="6"/>
      <c r="J2447" s="6" t="s">
        <v>83</v>
      </c>
      <c r="K2447" s="6" t="s">
        <v>5429</v>
      </c>
      <c r="L2447" s="7"/>
      <c r="M2447" s="7"/>
    </row>
    <row r="2448" customFormat="false" ht="23.85" hidden="false" customHeight="false" outlineLevel="0" collapsed="false">
      <c r="A2448" s="6" t="s">
        <v>3356</v>
      </c>
      <c r="B2448" s="6" t="s">
        <v>145</v>
      </c>
      <c r="C2448" s="6" t="s">
        <v>98</v>
      </c>
      <c r="D2448" s="6" t="s">
        <v>491</v>
      </c>
      <c r="E2448" s="6" t="s">
        <v>5430</v>
      </c>
      <c r="F2448" s="6" t="s">
        <v>3358</v>
      </c>
      <c r="G2448" s="6"/>
      <c r="H2448" s="6" t="s">
        <v>5431</v>
      </c>
      <c r="I2448" s="6"/>
      <c r="J2448" s="6" t="s">
        <v>83</v>
      </c>
      <c r="K2448" s="6" t="s">
        <v>5432</v>
      </c>
      <c r="L2448" s="7"/>
      <c r="M2448" s="7"/>
    </row>
    <row r="2449" customFormat="false" ht="23.85" hidden="false" customHeight="false" outlineLevel="0" collapsed="false">
      <c r="A2449" s="6" t="s">
        <v>3356</v>
      </c>
      <c r="B2449" s="6" t="s">
        <v>145</v>
      </c>
      <c r="C2449" s="6" t="s">
        <v>98</v>
      </c>
      <c r="D2449" s="6" t="s">
        <v>491</v>
      </c>
      <c r="E2449" s="6" t="s">
        <v>5433</v>
      </c>
      <c r="F2449" s="6" t="s">
        <v>3358</v>
      </c>
      <c r="G2449" s="6"/>
      <c r="H2449" s="6" t="s">
        <v>5434</v>
      </c>
      <c r="I2449" s="6"/>
      <c r="J2449" s="6" t="s">
        <v>83</v>
      </c>
      <c r="K2449" s="6" t="s">
        <v>5435</v>
      </c>
      <c r="L2449" s="7"/>
      <c r="M2449" s="7"/>
    </row>
    <row r="2450" customFormat="false" ht="15" hidden="false" customHeight="false" outlineLevel="0" collapsed="false">
      <c r="A2450" s="6" t="s">
        <v>3362</v>
      </c>
      <c r="B2450" s="6" t="s">
        <v>145</v>
      </c>
      <c r="C2450" s="6" t="s">
        <v>79</v>
      </c>
      <c r="D2450" s="6" t="s">
        <v>2725</v>
      </c>
      <c r="E2450" s="6"/>
      <c r="F2450" s="6" t="s">
        <v>3364</v>
      </c>
      <c r="G2450" s="6" t="s">
        <v>3651</v>
      </c>
      <c r="H2450" s="6" t="s">
        <v>5436</v>
      </c>
      <c r="I2450" s="6" t="n">
        <v>10</v>
      </c>
      <c r="J2450" s="6"/>
      <c r="K2450" s="6" t="s">
        <v>5437</v>
      </c>
      <c r="L2450" s="7"/>
      <c r="M2450" s="7"/>
    </row>
    <row r="2451" customFormat="false" ht="23.85" hidden="false" customHeight="false" outlineLevel="0" collapsed="false">
      <c r="A2451" s="6" t="s">
        <v>3362</v>
      </c>
      <c r="B2451" s="6" t="s">
        <v>145</v>
      </c>
      <c r="C2451" s="6" t="s">
        <v>79</v>
      </c>
      <c r="D2451" s="6" t="s">
        <v>2725</v>
      </c>
      <c r="E2451" s="6"/>
      <c r="F2451" s="6" t="s">
        <v>3364</v>
      </c>
      <c r="G2451" s="6" t="s">
        <v>3654</v>
      </c>
      <c r="H2451" s="6" t="s">
        <v>5438</v>
      </c>
      <c r="I2451" s="6" t="n">
        <v>95</v>
      </c>
      <c r="J2451" s="6" t="s">
        <v>83</v>
      </c>
      <c r="K2451" s="6" t="s">
        <v>5439</v>
      </c>
      <c r="L2451" s="7"/>
      <c r="M2451" s="7"/>
    </row>
    <row r="2452" customFormat="false" ht="15" hidden="false" customHeight="false" outlineLevel="0" collapsed="false">
      <c r="A2452" s="6" t="s">
        <v>3362</v>
      </c>
      <c r="B2452" s="6" t="s">
        <v>145</v>
      </c>
      <c r="C2452" s="6" t="s">
        <v>79</v>
      </c>
      <c r="D2452" s="6" t="s">
        <v>2725</v>
      </c>
      <c r="E2452" s="6"/>
      <c r="F2452" s="6" t="s">
        <v>3364</v>
      </c>
      <c r="G2452" s="6" t="s">
        <v>3657</v>
      </c>
      <c r="H2452" s="6" t="s">
        <v>5440</v>
      </c>
      <c r="I2452" s="6" t="n">
        <v>30</v>
      </c>
      <c r="J2452" s="6"/>
      <c r="K2452" s="6" t="s">
        <v>5441</v>
      </c>
      <c r="L2452" s="7"/>
      <c r="M2452" s="7"/>
    </row>
    <row r="2453" customFormat="false" ht="15" hidden="false" customHeight="false" outlineLevel="0" collapsed="false">
      <c r="A2453" s="6" t="s">
        <v>3362</v>
      </c>
      <c r="B2453" s="6" t="s">
        <v>145</v>
      </c>
      <c r="C2453" s="6" t="s">
        <v>79</v>
      </c>
      <c r="D2453" s="6" t="s">
        <v>2725</v>
      </c>
      <c r="E2453" s="6"/>
      <c r="F2453" s="6" t="s">
        <v>3364</v>
      </c>
      <c r="G2453" s="6" t="s">
        <v>3660</v>
      </c>
      <c r="H2453" s="6" t="s">
        <v>5442</v>
      </c>
      <c r="I2453" s="6" t="n">
        <v>15</v>
      </c>
      <c r="J2453" s="6"/>
      <c r="K2453" s="6" t="s">
        <v>5443</v>
      </c>
      <c r="L2453" s="7"/>
      <c r="M2453" s="7"/>
    </row>
    <row r="2454" customFormat="false" ht="23.85" hidden="false" customHeight="false" outlineLevel="0" collapsed="false">
      <c r="A2454" s="6" t="s">
        <v>3368</v>
      </c>
      <c r="B2454" s="6" t="s">
        <v>96</v>
      </c>
      <c r="C2454" s="6" t="s">
        <v>79</v>
      </c>
      <c r="D2454" s="6" t="s">
        <v>452</v>
      </c>
      <c r="E2454" s="6"/>
      <c r="F2454" s="6" t="s">
        <v>3370</v>
      </c>
      <c r="G2454" s="6" t="s">
        <v>3651</v>
      </c>
      <c r="H2454" s="6" t="s">
        <v>5444</v>
      </c>
      <c r="I2454" s="6" t="n">
        <v>33</v>
      </c>
      <c r="J2454" s="6" t="s">
        <v>83</v>
      </c>
      <c r="K2454" s="6" t="s">
        <v>5445</v>
      </c>
      <c r="L2454" s="7"/>
      <c r="M2454" s="7"/>
    </row>
    <row r="2455" customFormat="false" ht="23.85" hidden="false" customHeight="false" outlineLevel="0" collapsed="false">
      <c r="A2455" s="6" t="s">
        <v>3368</v>
      </c>
      <c r="B2455" s="6" t="s">
        <v>96</v>
      </c>
      <c r="C2455" s="6" t="s">
        <v>79</v>
      </c>
      <c r="D2455" s="6" t="s">
        <v>452</v>
      </c>
      <c r="E2455" s="6"/>
      <c r="F2455" s="6" t="s">
        <v>3370</v>
      </c>
      <c r="G2455" s="6" t="s">
        <v>3654</v>
      </c>
      <c r="H2455" s="6" t="s">
        <v>5446</v>
      </c>
      <c r="I2455" s="6" t="n">
        <v>33</v>
      </c>
      <c r="J2455" s="6" t="s">
        <v>83</v>
      </c>
      <c r="K2455" s="6" t="s">
        <v>5447</v>
      </c>
      <c r="L2455" s="7"/>
      <c r="M2455" s="7"/>
    </row>
    <row r="2456" customFormat="false" ht="23.85" hidden="false" customHeight="false" outlineLevel="0" collapsed="false">
      <c r="A2456" s="6" t="s">
        <v>3368</v>
      </c>
      <c r="B2456" s="6" t="s">
        <v>96</v>
      </c>
      <c r="C2456" s="6" t="s">
        <v>79</v>
      </c>
      <c r="D2456" s="6" t="s">
        <v>452</v>
      </c>
      <c r="E2456" s="6"/>
      <c r="F2456" s="6" t="s">
        <v>3370</v>
      </c>
      <c r="G2456" s="6" t="s">
        <v>3657</v>
      </c>
      <c r="H2456" s="6" t="s">
        <v>5448</v>
      </c>
      <c r="I2456" s="6" t="n">
        <v>33</v>
      </c>
      <c r="J2456" s="6" t="s">
        <v>83</v>
      </c>
      <c r="K2456" s="6" t="s">
        <v>5449</v>
      </c>
      <c r="L2456" s="7"/>
      <c r="M2456" s="7"/>
    </row>
    <row r="2457" customFormat="false" ht="23.85" hidden="false" customHeight="false" outlineLevel="0" collapsed="false">
      <c r="A2457" s="6" t="s">
        <v>3368</v>
      </c>
      <c r="B2457" s="6" t="s">
        <v>96</v>
      </c>
      <c r="C2457" s="6" t="s">
        <v>79</v>
      </c>
      <c r="D2457" s="6" t="s">
        <v>452</v>
      </c>
      <c r="E2457" s="6"/>
      <c r="F2457" s="6" t="s">
        <v>3370</v>
      </c>
      <c r="G2457" s="6" t="s">
        <v>3660</v>
      </c>
      <c r="H2457" s="6" t="s">
        <v>5450</v>
      </c>
      <c r="I2457" s="6" t="n">
        <v>0</v>
      </c>
      <c r="J2457" s="6"/>
      <c r="K2457" s="6" t="s">
        <v>5451</v>
      </c>
      <c r="L2457" s="7"/>
      <c r="M2457" s="7"/>
    </row>
    <row r="2458" customFormat="false" ht="23.85" hidden="false" customHeight="false" outlineLevel="0" collapsed="false">
      <c r="A2458" s="6" t="s">
        <v>3373</v>
      </c>
      <c r="B2458" s="6" t="s">
        <v>96</v>
      </c>
      <c r="C2458" s="6" t="s">
        <v>165</v>
      </c>
      <c r="D2458" s="6" t="s">
        <v>408</v>
      </c>
      <c r="E2458" s="6"/>
      <c r="F2458" s="6" t="s">
        <v>3375</v>
      </c>
      <c r="G2458" s="6" t="s">
        <v>3651</v>
      </c>
      <c r="H2458" s="6" t="s">
        <v>5452</v>
      </c>
      <c r="I2458" s="6" t="n">
        <v>20</v>
      </c>
      <c r="J2458" s="6"/>
      <c r="K2458" s="6" t="s">
        <v>5453</v>
      </c>
      <c r="L2458" s="7"/>
      <c r="M2458" s="7"/>
    </row>
    <row r="2459" customFormat="false" ht="23.85" hidden="false" customHeight="false" outlineLevel="0" collapsed="false">
      <c r="A2459" s="6" t="s">
        <v>3373</v>
      </c>
      <c r="B2459" s="6" t="s">
        <v>96</v>
      </c>
      <c r="C2459" s="6" t="s">
        <v>165</v>
      </c>
      <c r="D2459" s="6" t="s">
        <v>408</v>
      </c>
      <c r="E2459" s="6"/>
      <c r="F2459" s="6" t="s">
        <v>3375</v>
      </c>
      <c r="G2459" s="6" t="s">
        <v>3654</v>
      </c>
      <c r="H2459" s="6" t="s">
        <v>5454</v>
      </c>
      <c r="I2459" s="6" t="n">
        <v>98</v>
      </c>
      <c r="J2459" s="6" t="s">
        <v>83</v>
      </c>
      <c r="K2459" s="6" t="s">
        <v>5455</v>
      </c>
      <c r="L2459" s="7"/>
      <c r="M2459" s="7"/>
    </row>
    <row r="2460" customFormat="false" ht="23.85" hidden="false" customHeight="false" outlineLevel="0" collapsed="false">
      <c r="A2460" s="6" t="s">
        <v>3373</v>
      </c>
      <c r="B2460" s="6" t="s">
        <v>96</v>
      </c>
      <c r="C2460" s="6" t="s">
        <v>165</v>
      </c>
      <c r="D2460" s="6" t="s">
        <v>408</v>
      </c>
      <c r="E2460" s="6"/>
      <c r="F2460" s="6" t="s">
        <v>3375</v>
      </c>
      <c r="G2460" s="6" t="s">
        <v>3657</v>
      </c>
      <c r="H2460" s="6" t="s">
        <v>5456</v>
      </c>
      <c r="I2460" s="6" t="n">
        <v>10</v>
      </c>
      <c r="J2460" s="6"/>
      <c r="K2460" s="6" t="s">
        <v>5457</v>
      </c>
      <c r="L2460" s="7"/>
      <c r="M2460" s="7"/>
    </row>
    <row r="2461" customFormat="false" ht="23.85" hidden="false" customHeight="false" outlineLevel="0" collapsed="false">
      <c r="A2461" s="6" t="s">
        <v>3373</v>
      </c>
      <c r="B2461" s="6" t="s">
        <v>96</v>
      </c>
      <c r="C2461" s="6" t="s">
        <v>165</v>
      </c>
      <c r="D2461" s="6" t="s">
        <v>408</v>
      </c>
      <c r="E2461" s="6"/>
      <c r="F2461" s="6" t="s">
        <v>3375</v>
      </c>
      <c r="G2461" s="6" t="s">
        <v>3660</v>
      </c>
      <c r="H2461" s="6" t="s">
        <v>5458</v>
      </c>
      <c r="I2461" s="6" t="n">
        <v>15</v>
      </c>
      <c r="J2461" s="6"/>
      <c r="K2461" s="6" t="s">
        <v>5459</v>
      </c>
      <c r="L2461" s="7"/>
      <c r="M2461" s="7"/>
    </row>
    <row r="2462" customFormat="false" ht="23.85" hidden="false" customHeight="false" outlineLevel="0" collapsed="false">
      <c r="A2462" s="6" t="s">
        <v>3379</v>
      </c>
      <c r="B2462" s="6" t="s">
        <v>77</v>
      </c>
      <c r="C2462" s="6" t="s">
        <v>79</v>
      </c>
      <c r="D2462" s="6" t="s">
        <v>2725</v>
      </c>
      <c r="E2462" s="6"/>
      <c r="F2462" s="6" t="s">
        <v>3381</v>
      </c>
      <c r="G2462" s="6" t="s">
        <v>3651</v>
      </c>
      <c r="H2462" s="6" t="s">
        <v>5460</v>
      </c>
      <c r="I2462" s="6" t="n">
        <v>20</v>
      </c>
      <c r="J2462" s="6"/>
      <c r="K2462" s="6" t="s">
        <v>5461</v>
      </c>
      <c r="L2462" s="7"/>
      <c r="M2462" s="7"/>
    </row>
    <row r="2463" customFormat="false" ht="23.85" hidden="false" customHeight="false" outlineLevel="0" collapsed="false">
      <c r="A2463" s="6" t="s">
        <v>3379</v>
      </c>
      <c r="B2463" s="6" t="s">
        <v>77</v>
      </c>
      <c r="C2463" s="6" t="s">
        <v>79</v>
      </c>
      <c r="D2463" s="6" t="s">
        <v>2725</v>
      </c>
      <c r="E2463" s="6"/>
      <c r="F2463" s="6" t="s">
        <v>3381</v>
      </c>
      <c r="G2463" s="6" t="s">
        <v>3654</v>
      </c>
      <c r="H2463" s="6" t="s">
        <v>5462</v>
      </c>
      <c r="I2463" s="6" t="n">
        <v>95</v>
      </c>
      <c r="J2463" s="6" t="s">
        <v>83</v>
      </c>
      <c r="K2463" s="6" t="s">
        <v>5463</v>
      </c>
      <c r="L2463" s="7"/>
      <c r="M2463" s="7"/>
    </row>
    <row r="2464" customFormat="false" ht="23.85" hidden="false" customHeight="false" outlineLevel="0" collapsed="false">
      <c r="A2464" s="6" t="s">
        <v>3379</v>
      </c>
      <c r="B2464" s="6" t="s">
        <v>77</v>
      </c>
      <c r="C2464" s="6" t="s">
        <v>79</v>
      </c>
      <c r="D2464" s="6" t="s">
        <v>2725</v>
      </c>
      <c r="E2464" s="6"/>
      <c r="F2464" s="6" t="s">
        <v>3381</v>
      </c>
      <c r="G2464" s="6" t="s">
        <v>3657</v>
      </c>
      <c r="H2464" s="6" t="s">
        <v>5464</v>
      </c>
      <c r="I2464" s="6" t="n">
        <v>10</v>
      </c>
      <c r="J2464" s="6"/>
      <c r="K2464" s="6" t="s">
        <v>5465</v>
      </c>
      <c r="L2464" s="7"/>
      <c r="M2464" s="7"/>
    </row>
    <row r="2465" customFormat="false" ht="23.85" hidden="false" customHeight="false" outlineLevel="0" collapsed="false">
      <c r="A2465" s="6" t="s">
        <v>3379</v>
      </c>
      <c r="B2465" s="6" t="s">
        <v>77</v>
      </c>
      <c r="C2465" s="6" t="s">
        <v>79</v>
      </c>
      <c r="D2465" s="6" t="s">
        <v>2725</v>
      </c>
      <c r="E2465" s="6"/>
      <c r="F2465" s="6" t="s">
        <v>3381</v>
      </c>
      <c r="G2465" s="6" t="s">
        <v>3660</v>
      </c>
      <c r="H2465" s="6" t="s">
        <v>5466</v>
      </c>
      <c r="I2465" s="6" t="n">
        <v>25</v>
      </c>
      <c r="J2465" s="6"/>
      <c r="K2465" s="6" t="s">
        <v>5467</v>
      </c>
      <c r="L2465" s="7"/>
      <c r="M2465" s="7"/>
    </row>
    <row r="2466" customFormat="false" ht="23.85" hidden="false" customHeight="false" outlineLevel="0" collapsed="false">
      <c r="A2466" s="6" t="s">
        <v>3385</v>
      </c>
      <c r="B2466" s="6" t="s">
        <v>77</v>
      </c>
      <c r="C2466" s="6" t="s">
        <v>79</v>
      </c>
      <c r="D2466" s="6" t="s">
        <v>491</v>
      </c>
      <c r="E2466" s="6" t="s">
        <v>3780</v>
      </c>
      <c r="F2466" s="6" t="s">
        <v>3387</v>
      </c>
      <c r="G2466" s="6"/>
      <c r="H2466" s="6" t="s">
        <v>5468</v>
      </c>
      <c r="I2466" s="6"/>
      <c r="J2466" s="6" t="s">
        <v>83</v>
      </c>
      <c r="K2466" s="6" t="s">
        <v>5469</v>
      </c>
      <c r="L2466" s="7"/>
      <c r="M2466" s="7"/>
    </row>
    <row r="2467" customFormat="false" ht="23.85" hidden="false" customHeight="false" outlineLevel="0" collapsed="false">
      <c r="A2467" s="6" t="s">
        <v>3385</v>
      </c>
      <c r="B2467" s="6" t="s">
        <v>77</v>
      </c>
      <c r="C2467" s="6" t="s">
        <v>79</v>
      </c>
      <c r="D2467" s="6" t="s">
        <v>491</v>
      </c>
      <c r="E2467" s="6" t="s">
        <v>5470</v>
      </c>
      <c r="F2467" s="6" t="s">
        <v>3387</v>
      </c>
      <c r="G2467" s="6"/>
      <c r="H2467" s="6" t="s">
        <v>5471</v>
      </c>
      <c r="I2467" s="6"/>
      <c r="J2467" s="6" t="s">
        <v>83</v>
      </c>
      <c r="K2467" s="6" t="s">
        <v>5472</v>
      </c>
      <c r="L2467" s="7"/>
      <c r="M2467" s="7"/>
    </row>
    <row r="2468" customFormat="false" ht="23.85" hidden="false" customHeight="false" outlineLevel="0" collapsed="false">
      <c r="A2468" s="6" t="s">
        <v>3385</v>
      </c>
      <c r="B2468" s="6" t="s">
        <v>77</v>
      </c>
      <c r="C2468" s="6" t="s">
        <v>79</v>
      </c>
      <c r="D2468" s="6" t="s">
        <v>491</v>
      </c>
      <c r="E2468" s="6" t="s">
        <v>5473</v>
      </c>
      <c r="F2468" s="6" t="s">
        <v>3387</v>
      </c>
      <c r="G2468" s="6"/>
      <c r="H2468" s="6" t="s">
        <v>5474</v>
      </c>
      <c r="I2468" s="6"/>
      <c r="J2468" s="6" t="s">
        <v>83</v>
      </c>
      <c r="K2468" s="6" t="s">
        <v>5475</v>
      </c>
      <c r="L2468" s="7"/>
      <c r="M2468" s="7"/>
    </row>
    <row r="2469" customFormat="false" ht="23.85" hidden="false" customHeight="false" outlineLevel="0" collapsed="false">
      <c r="A2469" s="6" t="s">
        <v>3391</v>
      </c>
      <c r="B2469" s="6" t="s">
        <v>123</v>
      </c>
      <c r="C2469" s="6" t="s">
        <v>165</v>
      </c>
      <c r="D2469" s="6" t="s">
        <v>372</v>
      </c>
      <c r="E2469" s="6"/>
      <c r="F2469" s="6" t="s">
        <v>3393</v>
      </c>
      <c r="G2469" s="6" t="s">
        <v>3651</v>
      </c>
      <c r="H2469" s="6" t="s">
        <v>5476</v>
      </c>
      <c r="I2469" s="6" t="n">
        <v>15</v>
      </c>
      <c r="J2469" s="6"/>
      <c r="K2469" s="6" t="s">
        <v>5477</v>
      </c>
      <c r="L2469" s="7"/>
      <c r="M2469" s="7"/>
    </row>
    <row r="2470" customFormat="false" ht="23.85" hidden="false" customHeight="false" outlineLevel="0" collapsed="false">
      <c r="A2470" s="6" t="s">
        <v>3391</v>
      </c>
      <c r="B2470" s="6" t="s">
        <v>123</v>
      </c>
      <c r="C2470" s="6" t="s">
        <v>165</v>
      </c>
      <c r="D2470" s="6" t="s">
        <v>372</v>
      </c>
      <c r="E2470" s="6"/>
      <c r="F2470" s="6" t="s">
        <v>3393</v>
      </c>
      <c r="G2470" s="6" t="s">
        <v>3654</v>
      </c>
      <c r="H2470" s="6" t="s">
        <v>5478</v>
      </c>
      <c r="I2470" s="6" t="n">
        <v>98</v>
      </c>
      <c r="J2470" s="6" t="s">
        <v>83</v>
      </c>
      <c r="K2470" s="6" t="s">
        <v>5479</v>
      </c>
      <c r="L2470" s="7"/>
      <c r="M2470" s="7"/>
    </row>
    <row r="2471" customFormat="false" ht="23.85" hidden="false" customHeight="false" outlineLevel="0" collapsed="false">
      <c r="A2471" s="6" t="s">
        <v>3391</v>
      </c>
      <c r="B2471" s="6" t="s">
        <v>123</v>
      </c>
      <c r="C2471" s="6" t="s">
        <v>165</v>
      </c>
      <c r="D2471" s="6" t="s">
        <v>372</v>
      </c>
      <c r="E2471" s="6"/>
      <c r="F2471" s="6" t="s">
        <v>3393</v>
      </c>
      <c r="G2471" s="6" t="s">
        <v>3657</v>
      </c>
      <c r="H2471" s="6" t="s">
        <v>5480</v>
      </c>
      <c r="I2471" s="6" t="n">
        <v>20</v>
      </c>
      <c r="J2471" s="6"/>
      <c r="K2471" s="6" t="s">
        <v>5481</v>
      </c>
      <c r="L2471" s="7"/>
      <c r="M2471" s="7"/>
    </row>
    <row r="2472" customFormat="false" ht="23.85" hidden="false" customHeight="false" outlineLevel="0" collapsed="false">
      <c r="A2472" s="6" t="s">
        <v>3391</v>
      </c>
      <c r="B2472" s="6" t="s">
        <v>123</v>
      </c>
      <c r="C2472" s="6" t="s">
        <v>165</v>
      </c>
      <c r="D2472" s="6" t="s">
        <v>372</v>
      </c>
      <c r="E2472" s="6"/>
      <c r="F2472" s="6" t="s">
        <v>3393</v>
      </c>
      <c r="G2472" s="6" t="s">
        <v>3660</v>
      </c>
      <c r="H2472" s="6" t="s">
        <v>5482</v>
      </c>
      <c r="I2472" s="6" t="n">
        <v>35</v>
      </c>
      <c r="J2472" s="6"/>
      <c r="K2472" s="6" t="s">
        <v>5483</v>
      </c>
      <c r="L2472" s="7"/>
      <c r="M2472" s="7"/>
    </row>
    <row r="2473" customFormat="false" ht="23.85" hidden="false" customHeight="false" outlineLevel="0" collapsed="false">
      <c r="A2473" s="6" t="s">
        <v>3397</v>
      </c>
      <c r="B2473" s="6" t="s">
        <v>110</v>
      </c>
      <c r="C2473" s="6" t="s">
        <v>165</v>
      </c>
      <c r="D2473" s="6" t="s">
        <v>431</v>
      </c>
      <c r="E2473" s="6" t="s">
        <v>432</v>
      </c>
      <c r="F2473" s="6" t="s">
        <v>3399</v>
      </c>
      <c r="G2473" s="6" t="s">
        <v>4068</v>
      </c>
      <c r="H2473" s="6" t="s">
        <v>5484</v>
      </c>
      <c r="I2473" s="6" t="n">
        <v>1</v>
      </c>
      <c r="J2473" s="6" t="s">
        <v>3692</v>
      </c>
      <c r="K2473" s="6"/>
      <c r="L2473" s="7"/>
      <c r="M2473" s="7"/>
    </row>
    <row r="2474" customFormat="false" ht="23.85" hidden="false" customHeight="false" outlineLevel="0" collapsed="false">
      <c r="A2474" s="6" t="s">
        <v>3397</v>
      </c>
      <c r="B2474" s="6" t="s">
        <v>110</v>
      </c>
      <c r="C2474" s="6" t="s">
        <v>165</v>
      </c>
      <c r="D2474" s="6" t="s">
        <v>431</v>
      </c>
      <c r="E2474" s="6" t="s">
        <v>432</v>
      </c>
      <c r="F2474" s="6" t="s">
        <v>3399</v>
      </c>
      <c r="G2474" s="6" t="s">
        <v>5044</v>
      </c>
      <c r="H2474" s="6" t="s">
        <v>5485</v>
      </c>
      <c r="I2474" s="6" t="n">
        <v>2</v>
      </c>
      <c r="J2474" s="6" t="s">
        <v>3695</v>
      </c>
      <c r="K2474" s="6"/>
      <c r="L2474" s="7"/>
      <c r="M2474" s="7"/>
    </row>
    <row r="2475" customFormat="false" ht="23.85" hidden="false" customHeight="false" outlineLevel="0" collapsed="false">
      <c r="A2475" s="6" t="s">
        <v>3397</v>
      </c>
      <c r="B2475" s="6" t="s">
        <v>110</v>
      </c>
      <c r="C2475" s="6" t="s">
        <v>165</v>
      </c>
      <c r="D2475" s="6" t="s">
        <v>431</v>
      </c>
      <c r="E2475" s="6" t="s">
        <v>432</v>
      </c>
      <c r="F2475" s="6" t="s">
        <v>3399</v>
      </c>
      <c r="G2475" s="6" t="s">
        <v>5486</v>
      </c>
      <c r="H2475" s="6" t="s">
        <v>5487</v>
      </c>
      <c r="I2475" s="6" t="n">
        <v>3</v>
      </c>
      <c r="J2475" s="6" t="s">
        <v>3698</v>
      </c>
      <c r="K2475" s="6"/>
      <c r="L2475" s="7"/>
      <c r="M2475" s="7"/>
    </row>
    <row r="2476" customFormat="false" ht="23.85" hidden="false" customHeight="false" outlineLevel="0" collapsed="false">
      <c r="A2476" s="6" t="s">
        <v>3397</v>
      </c>
      <c r="B2476" s="6" t="s">
        <v>110</v>
      </c>
      <c r="C2476" s="6" t="s">
        <v>165</v>
      </c>
      <c r="D2476" s="6" t="s">
        <v>431</v>
      </c>
      <c r="E2476" s="6" t="s">
        <v>432</v>
      </c>
      <c r="F2476" s="6" t="s">
        <v>3399</v>
      </c>
      <c r="G2476" s="6" t="s">
        <v>5039</v>
      </c>
      <c r="H2476" s="6" t="s">
        <v>5488</v>
      </c>
      <c r="I2476" s="6" t="n">
        <v>4</v>
      </c>
      <c r="J2476" s="6" t="s">
        <v>3701</v>
      </c>
      <c r="K2476" s="6"/>
      <c r="L2476" s="7"/>
      <c r="M2476" s="7"/>
    </row>
    <row r="2477" customFormat="false" ht="23.85" hidden="false" customHeight="false" outlineLevel="0" collapsed="false">
      <c r="A2477" s="6" t="s">
        <v>3403</v>
      </c>
      <c r="B2477" s="6" t="s">
        <v>77</v>
      </c>
      <c r="C2477" s="6" t="s">
        <v>165</v>
      </c>
      <c r="D2477" s="6" t="s">
        <v>491</v>
      </c>
      <c r="E2477" s="6" t="s">
        <v>5489</v>
      </c>
      <c r="F2477" s="6" t="s">
        <v>3407</v>
      </c>
      <c r="G2477" s="6"/>
      <c r="H2477" s="6" t="s">
        <v>5490</v>
      </c>
      <c r="I2477" s="6"/>
      <c r="J2477" s="6" t="s">
        <v>83</v>
      </c>
      <c r="K2477" s="6" t="s">
        <v>5491</v>
      </c>
      <c r="L2477" s="7"/>
      <c r="M2477" s="7"/>
    </row>
    <row r="2478" customFormat="false" ht="23.85" hidden="false" customHeight="false" outlineLevel="0" collapsed="false">
      <c r="A2478" s="6" t="s">
        <v>3403</v>
      </c>
      <c r="B2478" s="6" t="s">
        <v>77</v>
      </c>
      <c r="C2478" s="6" t="s">
        <v>165</v>
      </c>
      <c r="D2478" s="6" t="s">
        <v>491</v>
      </c>
      <c r="E2478" s="6" t="s">
        <v>3729</v>
      </c>
      <c r="F2478" s="6" t="s">
        <v>3407</v>
      </c>
      <c r="G2478" s="6"/>
      <c r="H2478" s="6" t="s">
        <v>5492</v>
      </c>
      <c r="I2478" s="6"/>
      <c r="J2478" s="6" t="s">
        <v>83</v>
      </c>
      <c r="K2478" s="6" t="s">
        <v>5493</v>
      </c>
      <c r="L2478" s="7"/>
      <c r="M2478" s="7"/>
    </row>
    <row r="2479" customFormat="false" ht="23.85" hidden="false" customHeight="false" outlineLevel="0" collapsed="false">
      <c r="A2479" s="6" t="s">
        <v>3403</v>
      </c>
      <c r="B2479" s="6" t="s">
        <v>77</v>
      </c>
      <c r="C2479" s="6" t="s">
        <v>165</v>
      </c>
      <c r="D2479" s="6" t="s">
        <v>491</v>
      </c>
      <c r="E2479" s="6" t="s">
        <v>4152</v>
      </c>
      <c r="F2479" s="6" t="s">
        <v>3407</v>
      </c>
      <c r="G2479" s="6"/>
      <c r="H2479" s="6" t="s">
        <v>5494</v>
      </c>
      <c r="I2479" s="6"/>
      <c r="J2479" s="6" t="s">
        <v>83</v>
      </c>
      <c r="K2479" s="6" t="s">
        <v>5495</v>
      </c>
      <c r="L2479" s="7"/>
      <c r="M2479" s="7"/>
    </row>
    <row r="2480" customFormat="false" ht="23.85" hidden="false" customHeight="false" outlineLevel="0" collapsed="false">
      <c r="A2480" s="6" t="s">
        <v>3411</v>
      </c>
      <c r="B2480" s="6" t="s">
        <v>145</v>
      </c>
      <c r="C2480" s="6" t="s">
        <v>98</v>
      </c>
      <c r="D2480" s="6" t="s">
        <v>431</v>
      </c>
      <c r="E2480" s="6" t="s">
        <v>432</v>
      </c>
      <c r="F2480" s="6" t="s">
        <v>3416</v>
      </c>
      <c r="G2480" s="6" t="s">
        <v>5496</v>
      </c>
      <c r="H2480" s="6" t="s">
        <v>5497</v>
      </c>
      <c r="I2480" s="6" t="n">
        <v>1</v>
      </c>
      <c r="J2480" s="6" t="s">
        <v>3692</v>
      </c>
      <c r="K2480" s="6"/>
      <c r="L2480" s="7"/>
      <c r="M2480" s="7"/>
    </row>
    <row r="2481" customFormat="false" ht="23.85" hidden="false" customHeight="false" outlineLevel="0" collapsed="false">
      <c r="A2481" s="6" t="s">
        <v>3411</v>
      </c>
      <c r="B2481" s="6" t="s">
        <v>145</v>
      </c>
      <c r="C2481" s="6" t="s">
        <v>98</v>
      </c>
      <c r="D2481" s="6" t="s">
        <v>431</v>
      </c>
      <c r="E2481" s="6" t="s">
        <v>432</v>
      </c>
      <c r="F2481" s="6" t="s">
        <v>3416</v>
      </c>
      <c r="G2481" s="6" t="s">
        <v>3731</v>
      </c>
      <c r="H2481" s="6" t="s">
        <v>5498</v>
      </c>
      <c r="I2481" s="6" t="n">
        <v>2</v>
      </c>
      <c r="J2481" s="6" t="s">
        <v>3695</v>
      </c>
      <c r="K2481" s="6"/>
      <c r="L2481" s="7"/>
      <c r="M2481" s="7"/>
    </row>
    <row r="2482" customFormat="false" ht="23.85" hidden="false" customHeight="false" outlineLevel="0" collapsed="false">
      <c r="A2482" s="6" t="s">
        <v>3411</v>
      </c>
      <c r="B2482" s="6" t="s">
        <v>145</v>
      </c>
      <c r="C2482" s="6" t="s">
        <v>98</v>
      </c>
      <c r="D2482" s="6" t="s">
        <v>431</v>
      </c>
      <c r="E2482" s="6" t="s">
        <v>432</v>
      </c>
      <c r="F2482" s="6" t="s">
        <v>3416</v>
      </c>
      <c r="G2482" s="6" t="s">
        <v>4070</v>
      </c>
      <c r="H2482" s="6" t="s">
        <v>5499</v>
      </c>
      <c r="I2482" s="6" t="n">
        <v>3</v>
      </c>
      <c r="J2482" s="6" t="s">
        <v>3698</v>
      </c>
      <c r="K2482" s="6"/>
      <c r="L2482" s="7"/>
      <c r="M2482" s="7"/>
    </row>
    <row r="2483" customFormat="false" ht="23.85" hidden="false" customHeight="false" outlineLevel="0" collapsed="false">
      <c r="A2483" s="6" t="s">
        <v>3411</v>
      </c>
      <c r="B2483" s="6" t="s">
        <v>145</v>
      </c>
      <c r="C2483" s="6" t="s">
        <v>98</v>
      </c>
      <c r="D2483" s="6" t="s">
        <v>431</v>
      </c>
      <c r="E2483" s="6" t="s">
        <v>432</v>
      </c>
      <c r="F2483" s="6" t="s">
        <v>3416</v>
      </c>
      <c r="G2483" s="6" t="s">
        <v>5500</v>
      </c>
      <c r="H2483" s="6" t="s">
        <v>5501</v>
      </c>
      <c r="I2483" s="6" t="n">
        <v>4</v>
      </c>
      <c r="J2483" s="6" t="s">
        <v>3701</v>
      </c>
      <c r="K2483" s="6"/>
      <c r="L2483" s="7"/>
      <c r="M2483" s="7"/>
    </row>
    <row r="2484" customFormat="false" ht="23.85" hidden="false" customHeight="false" outlineLevel="0" collapsed="false">
      <c r="A2484" s="6" t="s">
        <v>3420</v>
      </c>
      <c r="B2484" s="6" t="s">
        <v>110</v>
      </c>
      <c r="C2484" s="6" t="s">
        <v>165</v>
      </c>
      <c r="D2484" s="6" t="s">
        <v>372</v>
      </c>
      <c r="E2484" s="6"/>
      <c r="F2484" s="6" t="s">
        <v>3425</v>
      </c>
      <c r="G2484" s="6" t="s">
        <v>3651</v>
      </c>
      <c r="H2484" s="6" t="s">
        <v>5502</v>
      </c>
      <c r="I2484" s="6" t="n">
        <v>25</v>
      </c>
      <c r="J2484" s="6" t="s">
        <v>83</v>
      </c>
      <c r="K2484" s="6" t="s">
        <v>5503</v>
      </c>
      <c r="L2484" s="7"/>
      <c r="M2484" s="7"/>
    </row>
    <row r="2485" customFormat="false" ht="23.85" hidden="false" customHeight="false" outlineLevel="0" collapsed="false">
      <c r="A2485" s="6" t="s">
        <v>3420</v>
      </c>
      <c r="B2485" s="6" t="s">
        <v>110</v>
      </c>
      <c r="C2485" s="6" t="s">
        <v>165</v>
      </c>
      <c r="D2485" s="6" t="s">
        <v>372</v>
      </c>
      <c r="E2485" s="6"/>
      <c r="F2485" s="6" t="s">
        <v>3425</v>
      </c>
      <c r="G2485" s="6" t="s">
        <v>3654</v>
      </c>
      <c r="H2485" s="6" t="s">
        <v>5504</v>
      </c>
      <c r="I2485" s="6" t="n">
        <v>25</v>
      </c>
      <c r="J2485" s="6" t="s">
        <v>83</v>
      </c>
      <c r="K2485" s="6" t="s">
        <v>5505</v>
      </c>
      <c r="L2485" s="7"/>
      <c r="M2485" s="7"/>
    </row>
    <row r="2486" customFormat="false" ht="23.85" hidden="false" customHeight="false" outlineLevel="0" collapsed="false">
      <c r="A2486" s="6" t="s">
        <v>3420</v>
      </c>
      <c r="B2486" s="6" t="s">
        <v>110</v>
      </c>
      <c r="C2486" s="6" t="s">
        <v>165</v>
      </c>
      <c r="D2486" s="6" t="s">
        <v>372</v>
      </c>
      <c r="E2486" s="6"/>
      <c r="F2486" s="6" t="s">
        <v>3425</v>
      </c>
      <c r="G2486" s="6" t="s">
        <v>3657</v>
      </c>
      <c r="H2486" s="6" t="s">
        <v>5506</v>
      </c>
      <c r="I2486" s="6" t="n">
        <v>25</v>
      </c>
      <c r="J2486" s="6" t="s">
        <v>83</v>
      </c>
      <c r="K2486" s="6" t="s">
        <v>5507</v>
      </c>
      <c r="L2486" s="7"/>
      <c r="M2486" s="7"/>
    </row>
    <row r="2487" customFormat="false" ht="23.85" hidden="false" customHeight="false" outlineLevel="0" collapsed="false">
      <c r="A2487" s="6" t="s">
        <v>3420</v>
      </c>
      <c r="B2487" s="6" t="s">
        <v>110</v>
      </c>
      <c r="C2487" s="6" t="s">
        <v>165</v>
      </c>
      <c r="D2487" s="6" t="s">
        <v>372</v>
      </c>
      <c r="E2487" s="6"/>
      <c r="F2487" s="6" t="s">
        <v>3425</v>
      </c>
      <c r="G2487" s="6" t="s">
        <v>3660</v>
      </c>
      <c r="H2487" s="6" t="s">
        <v>5508</v>
      </c>
      <c r="I2487" s="6" t="n">
        <v>25</v>
      </c>
      <c r="J2487" s="6" t="s">
        <v>83</v>
      </c>
      <c r="K2487" s="6" t="s">
        <v>5509</v>
      </c>
      <c r="L2487" s="7"/>
      <c r="M2487" s="7"/>
    </row>
    <row r="2488" customFormat="false" ht="23.85" hidden="false" customHeight="false" outlineLevel="0" collapsed="false">
      <c r="A2488" s="6" t="s">
        <v>3420</v>
      </c>
      <c r="B2488" s="6" t="s">
        <v>110</v>
      </c>
      <c r="C2488" s="6" t="s">
        <v>165</v>
      </c>
      <c r="D2488" s="6" t="s">
        <v>372</v>
      </c>
      <c r="E2488" s="6"/>
      <c r="F2488" s="6" t="s">
        <v>3425</v>
      </c>
      <c r="G2488" s="6" t="s">
        <v>3687</v>
      </c>
      <c r="H2488" s="6" t="s">
        <v>5510</v>
      </c>
      <c r="I2488" s="6" t="n">
        <v>0</v>
      </c>
      <c r="J2488" s="6"/>
      <c r="K2488" s="6" t="s">
        <v>5511</v>
      </c>
      <c r="L2488" s="7"/>
      <c r="M2488" s="7"/>
    </row>
    <row r="2489" customFormat="false" ht="15" hidden="false" customHeight="false" outlineLevel="0" collapsed="false">
      <c r="A2489" s="6" t="s">
        <v>3428</v>
      </c>
      <c r="B2489" s="6" t="s">
        <v>132</v>
      </c>
      <c r="C2489" s="6" t="s">
        <v>98</v>
      </c>
      <c r="D2489" s="6" t="s">
        <v>2725</v>
      </c>
      <c r="E2489" s="6"/>
      <c r="F2489" s="6" t="s">
        <v>3430</v>
      </c>
      <c r="G2489" s="6" t="s">
        <v>3651</v>
      </c>
      <c r="H2489" s="6" t="s">
        <v>5512</v>
      </c>
      <c r="I2489" s="6" t="n">
        <v>20</v>
      </c>
      <c r="J2489" s="6"/>
      <c r="K2489" s="6" t="s">
        <v>5513</v>
      </c>
      <c r="L2489" s="7"/>
      <c r="M2489" s="7"/>
    </row>
    <row r="2490" customFormat="false" ht="23.85" hidden="false" customHeight="false" outlineLevel="0" collapsed="false">
      <c r="A2490" s="6" t="s">
        <v>3428</v>
      </c>
      <c r="B2490" s="6" t="s">
        <v>132</v>
      </c>
      <c r="C2490" s="6" t="s">
        <v>98</v>
      </c>
      <c r="D2490" s="6" t="s">
        <v>2725</v>
      </c>
      <c r="E2490" s="6"/>
      <c r="F2490" s="6" t="s">
        <v>3430</v>
      </c>
      <c r="G2490" s="6" t="s">
        <v>3654</v>
      </c>
      <c r="H2490" s="6" t="s">
        <v>5514</v>
      </c>
      <c r="I2490" s="6" t="n">
        <v>98</v>
      </c>
      <c r="J2490" s="6" t="s">
        <v>83</v>
      </c>
      <c r="K2490" s="6" t="s">
        <v>5515</v>
      </c>
      <c r="L2490" s="7"/>
      <c r="M2490" s="7"/>
    </row>
    <row r="2491" customFormat="false" ht="15" hidden="false" customHeight="false" outlineLevel="0" collapsed="false">
      <c r="A2491" s="6" t="s">
        <v>3428</v>
      </c>
      <c r="B2491" s="6" t="s">
        <v>132</v>
      </c>
      <c r="C2491" s="6" t="s">
        <v>98</v>
      </c>
      <c r="D2491" s="6" t="s">
        <v>2725</v>
      </c>
      <c r="E2491" s="6"/>
      <c r="F2491" s="6" t="s">
        <v>3430</v>
      </c>
      <c r="G2491" s="6" t="s">
        <v>3657</v>
      </c>
      <c r="H2491" s="6" t="s">
        <v>5516</v>
      </c>
      <c r="I2491" s="6" t="n">
        <v>35</v>
      </c>
      <c r="J2491" s="6"/>
      <c r="K2491" s="6" t="s">
        <v>5517</v>
      </c>
      <c r="L2491" s="7"/>
      <c r="M2491" s="7"/>
    </row>
    <row r="2492" customFormat="false" ht="15" hidden="false" customHeight="false" outlineLevel="0" collapsed="false">
      <c r="A2492" s="6" t="s">
        <v>3428</v>
      </c>
      <c r="B2492" s="6" t="s">
        <v>132</v>
      </c>
      <c r="C2492" s="6" t="s">
        <v>98</v>
      </c>
      <c r="D2492" s="6" t="s">
        <v>2725</v>
      </c>
      <c r="E2492" s="6"/>
      <c r="F2492" s="6" t="s">
        <v>3430</v>
      </c>
      <c r="G2492" s="6" t="s">
        <v>3660</v>
      </c>
      <c r="H2492" s="6" t="s">
        <v>5518</v>
      </c>
      <c r="I2492" s="6" t="n">
        <v>15</v>
      </c>
      <c r="J2492" s="6"/>
      <c r="K2492" s="6" t="s">
        <v>5519</v>
      </c>
      <c r="L2492" s="7"/>
      <c r="M2492" s="7"/>
    </row>
    <row r="2493" customFormat="false" ht="23.85" hidden="false" customHeight="false" outlineLevel="0" collapsed="false">
      <c r="A2493" s="6" t="s">
        <v>3434</v>
      </c>
      <c r="B2493" s="6" t="s">
        <v>96</v>
      </c>
      <c r="C2493" s="6" t="s">
        <v>165</v>
      </c>
      <c r="D2493" s="6" t="s">
        <v>372</v>
      </c>
      <c r="E2493" s="6"/>
      <c r="F2493" s="6" t="s">
        <v>3439</v>
      </c>
      <c r="G2493" s="6" t="s">
        <v>3651</v>
      </c>
      <c r="H2493" s="6" t="s">
        <v>5520</v>
      </c>
      <c r="I2493" s="6" t="n">
        <v>98</v>
      </c>
      <c r="J2493" s="6" t="s">
        <v>83</v>
      </c>
      <c r="K2493" s="6" t="s">
        <v>5521</v>
      </c>
      <c r="L2493" s="7"/>
      <c r="M2493" s="7"/>
    </row>
    <row r="2494" customFormat="false" ht="23.85" hidden="false" customHeight="false" outlineLevel="0" collapsed="false">
      <c r="A2494" s="6" t="s">
        <v>3434</v>
      </c>
      <c r="B2494" s="6" t="s">
        <v>96</v>
      </c>
      <c r="C2494" s="6" t="s">
        <v>165</v>
      </c>
      <c r="D2494" s="6" t="s">
        <v>372</v>
      </c>
      <c r="E2494" s="6"/>
      <c r="F2494" s="6" t="s">
        <v>3439</v>
      </c>
      <c r="G2494" s="6" t="s">
        <v>3654</v>
      </c>
      <c r="H2494" s="6" t="s">
        <v>5522</v>
      </c>
      <c r="I2494" s="6" t="n">
        <v>20</v>
      </c>
      <c r="J2494" s="6"/>
      <c r="K2494" s="6" t="s">
        <v>5523</v>
      </c>
      <c r="L2494" s="7"/>
      <c r="M2494" s="7"/>
    </row>
    <row r="2495" customFormat="false" ht="23.85" hidden="false" customHeight="false" outlineLevel="0" collapsed="false">
      <c r="A2495" s="6" t="s">
        <v>3434</v>
      </c>
      <c r="B2495" s="6" t="s">
        <v>96</v>
      </c>
      <c r="C2495" s="6" t="s">
        <v>165</v>
      </c>
      <c r="D2495" s="6" t="s">
        <v>372</v>
      </c>
      <c r="E2495" s="6"/>
      <c r="F2495" s="6" t="s">
        <v>3439</v>
      </c>
      <c r="G2495" s="6" t="s">
        <v>3657</v>
      </c>
      <c r="H2495" s="6" t="s">
        <v>5524</v>
      </c>
      <c r="I2495" s="6" t="n">
        <v>15</v>
      </c>
      <c r="J2495" s="6"/>
      <c r="K2495" s="6" t="s">
        <v>5525</v>
      </c>
      <c r="L2495" s="7"/>
      <c r="M2495" s="7"/>
    </row>
    <row r="2496" customFormat="false" ht="23.85" hidden="false" customHeight="false" outlineLevel="0" collapsed="false">
      <c r="A2496" s="6" t="s">
        <v>3434</v>
      </c>
      <c r="B2496" s="6" t="s">
        <v>96</v>
      </c>
      <c r="C2496" s="6" t="s">
        <v>165</v>
      </c>
      <c r="D2496" s="6" t="s">
        <v>372</v>
      </c>
      <c r="E2496" s="6"/>
      <c r="F2496" s="6" t="s">
        <v>3439</v>
      </c>
      <c r="G2496" s="6" t="s">
        <v>3660</v>
      </c>
      <c r="H2496" s="6" t="s">
        <v>5526</v>
      </c>
      <c r="I2496" s="6" t="n">
        <v>35</v>
      </c>
      <c r="J2496" s="6"/>
      <c r="K2496" s="6" t="s">
        <v>5527</v>
      </c>
      <c r="L2496" s="7"/>
      <c r="M2496" s="7"/>
    </row>
    <row r="2497" customFormat="false" ht="23.85" hidden="false" customHeight="false" outlineLevel="0" collapsed="false">
      <c r="A2497" s="6" t="s">
        <v>3443</v>
      </c>
      <c r="B2497" s="6" t="s">
        <v>110</v>
      </c>
      <c r="C2497" s="6" t="s">
        <v>165</v>
      </c>
      <c r="D2497" s="6" t="s">
        <v>372</v>
      </c>
      <c r="E2497" s="6"/>
      <c r="F2497" s="6" t="s">
        <v>3448</v>
      </c>
      <c r="G2497" s="6" t="s">
        <v>3651</v>
      </c>
      <c r="H2497" s="6" t="s">
        <v>5528</v>
      </c>
      <c r="I2497" s="6" t="n">
        <v>25</v>
      </c>
      <c r="J2497" s="6" t="s">
        <v>83</v>
      </c>
      <c r="K2497" s="6" t="s">
        <v>5529</v>
      </c>
      <c r="L2497" s="7"/>
      <c r="M2497" s="7"/>
    </row>
    <row r="2498" customFormat="false" ht="23.85" hidden="false" customHeight="false" outlineLevel="0" collapsed="false">
      <c r="A2498" s="6" t="s">
        <v>3443</v>
      </c>
      <c r="B2498" s="6" t="s">
        <v>110</v>
      </c>
      <c r="C2498" s="6" t="s">
        <v>165</v>
      </c>
      <c r="D2498" s="6" t="s">
        <v>372</v>
      </c>
      <c r="E2498" s="6"/>
      <c r="F2498" s="6" t="s">
        <v>3448</v>
      </c>
      <c r="G2498" s="6" t="s">
        <v>3654</v>
      </c>
      <c r="H2498" s="6" t="s">
        <v>5530</v>
      </c>
      <c r="I2498" s="6" t="n">
        <v>25</v>
      </c>
      <c r="J2498" s="6" t="s">
        <v>83</v>
      </c>
      <c r="K2498" s="6" t="s">
        <v>5531</v>
      </c>
      <c r="L2498" s="7"/>
      <c r="M2498" s="7"/>
    </row>
    <row r="2499" customFormat="false" ht="23.85" hidden="false" customHeight="false" outlineLevel="0" collapsed="false">
      <c r="A2499" s="6" t="s">
        <v>3443</v>
      </c>
      <c r="B2499" s="6" t="s">
        <v>110</v>
      </c>
      <c r="C2499" s="6" t="s">
        <v>165</v>
      </c>
      <c r="D2499" s="6" t="s">
        <v>372</v>
      </c>
      <c r="E2499" s="6"/>
      <c r="F2499" s="6" t="s">
        <v>3448</v>
      </c>
      <c r="G2499" s="6" t="s">
        <v>3657</v>
      </c>
      <c r="H2499" s="6" t="s">
        <v>5532</v>
      </c>
      <c r="I2499" s="6" t="n">
        <v>25</v>
      </c>
      <c r="J2499" s="6" t="s">
        <v>83</v>
      </c>
      <c r="K2499" s="6" t="s">
        <v>5533</v>
      </c>
      <c r="L2499" s="7"/>
      <c r="M2499" s="7"/>
    </row>
    <row r="2500" customFormat="false" ht="23.85" hidden="false" customHeight="false" outlineLevel="0" collapsed="false">
      <c r="A2500" s="6" t="s">
        <v>3443</v>
      </c>
      <c r="B2500" s="6" t="s">
        <v>110</v>
      </c>
      <c r="C2500" s="6" t="s">
        <v>165</v>
      </c>
      <c r="D2500" s="6" t="s">
        <v>372</v>
      </c>
      <c r="E2500" s="6"/>
      <c r="F2500" s="6" t="s">
        <v>3448</v>
      </c>
      <c r="G2500" s="6" t="s">
        <v>3660</v>
      </c>
      <c r="H2500" s="6" t="s">
        <v>5534</v>
      </c>
      <c r="I2500" s="6" t="n">
        <v>25</v>
      </c>
      <c r="J2500" s="6" t="s">
        <v>83</v>
      </c>
      <c r="K2500" s="6" t="s">
        <v>5535</v>
      </c>
      <c r="L2500" s="7"/>
      <c r="M2500" s="7"/>
    </row>
    <row r="2501" customFormat="false" ht="23.85" hidden="false" customHeight="false" outlineLevel="0" collapsed="false">
      <c r="A2501" s="6" t="s">
        <v>3443</v>
      </c>
      <c r="B2501" s="6" t="s">
        <v>110</v>
      </c>
      <c r="C2501" s="6" t="s">
        <v>165</v>
      </c>
      <c r="D2501" s="6" t="s">
        <v>372</v>
      </c>
      <c r="E2501" s="6"/>
      <c r="F2501" s="6" t="s">
        <v>3448</v>
      </c>
      <c r="G2501" s="6" t="s">
        <v>3687</v>
      </c>
      <c r="H2501" s="6" t="s">
        <v>5536</v>
      </c>
      <c r="I2501" s="6" t="n">
        <v>0</v>
      </c>
      <c r="J2501" s="6"/>
      <c r="K2501" s="6" t="s">
        <v>5537</v>
      </c>
      <c r="L2501" s="7"/>
      <c r="M2501" s="7"/>
    </row>
    <row r="2502" customFormat="false" ht="35.05" hidden="false" customHeight="false" outlineLevel="0" collapsed="false">
      <c r="A2502" s="6" t="s">
        <v>3458</v>
      </c>
      <c r="B2502" s="6" t="s">
        <v>123</v>
      </c>
      <c r="C2502" s="6" t="s">
        <v>79</v>
      </c>
      <c r="D2502" s="6" t="s">
        <v>491</v>
      </c>
      <c r="E2502" s="6" t="s">
        <v>5076</v>
      </c>
      <c r="F2502" s="6" t="s">
        <v>3460</v>
      </c>
      <c r="G2502" s="6"/>
      <c r="H2502" s="6" t="s">
        <v>5538</v>
      </c>
      <c r="I2502" s="6"/>
      <c r="J2502" s="6" t="s">
        <v>83</v>
      </c>
      <c r="K2502" s="6" t="s">
        <v>5539</v>
      </c>
      <c r="L2502" s="7"/>
      <c r="M2502" s="7"/>
    </row>
    <row r="2503" customFormat="false" ht="23.85" hidden="false" customHeight="false" outlineLevel="0" collapsed="false">
      <c r="A2503" s="6" t="s">
        <v>3458</v>
      </c>
      <c r="B2503" s="6" t="s">
        <v>123</v>
      </c>
      <c r="C2503" s="6" t="s">
        <v>79</v>
      </c>
      <c r="D2503" s="6" t="s">
        <v>491</v>
      </c>
      <c r="E2503" s="6" t="s">
        <v>4109</v>
      </c>
      <c r="F2503" s="6" t="s">
        <v>3460</v>
      </c>
      <c r="G2503" s="6"/>
      <c r="H2503" s="6" t="s">
        <v>5540</v>
      </c>
      <c r="I2503" s="6"/>
      <c r="J2503" s="6" t="s">
        <v>83</v>
      </c>
      <c r="K2503" s="6" t="s">
        <v>5541</v>
      </c>
      <c r="L2503" s="7"/>
      <c r="M2503" s="7"/>
    </row>
    <row r="2504" customFormat="false" ht="23.85" hidden="false" customHeight="false" outlineLevel="0" collapsed="false">
      <c r="A2504" s="6" t="s">
        <v>3458</v>
      </c>
      <c r="B2504" s="6" t="s">
        <v>123</v>
      </c>
      <c r="C2504" s="6" t="s">
        <v>79</v>
      </c>
      <c r="D2504" s="6" t="s">
        <v>491</v>
      </c>
      <c r="E2504" s="6" t="s">
        <v>5542</v>
      </c>
      <c r="F2504" s="6" t="s">
        <v>3460</v>
      </c>
      <c r="G2504" s="6"/>
      <c r="H2504" s="6" t="s">
        <v>5543</v>
      </c>
      <c r="I2504" s="6"/>
      <c r="J2504" s="6" t="s">
        <v>83</v>
      </c>
      <c r="K2504" s="6" t="s">
        <v>5544</v>
      </c>
      <c r="L2504" s="7"/>
      <c r="M2504" s="7"/>
    </row>
    <row r="2505" customFormat="false" ht="35.05" hidden="false" customHeight="false" outlineLevel="0" collapsed="false">
      <c r="A2505" s="6" t="s">
        <v>3458</v>
      </c>
      <c r="B2505" s="6" t="s">
        <v>123</v>
      </c>
      <c r="C2505" s="6" t="s">
        <v>79</v>
      </c>
      <c r="D2505" s="6" t="s">
        <v>491</v>
      </c>
      <c r="E2505" s="6" t="s">
        <v>4115</v>
      </c>
      <c r="F2505" s="6" t="s">
        <v>3460</v>
      </c>
      <c r="G2505" s="6"/>
      <c r="H2505" s="6" t="s">
        <v>5545</v>
      </c>
      <c r="I2505" s="6"/>
      <c r="J2505" s="6" t="s">
        <v>83</v>
      </c>
      <c r="K2505" s="6" t="s">
        <v>5546</v>
      </c>
      <c r="L2505" s="7"/>
      <c r="M2505" s="7"/>
    </row>
    <row r="2506" customFormat="false" ht="23.85" hidden="false" customHeight="false" outlineLevel="0" collapsed="false">
      <c r="A2506" s="6" t="s">
        <v>3464</v>
      </c>
      <c r="B2506" s="6" t="s">
        <v>123</v>
      </c>
      <c r="C2506" s="6" t="s">
        <v>165</v>
      </c>
      <c r="D2506" s="6" t="s">
        <v>1062</v>
      </c>
      <c r="E2506" s="6" t="s">
        <v>5547</v>
      </c>
      <c r="F2506" s="6" t="s">
        <v>5548</v>
      </c>
      <c r="G2506" s="6" t="s">
        <v>3651</v>
      </c>
      <c r="H2506" s="6" t="s">
        <v>5549</v>
      </c>
      <c r="I2506" s="6" t="n">
        <v>98</v>
      </c>
      <c r="J2506" s="6" t="s">
        <v>83</v>
      </c>
      <c r="K2506" s="6" t="s">
        <v>5550</v>
      </c>
      <c r="L2506" s="7"/>
      <c r="M2506" s="7"/>
    </row>
    <row r="2507" customFormat="false" ht="23.85" hidden="false" customHeight="false" outlineLevel="0" collapsed="false">
      <c r="A2507" s="6" t="s">
        <v>3464</v>
      </c>
      <c r="B2507" s="6" t="s">
        <v>123</v>
      </c>
      <c r="C2507" s="6" t="s">
        <v>165</v>
      </c>
      <c r="D2507" s="6" t="s">
        <v>1062</v>
      </c>
      <c r="E2507" s="6" t="s">
        <v>5547</v>
      </c>
      <c r="F2507" s="6" t="s">
        <v>5548</v>
      </c>
      <c r="G2507" s="6" t="s">
        <v>3654</v>
      </c>
      <c r="H2507" s="6" t="s">
        <v>5551</v>
      </c>
      <c r="I2507" s="6" t="n">
        <v>20</v>
      </c>
      <c r="J2507" s="6"/>
      <c r="K2507" s="6" t="s">
        <v>5552</v>
      </c>
      <c r="L2507" s="7"/>
      <c r="M2507" s="7"/>
    </row>
    <row r="2508" customFormat="false" ht="23.85" hidden="false" customHeight="false" outlineLevel="0" collapsed="false">
      <c r="A2508" s="6" t="s">
        <v>3464</v>
      </c>
      <c r="B2508" s="6" t="s">
        <v>123</v>
      </c>
      <c r="C2508" s="6" t="s">
        <v>165</v>
      </c>
      <c r="D2508" s="6" t="s">
        <v>1062</v>
      </c>
      <c r="E2508" s="6" t="s">
        <v>5547</v>
      </c>
      <c r="F2508" s="6" t="s">
        <v>5548</v>
      </c>
      <c r="G2508" s="6" t="s">
        <v>3657</v>
      </c>
      <c r="H2508" s="6" t="s">
        <v>5553</v>
      </c>
      <c r="I2508" s="6" t="n">
        <v>25</v>
      </c>
      <c r="J2508" s="6"/>
      <c r="K2508" s="6" t="s">
        <v>5554</v>
      </c>
      <c r="L2508" s="7"/>
      <c r="M2508" s="7"/>
    </row>
    <row r="2509" customFormat="false" ht="23.85" hidden="false" customHeight="false" outlineLevel="0" collapsed="false">
      <c r="A2509" s="6" t="s">
        <v>3464</v>
      </c>
      <c r="B2509" s="6" t="s">
        <v>123</v>
      </c>
      <c r="C2509" s="6" t="s">
        <v>165</v>
      </c>
      <c r="D2509" s="6" t="s">
        <v>1062</v>
      </c>
      <c r="E2509" s="6" t="s">
        <v>5555</v>
      </c>
      <c r="F2509" s="6" t="s">
        <v>5556</v>
      </c>
      <c r="G2509" s="6" t="s">
        <v>3651</v>
      </c>
      <c r="H2509" s="6" t="s">
        <v>5557</v>
      </c>
      <c r="I2509" s="6" t="n">
        <v>25</v>
      </c>
      <c r="J2509" s="6"/>
      <c r="K2509" s="6" t="s">
        <v>5558</v>
      </c>
      <c r="L2509" s="7"/>
      <c r="M2509" s="7"/>
    </row>
    <row r="2510" customFormat="false" ht="23.85" hidden="false" customHeight="false" outlineLevel="0" collapsed="false">
      <c r="A2510" s="6" t="s">
        <v>3464</v>
      </c>
      <c r="B2510" s="6" t="s">
        <v>123</v>
      </c>
      <c r="C2510" s="6" t="s">
        <v>165</v>
      </c>
      <c r="D2510" s="6" t="s">
        <v>1062</v>
      </c>
      <c r="E2510" s="6" t="s">
        <v>5555</v>
      </c>
      <c r="F2510" s="6" t="s">
        <v>5556</v>
      </c>
      <c r="G2510" s="6" t="s">
        <v>3654</v>
      </c>
      <c r="H2510" s="6" t="s">
        <v>5559</v>
      </c>
      <c r="I2510" s="6" t="n">
        <v>98</v>
      </c>
      <c r="J2510" s="6" t="s">
        <v>83</v>
      </c>
      <c r="K2510" s="6" t="s">
        <v>5560</v>
      </c>
      <c r="L2510" s="7"/>
      <c r="M2510" s="7"/>
    </row>
    <row r="2511" customFormat="false" ht="23.85" hidden="false" customHeight="false" outlineLevel="0" collapsed="false">
      <c r="A2511" s="6" t="s">
        <v>3464</v>
      </c>
      <c r="B2511" s="6" t="s">
        <v>123</v>
      </c>
      <c r="C2511" s="6" t="s">
        <v>165</v>
      </c>
      <c r="D2511" s="6" t="s">
        <v>1062</v>
      </c>
      <c r="E2511" s="6" t="s">
        <v>5555</v>
      </c>
      <c r="F2511" s="6" t="s">
        <v>5556</v>
      </c>
      <c r="G2511" s="6" t="s">
        <v>3657</v>
      </c>
      <c r="H2511" s="6" t="s">
        <v>5561</v>
      </c>
      <c r="I2511" s="6" t="n">
        <v>20</v>
      </c>
      <c r="J2511" s="6"/>
      <c r="K2511" s="6" t="s">
        <v>5562</v>
      </c>
      <c r="L2511" s="7"/>
      <c r="M2511" s="7"/>
    </row>
    <row r="2512" customFormat="false" ht="23.85" hidden="false" customHeight="false" outlineLevel="0" collapsed="false">
      <c r="A2512" s="6" t="s">
        <v>3464</v>
      </c>
      <c r="B2512" s="6" t="s">
        <v>123</v>
      </c>
      <c r="C2512" s="6" t="s">
        <v>165</v>
      </c>
      <c r="D2512" s="6" t="s">
        <v>1062</v>
      </c>
      <c r="E2512" s="6" t="s">
        <v>5563</v>
      </c>
      <c r="F2512" s="6" t="s">
        <v>5564</v>
      </c>
      <c r="G2512" s="6" t="s">
        <v>3651</v>
      </c>
      <c r="H2512" s="6" t="s">
        <v>5565</v>
      </c>
      <c r="I2512" s="6" t="n">
        <v>20</v>
      </c>
      <c r="J2512" s="6"/>
      <c r="K2512" s="6" t="s">
        <v>5566</v>
      </c>
      <c r="L2512" s="7"/>
      <c r="M2512" s="7"/>
    </row>
    <row r="2513" customFormat="false" ht="23.85" hidden="false" customHeight="false" outlineLevel="0" collapsed="false">
      <c r="A2513" s="6" t="s">
        <v>3464</v>
      </c>
      <c r="B2513" s="6" t="s">
        <v>123</v>
      </c>
      <c r="C2513" s="6" t="s">
        <v>165</v>
      </c>
      <c r="D2513" s="6" t="s">
        <v>1062</v>
      </c>
      <c r="E2513" s="6" t="s">
        <v>5563</v>
      </c>
      <c r="F2513" s="6" t="s">
        <v>5564</v>
      </c>
      <c r="G2513" s="6" t="s">
        <v>3654</v>
      </c>
      <c r="H2513" s="6" t="s">
        <v>5567</v>
      </c>
      <c r="I2513" s="6" t="n">
        <v>35</v>
      </c>
      <c r="J2513" s="6"/>
      <c r="K2513" s="6" t="s">
        <v>5568</v>
      </c>
      <c r="L2513" s="7"/>
      <c r="M2513" s="7"/>
    </row>
    <row r="2514" customFormat="false" ht="23.85" hidden="false" customHeight="false" outlineLevel="0" collapsed="false">
      <c r="A2514" s="6" t="s">
        <v>3464</v>
      </c>
      <c r="B2514" s="6" t="s">
        <v>123</v>
      </c>
      <c r="C2514" s="6" t="s">
        <v>165</v>
      </c>
      <c r="D2514" s="6" t="s">
        <v>1062</v>
      </c>
      <c r="E2514" s="6" t="s">
        <v>5563</v>
      </c>
      <c r="F2514" s="6" t="s">
        <v>5564</v>
      </c>
      <c r="G2514" s="6" t="s">
        <v>3657</v>
      </c>
      <c r="H2514" s="6" t="s">
        <v>5569</v>
      </c>
      <c r="I2514" s="6" t="n">
        <v>98</v>
      </c>
      <c r="J2514" s="6" t="s">
        <v>83</v>
      </c>
      <c r="K2514" s="6" t="s">
        <v>5570</v>
      </c>
      <c r="L2514" s="7"/>
      <c r="M2514" s="7"/>
    </row>
    <row r="2515" customFormat="false" ht="23.85" hidden="false" customHeight="false" outlineLevel="0" collapsed="false">
      <c r="A2515" s="6" t="s">
        <v>3464</v>
      </c>
      <c r="B2515" s="6" t="s">
        <v>123</v>
      </c>
      <c r="C2515" s="6" t="s">
        <v>165</v>
      </c>
      <c r="D2515" s="6" t="s">
        <v>1062</v>
      </c>
      <c r="E2515" s="6" t="s">
        <v>4029</v>
      </c>
      <c r="F2515" s="6" t="s">
        <v>5571</v>
      </c>
      <c r="G2515" s="6" t="s">
        <v>3651</v>
      </c>
      <c r="H2515" s="6" t="s">
        <v>5572</v>
      </c>
      <c r="I2515" s="6" t="n">
        <v>98</v>
      </c>
      <c r="J2515" s="6" t="s">
        <v>83</v>
      </c>
      <c r="K2515" s="6" t="s">
        <v>5573</v>
      </c>
      <c r="L2515" s="7"/>
      <c r="M2515" s="7"/>
    </row>
    <row r="2516" customFormat="false" ht="23.85" hidden="false" customHeight="false" outlineLevel="0" collapsed="false">
      <c r="A2516" s="6" t="s">
        <v>3464</v>
      </c>
      <c r="B2516" s="6" t="s">
        <v>123</v>
      </c>
      <c r="C2516" s="6" t="s">
        <v>165</v>
      </c>
      <c r="D2516" s="6" t="s">
        <v>1062</v>
      </c>
      <c r="E2516" s="6" t="s">
        <v>4029</v>
      </c>
      <c r="F2516" s="6" t="s">
        <v>5571</v>
      </c>
      <c r="G2516" s="6" t="s">
        <v>3654</v>
      </c>
      <c r="H2516" s="6" t="s">
        <v>5574</v>
      </c>
      <c r="I2516" s="6" t="n">
        <v>25</v>
      </c>
      <c r="J2516" s="6"/>
      <c r="K2516" s="6" t="s">
        <v>5575</v>
      </c>
      <c r="L2516" s="7"/>
      <c r="M2516" s="7"/>
    </row>
    <row r="2517" customFormat="false" ht="23.85" hidden="false" customHeight="false" outlineLevel="0" collapsed="false">
      <c r="A2517" s="6" t="s">
        <v>3464</v>
      </c>
      <c r="B2517" s="6" t="s">
        <v>123</v>
      </c>
      <c r="C2517" s="6" t="s">
        <v>165</v>
      </c>
      <c r="D2517" s="6" t="s">
        <v>1062</v>
      </c>
      <c r="E2517" s="6" t="s">
        <v>4029</v>
      </c>
      <c r="F2517" s="6" t="s">
        <v>5571</v>
      </c>
      <c r="G2517" s="6" t="s">
        <v>3657</v>
      </c>
      <c r="H2517" s="6" t="s">
        <v>5576</v>
      </c>
      <c r="I2517" s="6" t="n">
        <v>40</v>
      </c>
      <c r="J2517" s="6"/>
      <c r="K2517" s="6" t="s">
        <v>5577</v>
      </c>
      <c r="L2517" s="7"/>
      <c r="M2517" s="7"/>
    </row>
    <row r="2518" customFormat="false" ht="23.85" hidden="false" customHeight="false" outlineLevel="0" collapsed="false">
      <c r="A2518" s="6" t="s">
        <v>3473</v>
      </c>
      <c r="B2518" s="6" t="s">
        <v>77</v>
      </c>
      <c r="C2518" s="6" t="s">
        <v>98</v>
      </c>
      <c r="D2518" s="6" t="s">
        <v>2725</v>
      </c>
      <c r="E2518" s="6"/>
      <c r="F2518" s="6" t="s">
        <v>3475</v>
      </c>
      <c r="G2518" s="6" t="s">
        <v>3651</v>
      </c>
      <c r="H2518" s="6" t="s">
        <v>5578</v>
      </c>
      <c r="I2518" s="6" t="n">
        <v>96</v>
      </c>
      <c r="J2518" s="6" t="s">
        <v>83</v>
      </c>
      <c r="K2518" s="6" t="s">
        <v>5579</v>
      </c>
      <c r="L2518" s="7"/>
      <c r="M2518" s="7"/>
    </row>
    <row r="2519" customFormat="false" ht="23.85" hidden="false" customHeight="false" outlineLevel="0" collapsed="false">
      <c r="A2519" s="6" t="s">
        <v>3473</v>
      </c>
      <c r="B2519" s="6" t="s">
        <v>77</v>
      </c>
      <c r="C2519" s="6" t="s">
        <v>98</v>
      </c>
      <c r="D2519" s="6" t="s">
        <v>2725</v>
      </c>
      <c r="E2519" s="6"/>
      <c r="F2519" s="6" t="s">
        <v>3475</v>
      </c>
      <c r="G2519" s="6" t="s">
        <v>3654</v>
      </c>
      <c r="H2519" s="6" t="s">
        <v>5580</v>
      </c>
      <c r="I2519" s="6" t="n">
        <v>42</v>
      </c>
      <c r="J2519" s="6"/>
      <c r="K2519" s="6" t="s">
        <v>5581</v>
      </c>
      <c r="L2519" s="7"/>
      <c r="M2519" s="7"/>
    </row>
    <row r="2520" customFormat="false" ht="23.85" hidden="false" customHeight="false" outlineLevel="0" collapsed="false">
      <c r="A2520" s="6" t="s">
        <v>3473</v>
      </c>
      <c r="B2520" s="6" t="s">
        <v>77</v>
      </c>
      <c r="C2520" s="6" t="s">
        <v>98</v>
      </c>
      <c r="D2520" s="6" t="s">
        <v>2725</v>
      </c>
      <c r="E2520" s="6"/>
      <c r="F2520" s="6" t="s">
        <v>3475</v>
      </c>
      <c r="G2520" s="6" t="s">
        <v>3657</v>
      </c>
      <c r="H2520" s="6" t="s">
        <v>5582</v>
      </c>
      <c r="I2520" s="6" t="n">
        <v>14</v>
      </c>
      <c r="J2520" s="6"/>
      <c r="K2520" s="6" t="s">
        <v>5583</v>
      </c>
      <c r="L2520" s="7"/>
      <c r="M2520" s="7"/>
    </row>
    <row r="2521" customFormat="false" ht="23.85" hidden="false" customHeight="false" outlineLevel="0" collapsed="false">
      <c r="A2521" s="6" t="s">
        <v>3473</v>
      </c>
      <c r="B2521" s="6" t="s">
        <v>77</v>
      </c>
      <c r="C2521" s="6" t="s">
        <v>98</v>
      </c>
      <c r="D2521" s="6" t="s">
        <v>2725</v>
      </c>
      <c r="E2521" s="6"/>
      <c r="F2521" s="6" t="s">
        <v>3475</v>
      </c>
      <c r="G2521" s="6" t="s">
        <v>3660</v>
      </c>
      <c r="H2521" s="6" t="s">
        <v>5584</v>
      </c>
      <c r="I2521" s="6" t="n">
        <v>36</v>
      </c>
      <c r="J2521" s="6"/>
      <c r="K2521" s="6" t="s">
        <v>5585</v>
      </c>
      <c r="L2521" s="7"/>
      <c r="M2521" s="7"/>
    </row>
    <row r="2522" customFormat="false" ht="23.85" hidden="false" customHeight="false" outlineLevel="0" collapsed="false">
      <c r="A2522" s="6" t="s">
        <v>3484</v>
      </c>
      <c r="B2522" s="6" t="s">
        <v>110</v>
      </c>
      <c r="C2522" s="6" t="s">
        <v>165</v>
      </c>
      <c r="D2522" s="6" t="s">
        <v>372</v>
      </c>
      <c r="E2522" s="6"/>
      <c r="F2522" s="6" t="s">
        <v>3489</v>
      </c>
      <c r="G2522" s="6" t="s">
        <v>3651</v>
      </c>
      <c r="H2522" s="6" t="s">
        <v>5586</v>
      </c>
      <c r="I2522" s="6" t="n">
        <v>25</v>
      </c>
      <c r="J2522" s="6" t="s">
        <v>83</v>
      </c>
      <c r="K2522" s="6" t="s">
        <v>5587</v>
      </c>
      <c r="L2522" s="7"/>
      <c r="M2522" s="7"/>
    </row>
    <row r="2523" customFormat="false" ht="23.85" hidden="false" customHeight="false" outlineLevel="0" collapsed="false">
      <c r="A2523" s="6" t="s">
        <v>3484</v>
      </c>
      <c r="B2523" s="6" t="s">
        <v>110</v>
      </c>
      <c r="C2523" s="6" t="s">
        <v>165</v>
      </c>
      <c r="D2523" s="6" t="s">
        <v>372</v>
      </c>
      <c r="E2523" s="6"/>
      <c r="F2523" s="6" t="s">
        <v>3489</v>
      </c>
      <c r="G2523" s="6" t="s">
        <v>3654</v>
      </c>
      <c r="H2523" s="6" t="s">
        <v>5588</v>
      </c>
      <c r="I2523" s="6" t="n">
        <v>25</v>
      </c>
      <c r="J2523" s="6" t="s">
        <v>83</v>
      </c>
      <c r="K2523" s="6" t="s">
        <v>5589</v>
      </c>
      <c r="L2523" s="7"/>
      <c r="M2523" s="7"/>
    </row>
    <row r="2524" customFormat="false" ht="23.85" hidden="false" customHeight="false" outlineLevel="0" collapsed="false">
      <c r="A2524" s="6" t="s">
        <v>3484</v>
      </c>
      <c r="B2524" s="6" t="s">
        <v>110</v>
      </c>
      <c r="C2524" s="6" t="s">
        <v>165</v>
      </c>
      <c r="D2524" s="6" t="s">
        <v>372</v>
      </c>
      <c r="E2524" s="6"/>
      <c r="F2524" s="6" t="s">
        <v>3489</v>
      </c>
      <c r="G2524" s="6" t="s">
        <v>3657</v>
      </c>
      <c r="H2524" s="6" t="s">
        <v>5590</v>
      </c>
      <c r="I2524" s="6" t="n">
        <v>25</v>
      </c>
      <c r="J2524" s="6" t="s">
        <v>83</v>
      </c>
      <c r="K2524" s="6" t="s">
        <v>5591</v>
      </c>
      <c r="L2524" s="7"/>
      <c r="M2524" s="7"/>
    </row>
    <row r="2525" customFormat="false" ht="23.85" hidden="false" customHeight="false" outlineLevel="0" collapsed="false">
      <c r="A2525" s="6" t="s">
        <v>3484</v>
      </c>
      <c r="B2525" s="6" t="s">
        <v>110</v>
      </c>
      <c r="C2525" s="6" t="s">
        <v>165</v>
      </c>
      <c r="D2525" s="6" t="s">
        <v>372</v>
      </c>
      <c r="E2525" s="6"/>
      <c r="F2525" s="6" t="s">
        <v>3489</v>
      </c>
      <c r="G2525" s="6" t="s">
        <v>3660</v>
      </c>
      <c r="H2525" s="6" t="s">
        <v>5592</v>
      </c>
      <c r="I2525" s="6" t="n">
        <v>25</v>
      </c>
      <c r="J2525" s="6" t="s">
        <v>83</v>
      </c>
      <c r="K2525" s="6" t="s">
        <v>5593</v>
      </c>
      <c r="L2525" s="7"/>
      <c r="M2525" s="7"/>
    </row>
    <row r="2526" customFormat="false" ht="23.85" hidden="false" customHeight="false" outlineLevel="0" collapsed="false">
      <c r="A2526" s="6" t="s">
        <v>3484</v>
      </c>
      <c r="B2526" s="6" t="s">
        <v>110</v>
      </c>
      <c r="C2526" s="6" t="s">
        <v>165</v>
      </c>
      <c r="D2526" s="6" t="s">
        <v>372</v>
      </c>
      <c r="E2526" s="6"/>
      <c r="F2526" s="6" t="s">
        <v>3489</v>
      </c>
      <c r="G2526" s="6" t="s">
        <v>3687</v>
      </c>
      <c r="H2526" s="6" t="s">
        <v>5594</v>
      </c>
      <c r="I2526" s="6" t="n">
        <v>0</v>
      </c>
      <c r="J2526" s="6"/>
      <c r="K2526" s="6" t="s">
        <v>5595</v>
      </c>
      <c r="L2526" s="7"/>
      <c r="M2526" s="7"/>
    </row>
    <row r="2527" customFormat="false" ht="23.85" hidden="false" customHeight="false" outlineLevel="0" collapsed="false">
      <c r="A2527" s="6" t="s">
        <v>3492</v>
      </c>
      <c r="B2527" s="6" t="s">
        <v>110</v>
      </c>
      <c r="C2527" s="6" t="s">
        <v>165</v>
      </c>
      <c r="D2527" s="6" t="s">
        <v>396</v>
      </c>
      <c r="E2527" s="6"/>
      <c r="F2527" s="6" t="s">
        <v>3497</v>
      </c>
      <c r="G2527" s="6" t="s">
        <v>3651</v>
      </c>
      <c r="H2527" s="6" t="s">
        <v>5596</v>
      </c>
      <c r="I2527" s="6" t="n">
        <v>24</v>
      </c>
      <c r="J2527" s="6"/>
      <c r="K2527" s="6" t="s">
        <v>5597</v>
      </c>
      <c r="L2527" s="7"/>
      <c r="M2527" s="7"/>
    </row>
    <row r="2528" customFormat="false" ht="23.85" hidden="false" customHeight="false" outlineLevel="0" collapsed="false">
      <c r="A2528" s="6" t="s">
        <v>3492</v>
      </c>
      <c r="B2528" s="6" t="s">
        <v>110</v>
      </c>
      <c r="C2528" s="6" t="s">
        <v>165</v>
      </c>
      <c r="D2528" s="6" t="s">
        <v>396</v>
      </c>
      <c r="E2528" s="6"/>
      <c r="F2528" s="6" t="s">
        <v>3497</v>
      </c>
      <c r="G2528" s="6" t="s">
        <v>3654</v>
      </c>
      <c r="H2528" s="6" t="s">
        <v>5598</v>
      </c>
      <c r="I2528" s="6" t="n">
        <v>98</v>
      </c>
      <c r="J2528" s="6" t="s">
        <v>83</v>
      </c>
      <c r="K2528" s="6" t="s">
        <v>5599</v>
      </c>
      <c r="L2528" s="7"/>
      <c r="M2528" s="7"/>
    </row>
    <row r="2529" customFormat="false" ht="23.85" hidden="false" customHeight="false" outlineLevel="0" collapsed="false">
      <c r="A2529" s="6" t="s">
        <v>3492</v>
      </c>
      <c r="B2529" s="6" t="s">
        <v>110</v>
      </c>
      <c r="C2529" s="6" t="s">
        <v>165</v>
      </c>
      <c r="D2529" s="6" t="s">
        <v>396</v>
      </c>
      <c r="E2529" s="6"/>
      <c r="F2529" s="6" t="s">
        <v>3497</v>
      </c>
      <c r="G2529" s="6" t="s">
        <v>3657</v>
      </c>
      <c r="H2529" s="6" t="s">
        <v>5600</v>
      </c>
      <c r="I2529" s="6" t="n">
        <v>38</v>
      </c>
      <c r="J2529" s="6"/>
      <c r="K2529" s="6" t="s">
        <v>5601</v>
      </c>
      <c r="L2529" s="7"/>
      <c r="M2529" s="7"/>
    </row>
    <row r="2530" customFormat="false" ht="23.85" hidden="false" customHeight="false" outlineLevel="0" collapsed="false">
      <c r="A2530" s="6" t="s">
        <v>3492</v>
      </c>
      <c r="B2530" s="6" t="s">
        <v>110</v>
      </c>
      <c r="C2530" s="6" t="s">
        <v>165</v>
      </c>
      <c r="D2530" s="6" t="s">
        <v>396</v>
      </c>
      <c r="E2530" s="6"/>
      <c r="F2530" s="6" t="s">
        <v>3497</v>
      </c>
      <c r="G2530" s="6" t="s">
        <v>3660</v>
      </c>
      <c r="H2530" s="6" t="s">
        <v>5602</v>
      </c>
      <c r="I2530" s="6" t="n">
        <v>46</v>
      </c>
      <c r="J2530" s="6"/>
      <c r="K2530" s="6" t="s">
        <v>5603</v>
      </c>
      <c r="L2530" s="7"/>
      <c r="M2530" s="7"/>
    </row>
    <row r="2531" customFormat="false" ht="23.85" hidden="false" customHeight="false" outlineLevel="0" collapsed="false">
      <c r="A2531" s="6" t="s">
        <v>3501</v>
      </c>
      <c r="B2531" s="6" t="s">
        <v>132</v>
      </c>
      <c r="C2531" s="6" t="s">
        <v>165</v>
      </c>
      <c r="D2531" s="6" t="s">
        <v>431</v>
      </c>
      <c r="E2531" s="6" t="s">
        <v>432</v>
      </c>
      <c r="F2531" s="6" t="s">
        <v>3506</v>
      </c>
      <c r="G2531" s="6" t="s">
        <v>5604</v>
      </c>
      <c r="H2531" s="6" t="s">
        <v>5605</v>
      </c>
      <c r="I2531" s="6" t="n">
        <v>1</v>
      </c>
      <c r="J2531" s="6" t="s">
        <v>3692</v>
      </c>
      <c r="K2531" s="6"/>
      <c r="L2531" s="7"/>
      <c r="M2531" s="7"/>
    </row>
    <row r="2532" customFormat="false" ht="23.85" hidden="false" customHeight="false" outlineLevel="0" collapsed="false">
      <c r="A2532" s="6" t="s">
        <v>3501</v>
      </c>
      <c r="B2532" s="6" t="s">
        <v>132</v>
      </c>
      <c r="C2532" s="6" t="s">
        <v>165</v>
      </c>
      <c r="D2532" s="6" t="s">
        <v>431</v>
      </c>
      <c r="E2532" s="6" t="s">
        <v>432</v>
      </c>
      <c r="F2532" s="6" t="s">
        <v>3506</v>
      </c>
      <c r="G2532" s="6" t="s">
        <v>4037</v>
      </c>
      <c r="H2532" s="6" t="s">
        <v>5606</v>
      </c>
      <c r="I2532" s="6" t="n">
        <v>2</v>
      </c>
      <c r="J2532" s="6" t="s">
        <v>3695</v>
      </c>
      <c r="K2532" s="6"/>
      <c r="L2532" s="7"/>
      <c r="M2532" s="7"/>
    </row>
    <row r="2533" customFormat="false" ht="23.85" hidden="false" customHeight="false" outlineLevel="0" collapsed="false">
      <c r="A2533" s="6" t="s">
        <v>3501</v>
      </c>
      <c r="B2533" s="6" t="s">
        <v>132</v>
      </c>
      <c r="C2533" s="6" t="s">
        <v>165</v>
      </c>
      <c r="D2533" s="6" t="s">
        <v>431</v>
      </c>
      <c r="E2533" s="6" t="s">
        <v>432</v>
      </c>
      <c r="F2533" s="6" t="s">
        <v>3506</v>
      </c>
      <c r="G2533" s="6" t="s">
        <v>3860</v>
      </c>
      <c r="H2533" s="6" t="s">
        <v>5607</v>
      </c>
      <c r="I2533" s="6" t="n">
        <v>3</v>
      </c>
      <c r="J2533" s="6" t="s">
        <v>3698</v>
      </c>
      <c r="K2533" s="6"/>
      <c r="L2533" s="7"/>
      <c r="M2533" s="7"/>
    </row>
    <row r="2534" customFormat="false" ht="23.85" hidden="false" customHeight="false" outlineLevel="0" collapsed="false">
      <c r="A2534" s="6" t="s">
        <v>3501</v>
      </c>
      <c r="B2534" s="6" t="s">
        <v>132</v>
      </c>
      <c r="C2534" s="6" t="s">
        <v>165</v>
      </c>
      <c r="D2534" s="6" t="s">
        <v>431</v>
      </c>
      <c r="E2534" s="6" t="s">
        <v>432</v>
      </c>
      <c r="F2534" s="6" t="s">
        <v>3506</v>
      </c>
      <c r="G2534" s="6" t="s">
        <v>5608</v>
      </c>
      <c r="H2534" s="6" t="s">
        <v>5609</v>
      </c>
      <c r="I2534" s="6" t="n">
        <v>4</v>
      </c>
      <c r="J2534" s="6" t="s">
        <v>3701</v>
      </c>
      <c r="K2534" s="6"/>
      <c r="L2534" s="7"/>
      <c r="M2534" s="7"/>
    </row>
    <row r="2535" customFormat="false" ht="23.85" hidden="false" customHeight="false" outlineLevel="0" collapsed="false">
      <c r="A2535" s="6" t="s">
        <v>3510</v>
      </c>
      <c r="B2535" s="6" t="s">
        <v>132</v>
      </c>
      <c r="C2535" s="6" t="s">
        <v>98</v>
      </c>
      <c r="D2535" s="6" t="s">
        <v>452</v>
      </c>
      <c r="E2535" s="6"/>
      <c r="F2535" s="6" t="s">
        <v>3512</v>
      </c>
      <c r="G2535" s="6" t="s">
        <v>3651</v>
      </c>
      <c r="H2535" s="6" t="s">
        <v>5610</v>
      </c>
      <c r="I2535" s="6" t="n">
        <v>25</v>
      </c>
      <c r="J2535" s="6" t="s">
        <v>83</v>
      </c>
      <c r="K2535" s="6" t="s">
        <v>5611</v>
      </c>
      <c r="L2535" s="7"/>
      <c r="M2535" s="7"/>
    </row>
    <row r="2536" customFormat="false" ht="23.85" hidden="false" customHeight="false" outlineLevel="0" collapsed="false">
      <c r="A2536" s="6" t="s">
        <v>3510</v>
      </c>
      <c r="B2536" s="6" t="s">
        <v>132</v>
      </c>
      <c r="C2536" s="6" t="s">
        <v>98</v>
      </c>
      <c r="D2536" s="6" t="s">
        <v>452</v>
      </c>
      <c r="E2536" s="6"/>
      <c r="F2536" s="6" t="s">
        <v>3512</v>
      </c>
      <c r="G2536" s="6" t="s">
        <v>3654</v>
      </c>
      <c r="H2536" s="6" t="s">
        <v>5612</v>
      </c>
      <c r="I2536" s="6" t="n">
        <v>25</v>
      </c>
      <c r="J2536" s="6" t="s">
        <v>83</v>
      </c>
      <c r="K2536" s="6" t="s">
        <v>5613</v>
      </c>
      <c r="L2536" s="7"/>
      <c r="M2536" s="7"/>
    </row>
    <row r="2537" customFormat="false" ht="23.85" hidden="false" customHeight="false" outlineLevel="0" collapsed="false">
      <c r="A2537" s="6" t="s">
        <v>3510</v>
      </c>
      <c r="B2537" s="6" t="s">
        <v>132</v>
      </c>
      <c r="C2537" s="6" t="s">
        <v>98</v>
      </c>
      <c r="D2537" s="6" t="s">
        <v>452</v>
      </c>
      <c r="E2537" s="6"/>
      <c r="F2537" s="6" t="s">
        <v>3512</v>
      </c>
      <c r="G2537" s="6" t="s">
        <v>3657</v>
      </c>
      <c r="H2537" s="6" t="s">
        <v>5614</v>
      </c>
      <c r="I2537" s="6" t="n">
        <v>25</v>
      </c>
      <c r="J2537" s="6" t="s">
        <v>83</v>
      </c>
      <c r="K2537" s="6" t="s">
        <v>5615</v>
      </c>
      <c r="L2537" s="7"/>
      <c r="M2537" s="7"/>
    </row>
    <row r="2538" customFormat="false" ht="23.85" hidden="false" customHeight="false" outlineLevel="0" collapsed="false">
      <c r="A2538" s="6" t="s">
        <v>3510</v>
      </c>
      <c r="B2538" s="6" t="s">
        <v>132</v>
      </c>
      <c r="C2538" s="6" t="s">
        <v>98</v>
      </c>
      <c r="D2538" s="6" t="s">
        <v>452</v>
      </c>
      <c r="E2538" s="6"/>
      <c r="F2538" s="6" t="s">
        <v>3512</v>
      </c>
      <c r="G2538" s="6" t="s">
        <v>3660</v>
      </c>
      <c r="H2538" s="6" t="s">
        <v>5616</v>
      </c>
      <c r="I2538" s="6" t="n">
        <v>25</v>
      </c>
      <c r="J2538" s="6" t="s">
        <v>83</v>
      </c>
      <c r="K2538" s="6" t="s">
        <v>5617</v>
      </c>
      <c r="L2538" s="7"/>
      <c r="M2538" s="7"/>
    </row>
    <row r="2539" customFormat="false" ht="23.85" hidden="false" customHeight="false" outlineLevel="0" collapsed="false">
      <c r="A2539" s="6" t="s">
        <v>3510</v>
      </c>
      <c r="B2539" s="6" t="s">
        <v>132</v>
      </c>
      <c r="C2539" s="6" t="s">
        <v>98</v>
      </c>
      <c r="D2539" s="6" t="s">
        <v>452</v>
      </c>
      <c r="E2539" s="6"/>
      <c r="F2539" s="6" t="s">
        <v>3512</v>
      </c>
      <c r="G2539" s="6" t="s">
        <v>3687</v>
      </c>
      <c r="H2539" s="6" t="s">
        <v>5618</v>
      </c>
      <c r="I2539" s="6" t="n">
        <v>0</v>
      </c>
      <c r="J2539" s="6"/>
      <c r="K2539" s="6" t="s">
        <v>5619</v>
      </c>
      <c r="L2539" s="7"/>
      <c r="M2539" s="7"/>
    </row>
    <row r="2540" customFormat="false" ht="23.85" hidden="false" customHeight="false" outlineLevel="0" collapsed="false">
      <c r="A2540" s="6" t="s">
        <v>3523</v>
      </c>
      <c r="B2540" s="6" t="s">
        <v>77</v>
      </c>
      <c r="C2540" s="6" t="s">
        <v>165</v>
      </c>
      <c r="D2540" s="6" t="s">
        <v>1062</v>
      </c>
      <c r="E2540" s="6" t="s">
        <v>5620</v>
      </c>
      <c r="F2540" s="6" t="s">
        <v>5621</v>
      </c>
      <c r="G2540" s="6" t="s">
        <v>3651</v>
      </c>
      <c r="H2540" s="6" t="s">
        <v>5622</v>
      </c>
      <c r="I2540" s="6" t="n">
        <v>30</v>
      </c>
      <c r="J2540" s="6"/>
      <c r="K2540" s="6" t="s">
        <v>5623</v>
      </c>
      <c r="L2540" s="7"/>
      <c r="M2540" s="7"/>
    </row>
    <row r="2541" customFormat="false" ht="23.85" hidden="false" customHeight="false" outlineLevel="0" collapsed="false">
      <c r="A2541" s="6" t="s">
        <v>3523</v>
      </c>
      <c r="B2541" s="6" t="s">
        <v>77</v>
      </c>
      <c r="C2541" s="6" t="s">
        <v>165</v>
      </c>
      <c r="D2541" s="6" t="s">
        <v>1062</v>
      </c>
      <c r="E2541" s="6" t="s">
        <v>5620</v>
      </c>
      <c r="F2541" s="6" t="s">
        <v>5621</v>
      </c>
      <c r="G2541" s="6" t="s">
        <v>3654</v>
      </c>
      <c r="H2541" s="6" t="s">
        <v>5624</v>
      </c>
      <c r="I2541" s="6" t="n">
        <v>98</v>
      </c>
      <c r="J2541" s="6" t="s">
        <v>83</v>
      </c>
      <c r="K2541" s="6" t="s">
        <v>5625</v>
      </c>
      <c r="L2541" s="7"/>
      <c r="M2541" s="7"/>
    </row>
    <row r="2542" customFormat="false" ht="23.85" hidden="false" customHeight="false" outlineLevel="0" collapsed="false">
      <c r="A2542" s="6" t="s">
        <v>3523</v>
      </c>
      <c r="B2542" s="6" t="s">
        <v>77</v>
      </c>
      <c r="C2542" s="6" t="s">
        <v>165</v>
      </c>
      <c r="D2542" s="6" t="s">
        <v>1062</v>
      </c>
      <c r="E2542" s="6" t="s">
        <v>5620</v>
      </c>
      <c r="F2542" s="6" t="s">
        <v>5621</v>
      </c>
      <c r="G2542" s="6" t="s">
        <v>3657</v>
      </c>
      <c r="H2542" s="6" t="s">
        <v>5626</v>
      </c>
      <c r="I2542" s="6" t="n">
        <v>15</v>
      </c>
      <c r="J2542" s="6"/>
      <c r="K2542" s="6" t="s">
        <v>5627</v>
      </c>
      <c r="L2542" s="7"/>
      <c r="M2542" s="7"/>
    </row>
    <row r="2543" customFormat="false" ht="23.85" hidden="false" customHeight="false" outlineLevel="0" collapsed="false">
      <c r="A2543" s="6" t="s">
        <v>3523</v>
      </c>
      <c r="B2543" s="6" t="s">
        <v>77</v>
      </c>
      <c r="C2543" s="6" t="s">
        <v>165</v>
      </c>
      <c r="D2543" s="6" t="s">
        <v>1062</v>
      </c>
      <c r="E2543" s="6" t="s">
        <v>5628</v>
      </c>
      <c r="F2543" s="6" t="s">
        <v>5629</v>
      </c>
      <c r="G2543" s="6" t="s">
        <v>3651</v>
      </c>
      <c r="H2543" s="6" t="s">
        <v>5630</v>
      </c>
      <c r="I2543" s="6" t="n">
        <v>98</v>
      </c>
      <c r="J2543" s="6" t="s">
        <v>83</v>
      </c>
      <c r="K2543" s="6" t="s">
        <v>5631</v>
      </c>
      <c r="L2543" s="7"/>
      <c r="M2543" s="7"/>
    </row>
    <row r="2544" customFormat="false" ht="23.85" hidden="false" customHeight="false" outlineLevel="0" collapsed="false">
      <c r="A2544" s="6" t="s">
        <v>3523</v>
      </c>
      <c r="B2544" s="6" t="s">
        <v>77</v>
      </c>
      <c r="C2544" s="6" t="s">
        <v>165</v>
      </c>
      <c r="D2544" s="6" t="s">
        <v>1062</v>
      </c>
      <c r="E2544" s="6" t="s">
        <v>5628</v>
      </c>
      <c r="F2544" s="6" t="s">
        <v>5629</v>
      </c>
      <c r="G2544" s="6" t="s">
        <v>3654</v>
      </c>
      <c r="H2544" s="6" t="s">
        <v>5632</v>
      </c>
      <c r="I2544" s="6" t="n">
        <v>25</v>
      </c>
      <c r="J2544" s="6"/>
      <c r="K2544" s="6" t="s">
        <v>5633</v>
      </c>
      <c r="L2544" s="7"/>
      <c r="M2544" s="7"/>
    </row>
    <row r="2545" customFormat="false" ht="23.85" hidden="false" customHeight="false" outlineLevel="0" collapsed="false">
      <c r="A2545" s="6" t="s">
        <v>3523</v>
      </c>
      <c r="B2545" s="6" t="s">
        <v>77</v>
      </c>
      <c r="C2545" s="6" t="s">
        <v>165</v>
      </c>
      <c r="D2545" s="6" t="s">
        <v>1062</v>
      </c>
      <c r="E2545" s="6" t="s">
        <v>5628</v>
      </c>
      <c r="F2545" s="6" t="s">
        <v>5629</v>
      </c>
      <c r="G2545" s="6" t="s">
        <v>3657</v>
      </c>
      <c r="H2545" s="6" t="s">
        <v>5634</v>
      </c>
      <c r="I2545" s="6" t="n">
        <v>40</v>
      </c>
      <c r="J2545" s="6"/>
      <c r="K2545" s="6" t="s">
        <v>5635</v>
      </c>
      <c r="L2545" s="7"/>
      <c r="M2545" s="7"/>
    </row>
    <row r="2546" customFormat="false" ht="23.85" hidden="false" customHeight="false" outlineLevel="0" collapsed="false">
      <c r="A2546" s="6" t="s">
        <v>3523</v>
      </c>
      <c r="B2546" s="6" t="s">
        <v>77</v>
      </c>
      <c r="C2546" s="6" t="s">
        <v>165</v>
      </c>
      <c r="D2546" s="6" t="s">
        <v>1062</v>
      </c>
      <c r="E2546" s="6" t="s">
        <v>5636</v>
      </c>
      <c r="F2546" s="6" t="s">
        <v>5637</v>
      </c>
      <c r="G2546" s="6" t="s">
        <v>3651</v>
      </c>
      <c r="H2546" s="6" t="s">
        <v>5638</v>
      </c>
      <c r="I2546" s="6" t="n">
        <v>24</v>
      </c>
      <c r="J2546" s="6"/>
      <c r="K2546" s="6" t="s">
        <v>5639</v>
      </c>
      <c r="L2546" s="7"/>
      <c r="M2546" s="7"/>
    </row>
    <row r="2547" customFormat="false" ht="23.85" hidden="false" customHeight="false" outlineLevel="0" collapsed="false">
      <c r="A2547" s="6" t="s">
        <v>3523</v>
      </c>
      <c r="B2547" s="6" t="s">
        <v>77</v>
      </c>
      <c r="C2547" s="6" t="s">
        <v>165</v>
      </c>
      <c r="D2547" s="6" t="s">
        <v>1062</v>
      </c>
      <c r="E2547" s="6" t="s">
        <v>5636</v>
      </c>
      <c r="F2547" s="6" t="s">
        <v>5637</v>
      </c>
      <c r="G2547" s="6" t="s">
        <v>3654</v>
      </c>
      <c r="H2547" s="6" t="s">
        <v>5640</v>
      </c>
      <c r="I2547" s="6" t="n">
        <v>34</v>
      </c>
      <c r="J2547" s="6"/>
      <c r="K2547" s="6" t="s">
        <v>5641</v>
      </c>
      <c r="L2547" s="7"/>
      <c r="M2547" s="7"/>
    </row>
    <row r="2548" customFormat="false" ht="23.85" hidden="false" customHeight="false" outlineLevel="0" collapsed="false">
      <c r="A2548" s="6" t="s">
        <v>3523</v>
      </c>
      <c r="B2548" s="6" t="s">
        <v>77</v>
      </c>
      <c r="C2548" s="6" t="s">
        <v>165</v>
      </c>
      <c r="D2548" s="6" t="s">
        <v>1062</v>
      </c>
      <c r="E2548" s="6" t="s">
        <v>5636</v>
      </c>
      <c r="F2548" s="6" t="s">
        <v>5637</v>
      </c>
      <c r="G2548" s="6" t="s">
        <v>3657</v>
      </c>
      <c r="H2548" s="6" t="s">
        <v>5642</v>
      </c>
      <c r="I2548" s="6" t="n">
        <v>98</v>
      </c>
      <c r="J2548" s="6" t="s">
        <v>83</v>
      </c>
      <c r="K2548" s="6" t="s">
        <v>5643</v>
      </c>
      <c r="L2548" s="7"/>
      <c r="M2548" s="7"/>
    </row>
    <row r="2549" customFormat="false" ht="23.85" hidden="false" customHeight="false" outlineLevel="0" collapsed="false">
      <c r="A2549" s="6" t="s">
        <v>3530</v>
      </c>
      <c r="B2549" s="6" t="s">
        <v>110</v>
      </c>
      <c r="C2549" s="6" t="s">
        <v>98</v>
      </c>
      <c r="D2549" s="6" t="s">
        <v>452</v>
      </c>
      <c r="E2549" s="6"/>
      <c r="F2549" s="6" t="s">
        <v>3538</v>
      </c>
      <c r="G2549" s="6" t="s">
        <v>3651</v>
      </c>
      <c r="H2549" s="6" t="s">
        <v>5644</v>
      </c>
      <c r="I2549" s="6" t="n">
        <v>34</v>
      </c>
      <c r="J2549" s="6" t="s">
        <v>83</v>
      </c>
      <c r="K2549" s="6" t="s">
        <v>5645</v>
      </c>
      <c r="L2549" s="7"/>
      <c r="M2549" s="7"/>
    </row>
    <row r="2550" customFormat="false" ht="23.85" hidden="false" customHeight="false" outlineLevel="0" collapsed="false">
      <c r="A2550" s="6" t="s">
        <v>3530</v>
      </c>
      <c r="B2550" s="6" t="s">
        <v>110</v>
      </c>
      <c r="C2550" s="6" t="s">
        <v>98</v>
      </c>
      <c r="D2550" s="6" t="s">
        <v>452</v>
      </c>
      <c r="E2550" s="6"/>
      <c r="F2550" s="6" t="s">
        <v>3538</v>
      </c>
      <c r="G2550" s="6" t="s">
        <v>3654</v>
      </c>
      <c r="H2550" s="6" t="s">
        <v>5646</v>
      </c>
      <c r="I2550" s="6" t="n">
        <v>33</v>
      </c>
      <c r="J2550" s="6" t="s">
        <v>83</v>
      </c>
      <c r="K2550" s="6" t="s">
        <v>5647</v>
      </c>
      <c r="L2550" s="7"/>
      <c r="M2550" s="7"/>
    </row>
    <row r="2551" customFormat="false" ht="23.85" hidden="false" customHeight="false" outlineLevel="0" collapsed="false">
      <c r="A2551" s="6" t="s">
        <v>3530</v>
      </c>
      <c r="B2551" s="6" t="s">
        <v>110</v>
      </c>
      <c r="C2551" s="6" t="s">
        <v>98</v>
      </c>
      <c r="D2551" s="6" t="s">
        <v>452</v>
      </c>
      <c r="E2551" s="6"/>
      <c r="F2551" s="6" t="s">
        <v>3538</v>
      </c>
      <c r="G2551" s="6" t="s">
        <v>3657</v>
      </c>
      <c r="H2551" s="6" t="s">
        <v>5648</v>
      </c>
      <c r="I2551" s="6" t="n">
        <v>0</v>
      </c>
      <c r="J2551" s="6"/>
      <c r="K2551" s="6" t="s">
        <v>5649</v>
      </c>
      <c r="L2551" s="7"/>
      <c r="M2551" s="7"/>
    </row>
    <row r="2552" customFormat="false" ht="23.85" hidden="false" customHeight="false" outlineLevel="0" collapsed="false">
      <c r="A2552" s="6" t="s">
        <v>3530</v>
      </c>
      <c r="B2552" s="6" t="s">
        <v>110</v>
      </c>
      <c r="C2552" s="6" t="s">
        <v>98</v>
      </c>
      <c r="D2552" s="6" t="s">
        <v>452</v>
      </c>
      <c r="E2552" s="6"/>
      <c r="F2552" s="6" t="s">
        <v>3538</v>
      </c>
      <c r="G2552" s="6" t="s">
        <v>3660</v>
      </c>
      <c r="H2552" s="6" t="s">
        <v>5650</v>
      </c>
      <c r="I2552" s="6" t="n">
        <v>33</v>
      </c>
      <c r="J2552" s="6" t="s">
        <v>83</v>
      </c>
      <c r="K2552" s="6" t="s">
        <v>5651</v>
      </c>
      <c r="L2552" s="7"/>
      <c r="M2552" s="7"/>
    </row>
    <row r="2553" customFormat="false" ht="23.85" hidden="false" customHeight="false" outlineLevel="0" collapsed="false">
      <c r="A2553" s="6" t="s">
        <v>3530</v>
      </c>
      <c r="B2553" s="6" t="s">
        <v>110</v>
      </c>
      <c r="C2553" s="6" t="s">
        <v>98</v>
      </c>
      <c r="D2553" s="6" t="s">
        <v>452</v>
      </c>
      <c r="E2553" s="6"/>
      <c r="F2553" s="6" t="s">
        <v>3538</v>
      </c>
      <c r="G2553" s="6" t="s">
        <v>3687</v>
      </c>
      <c r="H2553" s="6" t="s">
        <v>5652</v>
      </c>
      <c r="I2553" s="6" t="n">
        <v>0</v>
      </c>
      <c r="J2553" s="6"/>
      <c r="K2553" s="6" t="s">
        <v>5653</v>
      </c>
      <c r="L2553" s="7"/>
      <c r="M2553" s="7"/>
    </row>
  </sheetData>
  <autoFilter ref="A1:M2553"/>
  <conditionalFormatting sqref="J2:J2553">
    <cfRule type="cellIs" priority="2" operator="equal" aboveAverage="0" equalAverage="0" bottom="0" percent="0" rank="0" text="" dxfId="9">
      <formula>"Yes"</formula>
    </cfRule>
  </conditionalFormatting>
  <dataValidations count="1">
    <dataValidation allowBlank="true" errorStyle="stop" operator="between" showDropDown="false" showErrorMessage="false" showInputMessage="false" sqref="L2:L2553" type="list">
      <formula1>"Keep,Revise,Remove"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 min="3" style="0" width="8"/>
    <col collapsed="false" customWidth="true" hidden="false" outlineLevel="0" max="4" min="4" style="0" width="7"/>
    <col collapsed="false" customWidth="true" hidden="false" outlineLevel="0" max="5" min="5" style="0" width="8"/>
    <col collapsed="false" customWidth="true" hidden="false" outlineLevel="0" max="6" min="6" style="0" width="26"/>
    <col collapsed="false" customWidth="true" hidden="false" outlineLevel="0" max="7" min="7" style="0" width="12"/>
    <col collapsed="false" customWidth="true" hidden="false" outlineLevel="0" max="8" min="8" style="0" width="26"/>
    <col collapsed="false" customWidth="true" hidden="false" outlineLevel="0" max="9" min="9" style="0" width="22"/>
    <col collapsed="false" customWidth="true" hidden="false" outlineLevel="0" max="11" min="10" style="0" width="5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4"/>
    <col collapsed="false" customWidth="true" hidden="false" outlineLevel="0" max="16" min="16" style="0" width="11"/>
    <col collapsed="false" customWidth="true" hidden="false" outlineLevel="0" max="17" min="17" style="0" width="50"/>
  </cols>
  <sheetData>
    <row r="1" customFormat="false" ht="46.25" hidden="false" customHeight="false" outlineLevel="0" collapsed="false">
      <c r="A1" s="3" t="s">
        <v>40</v>
      </c>
      <c r="B1" s="3" t="s">
        <v>5654</v>
      </c>
      <c r="C1" s="3" t="s">
        <v>5655</v>
      </c>
      <c r="D1" s="3" t="s">
        <v>5656</v>
      </c>
      <c r="E1" s="3" t="s">
        <v>5657</v>
      </c>
      <c r="F1" s="3" t="s">
        <v>5658</v>
      </c>
      <c r="G1" s="3" t="s">
        <v>5659</v>
      </c>
      <c r="H1" s="3" t="s">
        <v>5660</v>
      </c>
      <c r="I1" s="4" t="s">
        <v>5661</v>
      </c>
      <c r="J1" s="4" t="s">
        <v>5662</v>
      </c>
      <c r="K1" s="4" t="s">
        <v>5663</v>
      </c>
      <c r="L1" s="5" t="s">
        <v>5664</v>
      </c>
      <c r="M1" s="5" t="s">
        <v>5665</v>
      </c>
      <c r="N1" s="5" t="s">
        <v>5666</v>
      </c>
      <c r="O1" s="5" t="s">
        <v>5667</v>
      </c>
      <c r="P1" s="5" t="s">
        <v>71</v>
      </c>
      <c r="Q1" s="5" t="s">
        <v>5668</v>
      </c>
    </row>
    <row r="2" customFormat="false" ht="180.55" hidden="false" customHeight="false" outlineLevel="0" collapsed="false">
      <c r="A2" s="6" t="s">
        <v>637</v>
      </c>
      <c r="B2" s="6" t="s">
        <v>83</v>
      </c>
      <c r="C2" s="6" t="n">
        <v>2.4</v>
      </c>
      <c r="D2" s="6" t="s">
        <v>5669</v>
      </c>
      <c r="E2" s="6" t="n">
        <v>8</v>
      </c>
      <c r="F2" s="6" t="s">
        <v>5670</v>
      </c>
      <c r="G2" s="6" t="s">
        <v>5671</v>
      </c>
      <c r="H2" s="6"/>
      <c r="I2" s="6" t="s">
        <v>5672</v>
      </c>
      <c r="J2" s="6" t="s">
        <v>5673</v>
      </c>
      <c r="K2" s="6" t="s">
        <v>5674</v>
      </c>
      <c r="L2" s="7"/>
      <c r="M2" s="7"/>
      <c r="N2" s="7"/>
      <c r="O2" s="7"/>
      <c r="P2" s="7"/>
      <c r="Q2" s="7"/>
    </row>
    <row r="3" customFormat="false" ht="225.35" hidden="false" customHeight="false" outlineLevel="0" collapsed="false">
      <c r="A3" s="6" t="s">
        <v>601</v>
      </c>
      <c r="B3" s="6" t="s">
        <v>83</v>
      </c>
      <c r="C3" s="6" t="n">
        <v>3.8</v>
      </c>
      <c r="D3" s="6" t="s">
        <v>5669</v>
      </c>
      <c r="E3" s="6" t="n">
        <v>10</v>
      </c>
      <c r="F3" s="6" t="s">
        <v>5675</v>
      </c>
      <c r="G3" s="6" t="s">
        <v>3130</v>
      </c>
      <c r="H3" s="6" t="s">
        <v>5676</v>
      </c>
      <c r="I3" s="6" t="s">
        <v>5677</v>
      </c>
      <c r="J3" s="6" t="s">
        <v>5678</v>
      </c>
      <c r="K3" s="6" t="s">
        <v>5679</v>
      </c>
      <c r="L3" s="7"/>
      <c r="M3" s="7"/>
      <c r="N3" s="7"/>
      <c r="O3" s="7"/>
      <c r="P3" s="7"/>
      <c r="Q3" s="7"/>
    </row>
    <row r="4" customFormat="false" ht="169.4" hidden="false" customHeight="false" outlineLevel="0" collapsed="false">
      <c r="A4" s="6" t="s">
        <v>134</v>
      </c>
      <c r="B4" s="6" t="s">
        <v>83</v>
      </c>
      <c r="C4" s="6" t="n">
        <v>2.1</v>
      </c>
      <c r="D4" s="6" t="s">
        <v>5669</v>
      </c>
      <c r="E4" s="6" t="n">
        <v>8</v>
      </c>
      <c r="F4" s="6" t="s">
        <v>5680</v>
      </c>
      <c r="G4" s="6" t="s">
        <v>5681</v>
      </c>
      <c r="H4" s="6" t="s">
        <v>3411</v>
      </c>
      <c r="I4" s="6" t="s">
        <v>5682</v>
      </c>
      <c r="J4" s="6" t="s">
        <v>5683</v>
      </c>
      <c r="K4" s="6" t="s">
        <v>5684</v>
      </c>
      <c r="L4" s="7"/>
      <c r="M4" s="7"/>
      <c r="N4" s="7"/>
      <c r="O4" s="7"/>
      <c r="P4" s="7"/>
      <c r="Q4" s="7"/>
    </row>
    <row r="5" customFormat="false" ht="68.65" hidden="false" customHeight="false" outlineLevel="0" collapsed="false">
      <c r="A5" s="6" t="s">
        <v>900</v>
      </c>
      <c r="B5" s="6" t="s">
        <v>83</v>
      </c>
      <c r="C5" s="6" t="n">
        <v>2.6</v>
      </c>
      <c r="D5" s="6" t="s">
        <v>5669</v>
      </c>
      <c r="E5" s="6" t="n">
        <v>3</v>
      </c>
      <c r="F5" s="6" t="s">
        <v>5685</v>
      </c>
      <c r="G5" s="6" t="s">
        <v>5686</v>
      </c>
      <c r="H5" s="6" t="s">
        <v>896</v>
      </c>
      <c r="I5" s="6" t="s">
        <v>5687</v>
      </c>
      <c r="J5" s="6" t="s">
        <v>5688</v>
      </c>
      <c r="K5" s="6" t="s">
        <v>5689</v>
      </c>
      <c r="L5" s="7"/>
      <c r="M5" s="7"/>
      <c r="N5" s="7"/>
      <c r="O5" s="7"/>
      <c r="P5" s="7"/>
      <c r="Q5" s="7"/>
    </row>
    <row r="6" customFormat="false" ht="68.65" hidden="false" customHeight="false" outlineLevel="0" collapsed="false">
      <c r="A6" s="6" t="s">
        <v>1136</v>
      </c>
      <c r="B6" s="6" t="s">
        <v>83</v>
      </c>
      <c r="C6" s="6" t="n">
        <v>2.3</v>
      </c>
      <c r="D6" s="6" t="s">
        <v>5669</v>
      </c>
      <c r="E6" s="6" t="n">
        <v>3</v>
      </c>
      <c r="F6" s="6" t="s">
        <v>5690</v>
      </c>
      <c r="G6" s="6" t="s">
        <v>96</v>
      </c>
      <c r="H6" s="6"/>
      <c r="I6" s="6" t="s">
        <v>5691</v>
      </c>
      <c r="J6" s="6" t="s">
        <v>5692</v>
      </c>
      <c r="K6" s="6" t="s">
        <v>5693</v>
      </c>
      <c r="L6" s="7"/>
      <c r="M6" s="7"/>
      <c r="N6" s="7"/>
      <c r="O6" s="7"/>
      <c r="P6" s="7"/>
      <c r="Q6" s="7"/>
    </row>
    <row r="7" customFormat="false" ht="124.6" hidden="false" customHeight="false" outlineLevel="0" collapsed="false">
      <c r="A7" s="6" t="s">
        <v>910</v>
      </c>
      <c r="B7" s="6" t="s">
        <v>83</v>
      </c>
      <c r="C7" s="6" t="n">
        <v>4.4</v>
      </c>
      <c r="D7" s="6" t="s">
        <v>5669</v>
      </c>
      <c r="E7" s="6" t="n">
        <v>5</v>
      </c>
      <c r="F7" s="6" t="s">
        <v>5694</v>
      </c>
      <c r="G7" s="6" t="s">
        <v>5695</v>
      </c>
      <c r="H7" s="6"/>
      <c r="I7" s="6" t="s">
        <v>5696</v>
      </c>
      <c r="J7" s="6" t="s">
        <v>5697</v>
      </c>
      <c r="K7" s="6" t="s">
        <v>5698</v>
      </c>
      <c r="L7" s="7"/>
      <c r="M7" s="7"/>
      <c r="N7" s="7"/>
      <c r="O7" s="7"/>
      <c r="P7" s="7"/>
      <c r="Q7" s="7"/>
    </row>
    <row r="8" customFormat="false" ht="124.6" hidden="false" customHeight="false" outlineLevel="0" collapsed="false">
      <c r="A8" s="6" t="s">
        <v>921</v>
      </c>
      <c r="B8" s="6" t="s">
        <v>83</v>
      </c>
      <c r="C8" s="6" t="n">
        <v>3.8</v>
      </c>
      <c r="D8" s="6" t="s">
        <v>5669</v>
      </c>
      <c r="E8" s="6" t="n">
        <v>5</v>
      </c>
      <c r="F8" s="6" t="s">
        <v>5699</v>
      </c>
      <c r="G8" s="6" t="s">
        <v>5700</v>
      </c>
      <c r="H8" s="6"/>
      <c r="I8" s="6" t="s">
        <v>5701</v>
      </c>
      <c r="J8" s="6" t="s">
        <v>5702</v>
      </c>
      <c r="K8" s="6" t="s">
        <v>5703</v>
      </c>
      <c r="L8" s="7"/>
      <c r="M8" s="7"/>
      <c r="N8" s="7"/>
      <c r="O8" s="7"/>
      <c r="P8" s="7"/>
      <c r="Q8" s="7"/>
    </row>
    <row r="9" customFormat="false" ht="46.25" hidden="false" customHeight="false" outlineLevel="0" collapsed="false">
      <c r="A9" s="6" t="s">
        <v>857</v>
      </c>
      <c r="B9" s="6" t="s">
        <v>83</v>
      </c>
      <c r="C9" s="6" t="n">
        <v>4.2</v>
      </c>
      <c r="D9" s="6" t="s">
        <v>5669</v>
      </c>
      <c r="E9" s="6" t="n">
        <v>2</v>
      </c>
      <c r="F9" s="6" t="s">
        <v>5704</v>
      </c>
      <c r="G9" s="6" t="s">
        <v>110</v>
      </c>
      <c r="H9" s="6"/>
      <c r="I9" s="6" t="s">
        <v>5705</v>
      </c>
      <c r="J9" s="6" t="s">
        <v>5706</v>
      </c>
      <c r="K9" s="6" t="s">
        <v>5707</v>
      </c>
      <c r="L9" s="7"/>
      <c r="M9" s="7"/>
      <c r="N9" s="7"/>
      <c r="O9" s="7"/>
      <c r="P9" s="7"/>
      <c r="Q9" s="7"/>
    </row>
    <row r="10" customFormat="false" ht="68.65" hidden="false" customHeight="false" outlineLevel="0" collapsed="false">
      <c r="A10" s="6" t="s">
        <v>1179</v>
      </c>
      <c r="B10" s="6" t="s">
        <v>83</v>
      </c>
      <c r="C10" s="6" t="n">
        <v>2.9</v>
      </c>
      <c r="D10" s="6" t="s">
        <v>5669</v>
      </c>
      <c r="E10" s="6" t="n">
        <v>3</v>
      </c>
      <c r="F10" s="6" t="s">
        <v>5708</v>
      </c>
      <c r="G10" s="6" t="s">
        <v>110</v>
      </c>
      <c r="H10" s="6"/>
      <c r="I10" s="6" t="s">
        <v>5709</v>
      </c>
      <c r="J10" s="6" t="s">
        <v>5710</v>
      </c>
      <c r="K10" s="6" t="s">
        <v>5711</v>
      </c>
      <c r="L10" s="7"/>
      <c r="M10" s="7"/>
      <c r="N10" s="7"/>
      <c r="O10" s="7"/>
      <c r="P10" s="7"/>
      <c r="Q10" s="7"/>
    </row>
    <row r="11" customFormat="false" ht="79.85" hidden="false" customHeight="false" outlineLevel="0" collapsed="false">
      <c r="A11" s="6" t="s">
        <v>2515</v>
      </c>
      <c r="B11" s="6" t="s">
        <v>83</v>
      </c>
      <c r="C11" s="6" t="n">
        <v>1.8</v>
      </c>
      <c r="D11" s="6" t="s">
        <v>5669</v>
      </c>
      <c r="E11" s="6" t="n">
        <v>3</v>
      </c>
      <c r="F11" s="6" t="s">
        <v>5712</v>
      </c>
      <c r="G11" s="6" t="s">
        <v>96</v>
      </c>
      <c r="H11" s="6"/>
      <c r="I11" s="6" t="s">
        <v>5713</v>
      </c>
      <c r="J11" s="6" t="s">
        <v>5714</v>
      </c>
      <c r="K11" s="6" t="s">
        <v>5715</v>
      </c>
      <c r="L11" s="7"/>
      <c r="M11" s="7"/>
      <c r="N11" s="7"/>
      <c r="O11" s="7"/>
      <c r="P11" s="7"/>
      <c r="Q11" s="7"/>
    </row>
    <row r="12" customFormat="false" ht="23.85" hidden="false" customHeight="false" outlineLevel="0" collapsed="false">
      <c r="A12" s="6" t="s">
        <v>1300</v>
      </c>
      <c r="B12" s="6" t="s">
        <v>83</v>
      </c>
      <c r="C12" s="6" t="n">
        <v>1873.2</v>
      </c>
      <c r="D12" s="6" t="s">
        <v>5716</v>
      </c>
      <c r="E12" s="6" t="n">
        <v>1</v>
      </c>
      <c r="F12" s="6" t="s">
        <v>1295</v>
      </c>
      <c r="G12" s="6" t="s">
        <v>96</v>
      </c>
      <c r="H12" s="6"/>
      <c r="I12" s="6" t="s">
        <v>1301</v>
      </c>
      <c r="J12" s="6" t="s">
        <v>1302</v>
      </c>
      <c r="K12" s="6" t="s">
        <v>1303</v>
      </c>
      <c r="L12" s="7"/>
      <c r="M12" s="7"/>
      <c r="N12" s="7"/>
      <c r="O12" s="7"/>
      <c r="P12" s="7"/>
      <c r="Q12" s="7"/>
    </row>
    <row r="13" customFormat="false" ht="46.25" hidden="false" customHeight="false" outlineLevel="0" collapsed="false">
      <c r="A13" s="6" t="s">
        <v>794</v>
      </c>
      <c r="B13" s="6" t="s">
        <v>83</v>
      </c>
      <c r="C13" s="6" t="n">
        <v>1713.4</v>
      </c>
      <c r="D13" s="6" t="s">
        <v>5716</v>
      </c>
      <c r="E13" s="6" t="n">
        <v>2</v>
      </c>
      <c r="F13" s="6" t="s">
        <v>5717</v>
      </c>
      <c r="G13" s="6" t="s">
        <v>96</v>
      </c>
      <c r="H13" s="6"/>
      <c r="I13" s="6" t="s">
        <v>5718</v>
      </c>
      <c r="J13" s="6" t="s">
        <v>5719</v>
      </c>
      <c r="K13" s="6" t="s">
        <v>5720</v>
      </c>
      <c r="L13" s="7"/>
      <c r="M13" s="7"/>
      <c r="N13" s="7"/>
      <c r="O13" s="7"/>
      <c r="P13" s="7"/>
      <c r="Q13" s="7"/>
    </row>
    <row r="14" customFormat="false" ht="46.25" hidden="false" customHeight="false" outlineLevel="0" collapsed="false">
      <c r="A14" s="6" t="s">
        <v>99</v>
      </c>
      <c r="B14" s="6" t="s">
        <v>83</v>
      </c>
      <c r="C14" s="6" t="n">
        <v>2262.3</v>
      </c>
      <c r="D14" s="6" t="s">
        <v>5716</v>
      </c>
      <c r="E14" s="6" t="n">
        <v>2</v>
      </c>
      <c r="F14" s="6" t="s">
        <v>5721</v>
      </c>
      <c r="G14" s="6" t="s">
        <v>96</v>
      </c>
      <c r="H14" s="6"/>
      <c r="I14" s="6" t="s">
        <v>100</v>
      </c>
      <c r="J14" s="6" t="s">
        <v>5722</v>
      </c>
      <c r="K14" s="6" t="s">
        <v>5723</v>
      </c>
      <c r="L14" s="7"/>
      <c r="M14" s="7"/>
      <c r="N14" s="7"/>
      <c r="O14" s="7"/>
      <c r="P14" s="7"/>
      <c r="Q14" s="7"/>
    </row>
    <row r="15" customFormat="false" ht="79.85" hidden="false" customHeight="false" outlineLevel="0" collapsed="false">
      <c r="A15" s="6" t="s">
        <v>783</v>
      </c>
      <c r="B15" s="6" t="s">
        <v>83</v>
      </c>
      <c r="C15" s="6" t="n">
        <v>2.8</v>
      </c>
      <c r="D15" s="6" t="s">
        <v>5669</v>
      </c>
      <c r="E15" s="6" t="n">
        <v>3</v>
      </c>
      <c r="F15" s="6" t="s">
        <v>5724</v>
      </c>
      <c r="G15" s="6" t="s">
        <v>96</v>
      </c>
      <c r="H15" s="6"/>
      <c r="I15" s="6" t="s">
        <v>5725</v>
      </c>
      <c r="J15" s="6" t="s">
        <v>5726</v>
      </c>
      <c r="K15" s="6" t="s">
        <v>5727</v>
      </c>
      <c r="L15" s="7"/>
      <c r="M15" s="7"/>
      <c r="N15" s="7"/>
      <c r="O15" s="7"/>
      <c r="P15" s="7"/>
      <c r="Q15" s="7"/>
    </row>
    <row r="16" customFormat="false" ht="79.85" hidden="false" customHeight="false" outlineLevel="0" collapsed="false">
      <c r="A16" s="6" t="s">
        <v>1286</v>
      </c>
      <c r="B16" s="6" t="s">
        <v>83</v>
      </c>
      <c r="C16" s="6" t="n">
        <v>2.4</v>
      </c>
      <c r="D16" s="6" t="s">
        <v>5669</v>
      </c>
      <c r="E16" s="6" t="n">
        <v>3</v>
      </c>
      <c r="F16" s="6" t="s">
        <v>5728</v>
      </c>
      <c r="G16" s="6" t="s">
        <v>5729</v>
      </c>
      <c r="H16" s="6"/>
      <c r="I16" s="6" t="s">
        <v>5730</v>
      </c>
      <c r="J16" s="6" t="s">
        <v>5731</v>
      </c>
      <c r="K16" s="6" t="s">
        <v>5732</v>
      </c>
      <c r="L16" s="7"/>
      <c r="M16" s="7"/>
      <c r="N16" s="7"/>
      <c r="O16" s="7"/>
      <c r="P16" s="7"/>
      <c r="Q16" s="7"/>
    </row>
    <row r="17" customFormat="false" ht="113.4" hidden="false" customHeight="false" outlineLevel="0" collapsed="false">
      <c r="A17" s="6" t="s">
        <v>481</v>
      </c>
      <c r="B17" s="6" t="s">
        <v>83</v>
      </c>
      <c r="C17" s="6" t="n">
        <v>4.9</v>
      </c>
      <c r="D17" s="6" t="s">
        <v>5669</v>
      </c>
      <c r="E17" s="6" t="n">
        <v>4</v>
      </c>
      <c r="F17" s="6" t="s">
        <v>5733</v>
      </c>
      <c r="G17" s="6" t="s">
        <v>5734</v>
      </c>
      <c r="H17" s="6"/>
      <c r="I17" s="6" t="s">
        <v>5735</v>
      </c>
      <c r="J17" s="6" t="s">
        <v>5736</v>
      </c>
      <c r="K17" s="6" t="s">
        <v>5737</v>
      </c>
      <c r="L17" s="7"/>
      <c r="M17" s="7"/>
      <c r="N17" s="7"/>
      <c r="O17" s="7"/>
      <c r="P17" s="7"/>
      <c r="Q17" s="7"/>
    </row>
    <row r="18" customFormat="false" ht="68.65" hidden="false" customHeight="false" outlineLevel="0" collapsed="false">
      <c r="A18" s="6" t="s">
        <v>461</v>
      </c>
      <c r="B18" s="6" t="s">
        <v>83</v>
      </c>
      <c r="C18" s="6" t="n">
        <v>4.9</v>
      </c>
      <c r="D18" s="6" t="s">
        <v>5669</v>
      </c>
      <c r="E18" s="6" t="n">
        <v>3</v>
      </c>
      <c r="F18" s="6" t="s">
        <v>5738</v>
      </c>
      <c r="G18" s="6" t="s">
        <v>5739</v>
      </c>
      <c r="H18" s="6"/>
      <c r="I18" s="6" t="s">
        <v>5740</v>
      </c>
      <c r="J18" s="6" t="s">
        <v>5741</v>
      </c>
      <c r="K18" s="6" t="s">
        <v>5742</v>
      </c>
      <c r="L18" s="7"/>
      <c r="M18" s="7"/>
      <c r="N18" s="7"/>
      <c r="O18" s="7"/>
      <c r="P18" s="7"/>
      <c r="Q18" s="7"/>
    </row>
    <row r="19" customFormat="false" ht="124.6" hidden="false" customHeight="false" outlineLevel="0" collapsed="false">
      <c r="A19" s="6" t="s">
        <v>494</v>
      </c>
      <c r="B19" s="6" t="s">
        <v>83</v>
      </c>
      <c r="C19" s="6" t="n">
        <v>4.6</v>
      </c>
      <c r="D19" s="6" t="s">
        <v>5669</v>
      </c>
      <c r="E19" s="6" t="n">
        <v>5</v>
      </c>
      <c r="F19" s="6" t="s">
        <v>5743</v>
      </c>
      <c r="G19" s="6" t="s">
        <v>5744</v>
      </c>
      <c r="H19" s="6"/>
      <c r="I19" s="6" t="s">
        <v>5745</v>
      </c>
      <c r="J19" s="6" t="s">
        <v>5746</v>
      </c>
      <c r="K19" s="6" t="s">
        <v>5747</v>
      </c>
      <c r="L19" s="7"/>
      <c r="M19" s="7"/>
      <c r="N19" s="7"/>
      <c r="O19" s="7"/>
      <c r="P19" s="7"/>
      <c r="Q19" s="7"/>
    </row>
    <row r="20" customFormat="false" ht="68.65" hidden="false" customHeight="false" outlineLevel="0" collapsed="false">
      <c r="A20" s="6" t="s">
        <v>442</v>
      </c>
      <c r="B20" s="6" t="s">
        <v>83</v>
      </c>
      <c r="C20" s="6" t="n">
        <v>4.6</v>
      </c>
      <c r="D20" s="6" t="s">
        <v>5669</v>
      </c>
      <c r="E20" s="6" t="n">
        <v>2</v>
      </c>
      <c r="F20" s="6" t="s">
        <v>5748</v>
      </c>
      <c r="G20" s="6" t="s">
        <v>5729</v>
      </c>
      <c r="H20" s="6"/>
      <c r="I20" s="6" t="s">
        <v>5749</v>
      </c>
      <c r="J20" s="6" t="s">
        <v>5750</v>
      </c>
      <c r="K20" s="6" t="s">
        <v>5751</v>
      </c>
      <c r="L20" s="7"/>
      <c r="M20" s="7"/>
      <c r="N20" s="7"/>
      <c r="O20" s="7"/>
      <c r="P20" s="7"/>
      <c r="Q20" s="7"/>
    </row>
    <row r="21" customFormat="false" ht="57.45" hidden="false" customHeight="false" outlineLevel="0" collapsed="false">
      <c r="A21" s="6" t="s">
        <v>1125</v>
      </c>
      <c r="B21" s="6" t="s">
        <v>83</v>
      </c>
      <c r="C21" s="6" t="n">
        <v>5.2</v>
      </c>
      <c r="D21" s="6" t="s">
        <v>5669</v>
      </c>
      <c r="E21" s="6" t="n">
        <v>2</v>
      </c>
      <c r="F21" s="6" t="s">
        <v>5752</v>
      </c>
      <c r="G21" s="6" t="s">
        <v>96</v>
      </c>
      <c r="H21" s="6"/>
      <c r="I21" s="6" t="s">
        <v>5753</v>
      </c>
      <c r="J21" s="6" t="s">
        <v>5754</v>
      </c>
      <c r="K21" s="6" t="s">
        <v>5755</v>
      </c>
      <c r="L21" s="7"/>
      <c r="M21" s="7"/>
      <c r="N21" s="7"/>
      <c r="O21" s="7"/>
      <c r="P21" s="7"/>
      <c r="Q21" s="7"/>
    </row>
    <row r="22" customFormat="false" ht="113.4" hidden="false" customHeight="false" outlineLevel="0" collapsed="false">
      <c r="A22" s="6" t="s">
        <v>836</v>
      </c>
      <c r="B22" s="6" t="s">
        <v>83</v>
      </c>
      <c r="C22" s="6" t="n">
        <v>5.7</v>
      </c>
      <c r="D22" s="6" t="s">
        <v>5669</v>
      </c>
      <c r="E22" s="6" t="n">
        <v>5</v>
      </c>
      <c r="F22" s="6" t="s">
        <v>5756</v>
      </c>
      <c r="G22" s="6" t="s">
        <v>5757</v>
      </c>
      <c r="H22" s="6"/>
      <c r="I22" s="6" t="s">
        <v>5758</v>
      </c>
      <c r="J22" s="6" t="s">
        <v>5759</v>
      </c>
      <c r="K22" s="6" t="s">
        <v>5760</v>
      </c>
      <c r="L22" s="7"/>
      <c r="M22" s="7"/>
      <c r="N22" s="7"/>
      <c r="O22" s="7"/>
      <c r="P22" s="7"/>
      <c r="Q22" s="7"/>
    </row>
    <row r="23" customFormat="false" ht="68.65" hidden="false" customHeight="false" outlineLevel="0" collapsed="false">
      <c r="A23" s="6" t="s">
        <v>1242</v>
      </c>
      <c r="B23" s="6" t="s">
        <v>83</v>
      </c>
      <c r="C23" s="6" t="n">
        <v>4.1</v>
      </c>
      <c r="D23" s="6" t="s">
        <v>5669</v>
      </c>
      <c r="E23" s="6" t="n">
        <v>3</v>
      </c>
      <c r="F23" s="6" t="s">
        <v>5761</v>
      </c>
      <c r="G23" s="6" t="s">
        <v>5762</v>
      </c>
      <c r="H23" s="6"/>
      <c r="I23" s="6" t="s">
        <v>5763</v>
      </c>
      <c r="J23" s="6" t="s">
        <v>5764</v>
      </c>
      <c r="K23" s="6" t="s">
        <v>5765</v>
      </c>
      <c r="L23" s="7"/>
      <c r="M23" s="7"/>
      <c r="N23" s="7"/>
      <c r="O23" s="7"/>
      <c r="P23" s="7"/>
      <c r="Q23" s="7"/>
    </row>
    <row r="24" customFormat="false" ht="46.25" hidden="false" customHeight="false" outlineLevel="0" collapsed="false">
      <c r="A24" s="6" t="s">
        <v>112</v>
      </c>
      <c r="B24" s="6" t="s">
        <v>83</v>
      </c>
      <c r="C24" s="6" t="n">
        <v>2</v>
      </c>
      <c r="D24" s="6" t="s">
        <v>5669</v>
      </c>
      <c r="E24" s="6" t="n">
        <v>2</v>
      </c>
      <c r="F24" s="6" t="s">
        <v>5766</v>
      </c>
      <c r="G24" s="6" t="s">
        <v>110</v>
      </c>
      <c r="H24" s="6"/>
      <c r="I24" s="6" t="s">
        <v>5767</v>
      </c>
      <c r="J24" s="6" t="s">
        <v>5768</v>
      </c>
      <c r="K24" s="6" t="s">
        <v>5769</v>
      </c>
      <c r="L24" s="7"/>
      <c r="M24" s="7"/>
      <c r="N24" s="7"/>
      <c r="O24" s="7"/>
      <c r="P24" s="7"/>
      <c r="Q24" s="7"/>
    </row>
    <row r="25" customFormat="false" ht="169.4" hidden="false" customHeight="false" outlineLevel="0" collapsed="false">
      <c r="A25" s="6" t="s">
        <v>977</v>
      </c>
      <c r="B25" s="6" t="s">
        <v>83</v>
      </c>
      <c r="C25" s="6" t="n">
        <v>848.8</v>
      </c>
      <c r="D25" s="6" t="s">
        <v>5716</v>
      </c>
      <c r="E25" s="6" t="n">
        <v>7</v>
      </c>
      <c r="F25" s="6" t="s">
        <v>5770</v>
      </c>
      <c r="G25" s="6" t="s">
        <v>5771</v>
      </c>
      <c r="H25" s="6"/>
      <c r="I25" s="6" t="s">
        <v>5772</v>
      </c>
      <c r="J25" s="6" t="s">
        <v>5773</v>
      </c>
      <c r="K25" s="6" t="s">
        <v>5774</v>
      </c>
      <c r="L25" s="7"/>
      <c r="M25" s="7"/>
      <c r="N25" s="7"/>
      <c r="O25" s="7"/>
      <c r="P25" s="7"/>
      <c r="Q25" s="7"/>
    </row>
    <row r="26" customFormat="false" ht="124.6" hidden="false" customHeight="false" outlineLevel="0" collapsed="false">
      <c r="A26" s="6" t="s">
        <v>727</v>
      </c>
      <c r="B26" s="6" t="s">
        <v>83</v>
      </c>
      <c r="C26" s="6" t="n">
        <v>2.2</v>
      </c>
      <c r="D26" s="6" t="s">
        <v>5669</v>
      </c>
      <c r="E26" s="6" t="n">
        <v>5</v>
      </c>
      <c r="F26" s="6" t="s">
        <v>5775</v>
      </c>
      <c r="G26" s="6" t="s">
        <v>3140</v>
      </c>
      <c r="H26" s="6"/>
      <c r="I26" s="6" t="s">
        <v>5776</v>
      </c>
      <c r="J26" s="6" t="s">
        <v>5777</v>
      </c>
      <c r="K26" s="6" t="s">
        <v>5778</v>
      </c>
      <c r="L26" s="7"/>
      <c r="M26" s="7"/>
      <c r="N26" s="7"/>
      <c r="O26" s="7"/>
      <c r="P26" s="7"/>
      <c r="Q26" s="7"/>
    </row>
    <row r="27" customFormat="false" ht="113.4" hidden="false" customHeight="false" outlineLevel="0" collapsed="false">
      <c r="A27" s="6" t="s">
        <v>693</v>
      </c>
      <c r="B27" s="6" t="s">
        <v>83</v>
      </c>
      <c r="C27" s="6" t="n">
        <v>4.7</v>
      </c>
      <c r="D27" s="6" t="s">
        <v>5669</v>
      </c>
      <c r="E27" s="6" t="n">
        <v>5</v>
      </c>
      <c r="F27" s="6" t="s">
        <v>5779</v>
      </c>
      <c r="G27" s="6" t="s">
        <v>530</v>
      </c>
      <c r="H27" s="6" t="s">
        <v>961</v>
      </c>
      <c r="I27" s="6" t="s">
        <v>5780</v>
      </c>
      <c r="J27" s="6" t="s">
        <v>5781</v>
      </c>
      <c r="K27" s="6" t="s">
        <v>5782</v>
      </c>
      <c r="L27" s="7"/>
      <c r="M27" s="7"/>
      <c r="N27" s="7"/>
      <c r="O27" s="7"/>
      <c r="P27" s="7"/>
      <c r="Q27" s="7"/>
    </row>
    <row r="28" customFormat="false" ht="68.65" hidden="false" customHeight="false" outlineLevel="0" collapsed="false">
      <c r="A28" s="6" t="s">
        <v>683</v>
      </c>
      <c r="B28" s="6" t="s">
        <v>83</v>
      </c>
      <c r="C28" s="6" t="n">
        <v>2.4</v>
      </c>
      <c r="D28" s="6" t="s">
        <v>5669</v>
      </c>
      <c r="E28" s="6" t="n">
        <v>3</v>
      </c>
      <c r="F28" s="6" t="s">
        <v>5783</v>
      </c>
      <c r="G28" s="6" t="s">
        <v>5784</v>
      </c>
      <c r="H28" s="6"/>
      <c r="I28" s="6" t="s">
        <v>5785</v>
      </c>
      <c r="J28" s="6" t="s">
        <v>5786</v>
      </c>
      <c r="K28" s="6" t="s">
        <v>5787</v>
      </c>
      <c r="L28" s="7"/>
      <c r="M28" s="7"/>
      <c r="N28" s="7"/>
      <c r="O28" s="7"/>
      <c r="P28" s="7"/>
      <c r="Q28" s="7"/>
    </row>
    <row r="29" customFormat="false" ht="124.6" hidden="false" customHeight="false" outlineLevel="0" collapsed="false">
      <c r="A29" s="6" t="s">
        <v>512</v>
      </c>
      <c r="B29" s="6" t="s">
        <v>83</v>
      </c>
      <c r="C29" s="6" t="n">
        <v>4.4</v>
      </c>
      <c r="D29" s="6" t="s">
        <v>5669</v>
      </c>
      <c r="E29" s="6" t="n">
        <v>5</v>
      </c>
      <c r="F29" s="6" t="s">
        <v>5788</v>
      </c>
      <c r="G29" s="6" t="s">
        <v>5789</v>
      </c>
      <c r="H29" s="6"/>
      <c r="I29" s="6" t="s">
        <v>5790</v>
      </c>
      <c r="J29" s="6" t="s">
        <v>5791</v>
      </c>
      <c r="K29" s="6" t="s">
        <v>5792</v>
      </c>
      <c r="L29" s="7"/>
      <c r="M29" s="7"/>
      <c r="N29" s="7"/>
      <c r="O29" s="7"/>
      <c r="P29" s="7"/>
      <c r="Q29" s="7"/>
    </row>
    <row r="30" customFormat="false" ht="68.65" hidden="false" customHeight="false" outlineLevel="0" collapsed="false">
      <c r="A30" s="6" t="s">
        <v>386</v>
      </c>
      <c r="B30" s="6" t="s">
        <v>83</v>
      </c>
      <c r="C30" s="6" t="n">
        <v>2.8</v>
      </c>
      <c r="D30" s="6" t="s">
        <v>5669</v>
      </c>
      <c r="E30" s="6" t="n">
        <v>3</v>
      </c>
      <c r="F30" s="6" t="s">
        <v>5793</v>
      </c>
      <c r="G30" s="6" t="s">
        <v>96</v>
      </c>
      <c r="H30" s="6"/>
      <c r="I30" s="6" t="s">
        <v>5794</v>
      </c>
      <c r="J30" s="6" t="s">
        <v>5795</v>
      </c>
      <c r="K30" s="6" t="s">
        <v>5796</v>
      </c>
      <c r="L30" s="7"/>
      <c r="M30" s="7"/>
      <c r="N30" s="7"/>
      <c r="O30" s="7"/>
      <c r="P30" s="7"/>
      <c r="Q30" s="7"/>
    </row>
    <row r="31" customFormat="false" ht="102.2" hidden="false" customHeight="false" outlineLevel="0" collapsed="false">
      <c r="A31" s="6" t="s">
        <v>375</v>
      </c>
      <c r="B31" s="6" t="s">
        <v>83</v>
      </c>
      <c r="C31" s="6" t="n">
        <v>2.7</v>
      </c>
      <c r="D31" s="6" t="s">
        <v>5669</v>
      </c>
      <c r="E31" s="6" t="n">
        <v>4</v>
      </c>
      <c r="F31" s="6" t="s">
        <v>5797</v>
      </c>
      <c r="G31" s="6" t="s">
        <v>5798</v>
      </c>
      <c r="H31" s="6"/>
      <c r="I31" s="6" t="s">
        <v>5799</v>
      </c>
      <c r="J31" s="6" t="s">
        <v>5800</v>
      </c>
      <c r="K31" s="6" t="s">
        <v>5801</v>
      </c>
      <c r="L31" s="7"/>
      <c r="M31" s="7"/>
      <c r="N31" s="7"/>
      <c r="O31" s="7"/>
      <c r="P31" s="7"/>
      <c r="Q31" s="7"/>
    </row>
    <row r="32" customFormat="false" ht="91" hidden="false" customHeight="false" outlineLevel="0" collapsed="false">
      <c r="A32" s="6" t="s">
        <v>398</v>
      </c>
      <c r="B32" s="6" t="s">
        <v>83</v>
      </c>
      <c r="C32" s="6" t="n">
        <v>2.5</v>
      </c>
      <c r="D32" s="6" t="s">
        <v>5669</v>
      </c>
      <c r="E32" s="6" t="n">
        <v>4</v>
      </c>
      <c r="F32" s="6" t="s">
        <v>5802</v>
      </c>
      <c r="G32" s="6" t="s">
        <v>5803</v>
      </c>
      <c r="H32" s="6"/>
      <c r="I32" s="6" t="s">
        <v>5804</v>
      </c>
      <c r="J32" s="6" t="s">
        <v>5805</v>
      </c>
      <c r="K32" s="6" t="s">
        <v>5806</v>
      </c>
      <c r="L32" s="7"/>
      <c r="M32" s="7"/>
      <c r="N32" s="7"/>
      <c r="O32" s="7"/>
      <c r="P32" s="7"/>
      <c r="Q32" s="7"/>
    </row>
    <row r="33" customFormat="false" ht="46.25" hidden="false" customHeight="false" outlineLevel="0" collapsed="false">
      <c r="A33" s="6" t="s">
        <v>739</v>
      </c>
      <c r="B33" s="6" t="s">
        <v>83</v>
      </c>
      <c r="C33" s="6" t="n">
        <v>2</v>
      </c>
      <c r="D33" s="6" t="s">
        <v>5669</v>
      </c>
      <c r="E33" s="6" t="n">
        <v>2</v>
      </c>
      <c r="F33" s="6" t="s">
        <v>5807</v>
      </c>
      <c r="G33" s="6" t="s">
        <v>96</v>
      </c>
      <c r="H33" s="6"/>
      <c r="I33" s="6" t="s">
        <v>5808</v>
      </c>
      <c r="J33" s="6" t="s">
        <v>5809</v>
      </c>
      <c r="K33" s="6" t="s">
        <v>5810</v>
      </c>
      <c r="L33" s="7"/>
      <c r="M33" s="7"/>
      <c r="N33" s="7"/>
      <c r="O33" s="7"/>
      <c r="P33" s="7"/>
      <c r="Q33" s="7"/>
    </row>
    <row r="34" customFormat="false" ht="191.75" hidden="false" customHeight="false" outlineLevel="0" collapsed="false">
      <c r="A34" s="6" t="s">
        <v>612</v>
      </c>
      <c r="B34" s="6" t="s">
        <v>83</v>
      </c>
      <c r="C34" s="6" t="n">
        <v>4.4</v>
      </c>
      <c r="D34" s="6" t="s">
        <v>5669</v>
      </c>
      <c r="E34" s="6" t="n">
        <v>8</v>
      </c>
      <c r="F34" s="6" t="s">
        <v>5811</v>
      </c>
      <c r="G34" s="6" t="s">
        <v>5812</v>
      </c>
      <c r="H34" s="6"/>
      <c r="I34" s="6" t="s">
        <v>5813</v>
      </c>
      <c r="J34" s="6" t="s">
        <v>5814</v>
      </c>
      <c r="K34" s="6" t="s">
        <v>5815</v>
      </c>
      <c r="L34" s="7"/>
      <c r="M34" s="7"/>
      <c r="N34" s="7"/>
      <c r="O34" s="7"/>
      <c r="P34" s="7"/>
      <c r="Q34" s="7"/>
    </row>
    <row r="35" customFormat="false" ht="113.4" hidden="false" customHeight="false" outlineLevel="0" collapsed="false">
      <c r="A35" s="6" t="s">
        <v>540</v>
      </c>
      <c r="B35" s="6" t="s">
        <v>83</v>
      </c>
      <c r="C35" s="6" t="n">
        <v>4</v>
      </c>
      <c r="D35" s="6" t="s">
        <v>5669</v>
      </c>
      <c r="E35" s="6" t="n">
        <v>5</v>
      </c>
      <c r="F35" s="6" t="s">
        <v>5816</v>
      </c>
      <c r="G35" s="6" t="s">
        <v>5817</v>
      </c>
      <c r="H35" s="6"/>
      <c r="I35" s="6" t="s">
        <v>5818</v>
      </c>
      <c r="J35" s="6" t="s">
        <v>5819</v>
      </c>
      <c r="K35" s="6" t="s">
        <v>5820</v>
      </c>
      <c r="L35" s="7"/>
      <c r="M35" s="7"/>
      <c r="N35" s="7"/>
      <c r="O35" s="7"/>
      <c r="P35" s="7"/>
      <c r="Q35" s="7"/>
    </row>
    <row r="36" customFormat="false" ht="46.25" hidden="false" customHeight="false" outlineLevel="0" collapsed="false">
      <c r="A36" s="6" t="s">
        <v>623</v>
      </c>
      <c r="B36" s="6" t="s">
        <v>83</v>
      </c>
      <c r="C36" s="6" t="n">
        <v>4.9</v>
      </c>
      <c r="D36" s="6" t="s">
        <v>5669</v>
      </c>
      <c r="E36" s="6" t="n">
        <v>2</v>
      </c>
      <c r="F36" s="6" t="s">
        <v>5821</v>
      </c>
      <c r="G36" s="6" t="s">
        <v>5822</v>
      </c>
      <c r="H36" s="6"/>
      <c r="I36" s="6" t="s">
        <v>5823</v>
      </c>
      <c r="J36" s="6" t="s">
        <v>5824</v>
      </c>
      <c r="K36" s="6" t="s">
        <v>5825</v>
      </c>
      <c r="L36" s="7"/>
      <c r="M36" s="7"/>
      <c r="N36" s="7"/>
      <c r="O36" s="7"/>
      <c r="P36" s="7"/>
      <c r="Q36" s="7"/>
    </row>
    <row r="37" customFormat="false" ht="23.85" hidden="false" customHeight="false" outlineLevel="0" collapsed="false">
      <c r="A37" s="6" t="s">
        <v>411</v>
      </c>
      <c r="B37" s="6" t="s">
        <v>83</v>
      </c>
      <c r="C37" s="6" t="n">
        <v>2.3</v>
      </c>
      <c r="D37" s="6" t="s">
        <v>5669</v>
      </c>
      <c r="E37" s="6" t="n">
        <v>1</v>
      </c>
      <c r="F37" s="6" t="s">
        <v>407</v>
      </c>
      <c r="G37" s="6" t="s">
        <v>145</v>
      </c>
      <c r="H37" s="6"/>
      <c r="I37" s="6" t="s">
        <v>412</v>
      </c>
      <c r="J37" s="6" t="s">
        <v>413</v>
      </c>
      <c r="K37" s="6" t="s">
        <v>414</v>
      </c>
      <c r="L37" s="7"/>
      <c r="M37" s="7"/>
      <c r="N37" s="7"/>
      <c r="O37" s="7"/>
      <c r="P37" s="7"/>
      <c r="Q37" s="7"/>
    </row>
    <row r="38" customFormat="false" ht="147" hidden="false" customHeight="false" outlineLevel="0" collapsed="false">
      <c r="A38" s="6" t="s">
        <v>421</v>
      </c>
      <c r="B38" s="6" t="s">
        <v>83</v>
      </c>
      <c r="C38" s="6" t="n">
        <v>2</v>
      </c>
      <c r="D38" s="6" t="s">
        <v>5669</v>
      </c>
      <c r="E38" s="6" t="n">
        <v>6</v>
      </c>
      <c r="F38" s="6" t="s">
        <v>5826</v>
      </c>
      <c r="G38" s="6" t="s">
        <v>5827</v>
      </c>
      <c r="H38" s="6" t="s">
        <v>2491</v>
      </c>
      <c r="I38" s="6" t="s">
        <v>5828</v>
      </c>
      <c r="J38" s="6" t="s">
        <v>5829</v>
      </c>
      <c r="K38" s="6" t="s">
        <v>5830</v>
      </c>
      <c r="L38" s="7"/>
      <c r="M38" s="7"/>
      <c r="N38" s="7"/>
      <c r="O38" s="7"/>
      <c r="P38" s="7"/>
      <c r="Q38" s="7"/>
    </row>
    <row r="39" customFormat="false" ht="113.4" hidden="false" customHeight="false" outlineLevel="0" collapsed="false">
      <c r="A39" s="6" t="s">
        <v>650</v>
      </c>
      <c r="B39" s="6" t="s">
        <v>83</v>
      </c>
      <c r="C39" s="6" t="n">
        <v>2.2</v>
      </c>
      <c r="D39" s="6" t="s">
        <v>5669</v>
      </c>
      <c r="E39" s="6" t="n">
        <v>5</v>
      </c>
      <c r="F39" s="6" t="s">
        <v>5831</v>
      </c>
      <c r="G39" s="6" t="s">
        <v>5832</v>
      </c>
      <c r="H39" s="6"/>
      <c r="I39" s="6" t="s">
        <v>5833</v>
      </c>
      <c r="J39" s="6" t="s">
        <v>5834</v>
      </c>
      <c r="K39" s="6" t="s">
        <v>5835</v>
      </c>
      <c r="L39" s="7"/>
      <c r="M39" s="7"/>
      <c r="N39" s="7"/>
      <c r="O39" s="7"/>
      <c r="P39" s="7"/>
      <c r="Q39" s="7"/>
    </row>
    <row r="40" customFormat="false" ht="68.65" hidden="false" customHeight="false" outlineLevel="0" collapsed="false">
      <c r="A40" s="6" t="s">
        <v>716</v>
      </c>
      <c r="B40" s="6" t="s">
        <v>83</v>
      </c>
      <c r="C40" s="6" t="n">
        <v>1391.9</v>
      </c>
      <c r="D40" s="6" t="s">
        <v>5716</v>
      </c>
      <c r="E40" s="6" t="n">
        <v>4</v>
      </c>
      <c r="F40" s="6" t="s">
        <v>5836</v>
      </c>
      <c r="G40" s="6" t="s">
        <v>575</v>
      </c>
      <c r="H40" s="6"/>
      <c r="I40" s="6" t="s">
        <v>5837</v>
      </c>
      <c r="J40" s="6" t="s">
        <v>718</v>
      </c>
      <c r="K40" s="6" t="s">
        <v>5838</v>
      </c>
      <c r="L40" s="7"/>
      <c r="M40" s="7"/>
      <c r="N40" s="7"/>
      <c r="O40" s="7"/>
      <c r="P40" s="7"/>
      <c r="Q40" s="7"/>
    </row>
    <row r="41" customFormat="false" ht="57.45" hidden="false" customHeight="false" outlineLevel="0" collapsed="false">
      <c r="A41" s="6" t="s">
        <v>82</v>
      </c>
      <c r="B41" s="6" t="s">
        <v>83</v>
      </c>
      <c r="C41" s="6" t="n">
        <v>1245.6</v>
      </c>
      <c r="D41" s="6" t="s">
        <v>5716</v>
      </c>
      <c r="E41" s="6" t="n">
        <v>2</v>
      </c>
      <c r="F41" s="6" t="s">
        <v>5839</v>
      </c>
      <c r="G41" s="6" t="s">
        <v>77</v>
      </c>
      <c r="H41" s="6"/>
      <c r="I41" s="6" t="s">
        <v>5840</v>
      </c>
      <c r="J41" s="6" t="s">
        <v>5841</v>
      </c>
      <c r="K41" s="6" t="s">
        <v>5842</v>
      </c>
      <c r="L41" s="7"/>
      <c r="M41" s="7"/>
      <c r="N41" s="7"/>
      <c r="O41" s="7"/>
      <c r="P41" s="7"/>
      <c r="Q41" s="7"/>
    </row>
    <row r="42" customFormat="false" ht="102.2" hidden="false" customHeight="false" outlineLevel="0" collapsed="false">
      <c r="A42" s="6" t="s">
        <v>933</v>
      </c>
      <c r="B42" s="6" t="s">
        <v>83</v>
      </c>
      <c r="C42" s="6" t="n">
        <v>1434.9</v>
      </c>
      <c r="D42" s="6" t="s">
        <v>5716</v>
      </c>
      <c r="E42" s="6" t="n">
        <v>5</v>
      </c>
      <c r="F42" s="6" t="s">
        <v>5843</v>
      </c>
      <c r="G42" s="6" t="s">
        <v>5844</v>
      </c>
      <c r="H42" s="6" t="s">
        <v>929</v>
      </c>
      <c r="I42" s="6" t="s">
        <v>5845</v>
      </c>
      <c r="J42" s="6" t="s">
        <v>935</v>
      </c>
      <c r="K42" s="6" t="s">
        <v>5846</v>
      </c>
      <c r="L42" s="7"/>
      <c r="M42" s="7"/>
      <c r="N42" s="7"/>
      <c r="O42" s="7"/>
      <c r="P42" s="7"/>
      <c r="Q42" s="7"/>
    </row>
  </sheetData>
  <autoFilter ref="A1:Q42"/>
  <conditionalFormatting sqref="B2:B42">
    <cfRule type="cellIs" priority="2" operator="equal" aboveAverage="0" equalAverage="0" bottom="0" percent="0" rank="0" text="" dxfId="6">
      <formula>"MISSING"</formula>
    </cfRule>
  </conditionalFormatting>
  <dataValidations count="5">
    <dataValidation allowBlank="true" errorStyle="stop" operator="between" showDropDown="false" showErrorMessage="false" showInputMessage="false" sqref="L2:L42" type="list">
      <formula1>"Yes,Partly,No"</formula1>
      <formula2>0</formula2>
    </dataValidation>
    <dataValidation allowBlank="true" errorStyle="stop" operator="between" showDropDown="false" showErrorMessage="false" showInputMessage="false" sqref="M2:M42" type="list">
      <formula1>"1,2,3,4,5"</formula1>
      <formula2>0</formula2>
    </dataValidation>
    <dataValidation allowBlank="true" errorStyle="stop" operator="between" showDropDown="false" showErrorMessage="false" showInputMessage="false" sqref="N2:N42" type="list">
      <formula1>"1,2,3,4,5"</formula1>
      <formula2>0</formula2>
    </dataValidation>
    <dataValidation allowBlank="true" errorStyle="stop" operator="between" showDropDown="false" showErrorMessage="false" showInputMessage="false" sqref="O2:O42" type="list">
      <formula1>"Yes,No"</formula1>
      <formula2>0</formula2>
    </dataValidation>
    <dataValidation allowBlank="true" errorStyle="stop" operator="between" showDropDown="false" showErrorMessage="false" showInputMessage="false" sqref="P2:P42" type="list">
      <formula1>"Keep,Improve,Replace,Remove"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2"/>
  </cols>
  <sheetData>
    <row r="1" customFormat="false" ht="15" hidden="false" customHeight="false" outlineLevel="0" collapsed="false">
      <c r="A1" s="8" t="s">
        <v>5847</v>
      </c>
    </row>
    <row r="2" customFormat="false" ht="15" hidden="false" customHeight="false" outlineLevel="0" collapsed="false">
      <c r="A2" s="9" t="s">
        <v>5848</v>
      </c>
      <c r="B2" s="9" t="n">
        <f aca="false">COUNTA(Questions!$A$2:$A$661)</f>
        <v>660</v>
      </c>
    </row>
    <row r="3" customFormat="false" ht="15" hidden="false" customHeight="false" outlineLevel="0" collapsed="false">
      <c r="A3" s="9" t="s">
        <v>5849</v>
      </c>
      <c r="B3" s="9" t="n">
        <f aca="false">COUNTA(Questions!$AX$2:$AX$661)</f>
        <v>0</v>
      </c>
    </row>
    <row r="4" customFormat="false" ht="15" hidden="false" customHeight="false" outlineLevel="0" collapsed="false">
      <c r="A4" s="9" t="s">
        <v>5850</v>
      </c>
      <c r="B4" s="9" t="n">
        <f aca="false">COUNTIF(Questions!$AX$2:$AX$661,"Keep")</f>
        <v>0</v>
      </c>
    </row>
    <row r="5" customFormat="false" ht="15" hidden="false" customHeight="false" outlineLevel="0" collapsed="false">
      <c r="A5" s="9" t="s">
        <v>5851</v>
      </c>
      <c r="B5" s="9" t="n">
        <f aca="false">COUNTIF(Questions!$AX$2:$AX$661,"Revise")</f>
        <v>0</v>
      </c>
    </row>
    <row r="6" customFormat="false" ht="15" hidden="false" customHeight="false" outlineLevel="0" collapsed="false">
      <c r="A6" s="9" t="s">
        <v>5852</v>
      </c>
      <c r="B6" s="9" t="n">
        <f aca="false">COUNTIF(Questions!$AX$2:$AX$661,"Replace")</f>
        <v>0</v>
      </c>
    </row>
    <row r="7" customFormat="false" ht="15" hidden="false" customHeight="false" outlineLevel="0" collapsed="false">
      <c r="A7" s="9" t="s">
        <v>5853</v>
      </c>
      <c r="B7" s="9" t="n">
        <f aca="false">COUNTIF(Questions!$AX$2:$AX$661,"Remove")</f>
        <v>0</v>
      </c>
    </row>
    <row r="8" customFormat="false" ht="15" hidden="false" customHeight="false" outlineLevel="0" collapsed="false">
      <c r="A8" s="9" t="s">
        <v>5854</v>
      </c>
      <c r="B8" s="9" t="n">
        <f aca="false">COUNTIF(Questions!$AL$2:$AL$661,"No")+COUNTIF(Questions!$AL$2:$AL$661,"Unsure")</f>
        <v>0</v>
      </c>
    </row>
    <row r="9" customFormat="false" ht="15" hidden="false" customHeight="false" outlineLevel="0" collapsed="false">
      <c r="A9" s="9" t="s">
        <v>5855</v>
      </c>
      <c r="B9" s="9" t="n">
        <f aca="false">COUNTIF(Questions!$AT$2:$AT$661,"No")</f>
        <v>0</v>
      </c>
    </row>
    <row r="10" customFormat="false" ht="15" hidden="false" customHeight="false" outlineLevel="0" collapsed="false">
      <c r="A10" s="9" t="s">
        <v>5856</v>
      </c>
      <c r="B10" s="9" t="n">
        <f aca="false">COUNTIF(Questions!$AS$2:$AS$661,"High")</f>
        <v>0</v>
      </c>
    </row>
    <row r="11" customFormat="false" ht="15" hidden="false" customHeight="false" outlineLevel="0" collapsed="false">
      <c r="A11" s="9" t="s">
        <v>5857</v>
      </c>
      <c r="B11" s="9" t="n">
        <f aca="false">COUNTIF(Questions!$S$2:$S$661,"?*")+COUNTIFS(Questions!$S$2:$S$661,"",Questions!$Y$2:$Y$661,"?*")</f>
        <v>222</v>
      </c>
    </row>
    <row r="12" customFormat="false" ht="15" hidden="false" customHeight="false" outlineLevel="0" collapsed="false">
      <c r="A12" s="9" t="s">
        <v>5858</v>
      </c>
      <c r="B12" s="9" t="n">
        <f aca="false">COUNTIF(Questions!$T$2:$T$661,"MISSING")</f>
        <v>0</v>
      </c>
    </row>
    <row r="13" customFormat="false" ht="15" hidden="false" customHeight="false" outlineLevel="0" collapsed="false">
      <c r="A13" s="9" t="s">
        <v>5859</v>
      </c>
      <c r="B13" s="9" t="n">
        <f aca="false">COUNTIF(Questions!$AA$2:$AA$661,"Full")+COUNTIF(Questions!$AA$2:$AA$661,"Partial")</f>
        <v>0</v>
      </c>
    </row>
    <row r="15" customFormat="false" ht="15" hidden="false" customHeight="false" outlineLevel="0" collapsed="false">
      <c r="A15" s="8" t="s">
        <v>5860</v>
      </c>
    </row>
    <row r="16" customFormat="false" ht="15" hidden="false" customHeight="false" outlineLevel="0" collapsed="false">
      <c r="A16" s="3" t="s">
        <v>25</v>
      </c>
      <c r="B16" s="3" t="s">
        <v>79</v>
      </c>
      <c r="C16" s="3" t="s">
        <v>98</v>
      </c>
      <c r="D16" s="3" t="s">
        <v>165</v>
      </c>
      <c r="E16" s="3" t="s">
        <v>1362</v>
      </c>
      <c r="F16" s="3" t="s">
        <v>5861</v>
      </c>
    </row>
    <row r="17" customFormat="false" ht="15" hidden="false" customHeight="false" outlineLevel="0" collapsed="false">
      <c r="A17" s="9" t="s">
        <v>5862</v>
      </c>
      <c r="B17" s="9" t="n">
        <f aca="false">COUNTIFS(Questions!$D$2:$D$661,"D1",Questions!$G$2:$G$661,"Awareness")</f>
        <v>15</v>
      </c>
      <c r="C17" s="9" t="n">
        <f aca="false">COUNTIFS(Questions!$D$2:$D$661,"D1",Questions!$G$2:$G$661,"Applied")</f>
        <v>20</v>
      </c>
      <c r="D17" s="9" t="n">
        <f aca="false">COUNTIFS(Questions!$D$2:$D$661,"D1",Questions!$G$2:$G$661,"Proficient")</f>
        <v>17</v>
      </c>
      <c r="E17" s="9" t="n">
        <f aca="false">COUNTIFS(Questions!$D$2:$D$661,"D1",Questions!$G$2:$G$661,"Advanced")</f>
        <v>48</v>
      </c>
      <c r="F17" s="9" t="n">
        <f aca="false">SUM(B17:E17)</f>
        <v>100</v>
      </c>
    </row>
    <row r="18" customFormat="false" ht="15" hidden="false" customHeight="false" outlineLevel="0" collapsed="false">
      <c r="A18" s="9" t="s">
        <v>5863</v>
      </c>
      <c r="B18" s="9" t="n">
        <f aca="false">COUNTIFS(Questions!$D$2:$D$661,"D2",Questions!$G$2:$G$661,"Awareness")</f>
        <v>19</v>
      </c>
      <c r="C18" s="9" t="n">
        <f aca="false">COUNTIFS(Questions!$D$2:$D$661,"D2",Questions!$G$2:$G$661,"Applied")</f>
        <v>26</v>
      </c>
      <c r="D18" s="9" t="n">
        <f aca="false">COUNTIFS(Questions!$D$2:$D$661,"D2",Questions!$G$2:$G$661,"Proficient")</f>
        <v>22</v>
      </c>
      <c r="E18" s="9" t="n">
        <f aca="false">COUNTIFS(Questions!$D$2:$D$661,"D2",Questions!$G$2:$G$661,"Advanced")</f>
        <v>48</v>
      </c>
      <c r="F18" s="9" t="n">
        <f aca="false">SUM(B18:E18)</f>
        <v>115</v>
      </c>
    </row>
    <row r="19" customFormat="false" ht="15" hidden="false" customHeight="false" outlineLevel="0" collapsed="false">
      <c r="A19" s="9" t="s">
        <v>5864</v>
      </c>
      <c r="B19" s="9" t="n">
        <f aca="false">COUNTIFS(Questions!$D$2:$D$661,"D3",Questions!$G$2:$G$661,"Awareness")</f>
        <v>10</v>
      </c>
      <c r="C19" s="9" t="n">
        <f aca="false">COUNTIFS(Questions!$D$2:$D$661,"D3",Questions!$G$2:$G$661,"Applied")</f>
        <v>30</v>
      </c>
      <c r="D19" s="9" t="n">
        <f aca="false">COUNTIFS(Questions!$D$2:$D$661,"D3",Questions!$G$2:$G$661,"Proficient")</f>
        <v>30</v>
      </c>
      <c r="E19" s="9" t="n">
        <f aca="false">COUNTIFS(Questions!$D$2:$D$661,"D3",Questions!$G$2:$G$661,"Advanced")</f>
        <v>48</v>
      </c>
      <c r="F19" s="9" t="n">
        <f aca="false">SUM(B19:E19)</f>
        <v>118</v>
      </c>
    </row>
    <row r="20" customFormat="false" ht="15" hidden="false" customHeight="false" outlineLevel="0" collapsed="false">
      <c r="A20" s="9" t="s">
        <v>5865</v>
      </c>
      <c r="B20" s="9" t="n">
        <f aca="false">COUNTIFS(Questions!$D$2:$D$661,"D4",Questions!$G$2:$G$661,"Awareness")</f>
        <v>8</v>
      </c>
      <c r="C20" s="9" t="n">
        <f aca="false">COUNTIFS(Questions!$D$2:$D$661,"D4",Questions!$G$2:$G$661,"Applied")</f>
        <v>24</v>
      </c>
      <c r="D20" s="9" t="n">
        <f aca="false">COUNTIFS(Questions!$D$2:$D$661,"D4",Questions!$G$2:$G$661,"Proficient")</f>
        <v>32</v>
      </c>
      <c r="E20" s="9" t="n">
        <f aca="false">COUNTIFS(Questions!$D$2:$D$661,"D4",Questions!$G$2:$G$661,"Advanced")</f>
        <v>48</v>
      </c>
      <c r="F20" s="9" t="n">
        <f aca="false">SUM(B20:E20)</f>
        <v>112</v>
      </c>
    </row>
    <row r="21" customFormat="false" ht="15" hidden="false" customHeight="false" outlineLevel="0" collapsed="false">
      <c r="A21" s="9" t="s">
        <v>5866</v>
      </c>
      <c r="B21" s="9" t="n">
        <f aca="false">COUNTIFS(Questions!$D$2:$D$661,"D5",Questions!$G$2:$G$661,"Awareness")</f>
        <v>9</v>
      </c>
      <c r="C21" s="9" t="n">
        <f aca="false">COUNTIFS(Questions!$D$2:$D$661,"D5",Questions!$G$2:$G$661,"Applied")</f>
        <v>27</v>
      </c>
      <c r="D21" s="9" t="n">
        <f aca="false">COUNTIFS(Questions!$D$2:$D$661,"D5",Questions!$G$2:$G$661,"Proficient")</f>
        <v>23</v>
      </c>
      <c r="E21" s="9" t="n">
        <f aca="false">COUNTIFS(Questions!$D$2:$D$661,"D5",Questions!$G$2:$G$661,"Advanced")</f>
        <v>48</v>
      </c>
      <c r="F21" s="9" t="n">
        <f aca="false">SUM(B21:E21)</f>
        <v>107</v>
      </c>
    </row>
    <row r="22" customFormat="false" ht="15" hidden="false" customHeight="false" outlineLevel="0" collapsed="false">
      <c r="A22" s="9" t="s">
        <v>5867</v>
      </c>
      <c r="B22" s="9" t="n">
        <f aca="false">COUNTIFS(Questions!$D$2:$D$661,"D6",Questions!$G$2:$G$661,"Awareness")</f>
        <v>11</v>
      </c>
      <c r="C22" s="9" t="n">
        <f aca="false">COUNTIFS(Questions!$D$2:$D$661,"D6",Questions!$G$2:$G$661,"Applied")</f>
        <v>26</v>
      </c>
      <c r="D22" s="9" t="n">
        <f aca="false">COUNTIFS(Questions!$D$2:$D$661,"D6",Questions!$G$2:$G$661,"Proficient")</f>
        <v>23</v>
      </c>
      <c r="E22" s="9" t="n">
        <f aca="false">COUNTIFS(Questions!$D$2:$D$661,"D6",Questions!$G$2:$G$661,"Advanced")</f>
        <v>48</v>
      </c>
      <c r="F22" s="9" t="n">
        <f aca="false">SUM(B22:E22)</f>
        <v>108</v>
      </c>
    </row>
    <row r="23" customFormat="false" ht="15" hidden="false" customHeight="false" outlineLevel="0" collapsed="false">
      <c r="A23" s="8" t="s">
        <v>5861</v>
      </c>
      <c r="B23" s="8" t="n">
        <f aca="false">SUM(B17:B22)</f>
        <v>72</v>
      </c>
      <c r="C23" s="8" t="n">
        <f aca="false">SUM(C17:C22)</f>
        <v>153</v>
      </c>
      <c r="D23" s="8" t="n">
        <f aca="false">SUM(D17:D22)</f>
        <v>147</v>
      </c>
      <c r="E23" s="8" t="n">
        <f aca="false">SUM(E17:E22)</f>
        <v>288</v>
      </c>
      <c r="F23" s="8" t="n">
        <f aca="false">SUM(F17:F22)</f>
        <v>660</v>
      </c>
    </row>
    <row r="25" customFormat="false" ht="15" hidden="false" customHeight="false" outlineLevel="0" collapsed="false">
      <c r="A25" s="8" t="s">
        <v>5868</v>
      </c>
    </row>
    <row r="26" customFormat="false" ht="15" hidden="false" customHeight="false" outlineLevel="0" collapsed="false">
      <c r="A26" s="9" t="s">
        <v>1062</v>
      </c>
      <c r="B26" s="9" t="n">
        <f aca="false">COUNTIF(Questions!$H$2:$H$661,"concept-cluster")</f>
        <v>8</v>
      </c>
    </row>
    <row r="27" customFormat="false" ht="15" hidden="false" customHeight="false" outlineLevel="0" collapsed="false">
      <c r="A27" s="9" t="s">
        <v>431</v>
      </c>
      <c r="B27" s="9" t="n">
        <f aca="false">COUNTIF(Questions!$H$2:$H$661,"drag-order")</f>
        <v>23</v>
      </c>
    </row>
    <row r="28" customFormat="false" ht="15" hidden="false" customHeight="false" outlineLevel="0" collapsed="false">
      <c r="A28" s="9" t="s">
        <v>781</v>
      </c>
      <c r="B28" s="9" t="n">
        <f aca="false">COUNTIF(Questions!$H$2:$H$661,"fraud-detection")</f>
        <v>8</v>
      </c>
    </row>
    <row r="29" customFormat="false" ht="15" hidden="false" customHeight="false" outlineLevel="0" collapsed="false">
      <c r="A29" s="9" t="s">
        <v>1330</v>
      </c>
      <c r="B29" s="9" t="n">
        <f aca="false">COUNTIF(Questions!$H$2:$H$661,"judgment")</f>
        <v>410</v>
      </c>
    </row>
    <row r="30" customFormat="false" ht="15" hidden="false" customHeight="false" outlineLevel="0" collapsed="false">
      <c r="A30" s="9" t="s">
        <v>491</v>
      </c>
      <c r="B30" s="9" t="n">
        <f aca="false">COUNTIF(Questions!$H$2:$H$661,"matching")</f>
        <v>38</v>
      </c>
    </row>
    <row r="31" customFormat="false" ht="15" hidden="false" customHeight="false" outlineLevel="0" collapsed="false">
      <c r="A31" s="9" t="s">
        <v>396</v>
      </c>
      <c r="B31" s="9" t="n">
        <f aca="false">COUNTIF(Questions!$H$2:$H$661,"media")</f>
        <v>10</v>
      </c>
    </row>
    <row r="32" customFormat="false" ht="15" hidden="false" customHeight="false" outlineLevel="0" collapsed="false">
      <c r="A32" s="9" t="s">
        <v>452</v>
      </c>
      <c r="B32" s="9" t="n">
        <f aca="false">COUNTIF(Questions!$H$2:$H$661,"multi-select")</f>
        <v>18</v>
      </c>
    </row>
    <row r="33" customFormat="false" ht="15" hidden="false" customHeight="false" outlineLevel="0" collapsed="false">
      <c r="A33" s="9" t="s">
        <v>408</v>
      </c>
      <c r="B33" s="9" t="n">
        <f aca="false">COUNTIF(Questions!$H$2:$H$661,"narrative")</f>
        <v>30</v>
      </c>
    </row>
    <row r="34" customFormat="false" ht="15" hidden="false" customHeight="false" outlineLevel="0" collapsed="false">
      <c r="A34" s="9" t="s">
        <v>80</v>
      </c>
      <c r="B34" s="9" t="n">
        <f aca="false">COUNTIF(Questions!$H$2:$H$661,"reliance-decision")</f>
        <v>38</v>
      </c>
    </row>
    <row r="35" customFormat="false" ht="15" hidden="false" customHeight="false" outlineLevel="0" collapsed="false">
      <c r="A35" s="9" t="s">
        <v>372</v>
      </c>
      <c r="B35" s="9" t="n">
        <f aca="false">COUNTIF(Questions!$H$2:$H$661,"report-review")</f>
        <v>67</v>
      </c>
    </row>
    <row r="36" customFormat="false" ht="15" hidden="false" customHeight="false" outlineLevel="0" collapsed="false">
      <c r="A36" s="9" t="s">
        <v>2725</v>
      </c>
      <c r="B36" s="9" t="n">
        <f aca="false">COUNTIF(Questions!$H$2:$H$661,"scenario")</f>
        <v>10</v>
      </c>
    </row>
    <row r="38" customFormat="false" ht="15" hidden="false" customHeight="false" outlineLevel="0" collapsed="false">
      <c r="A38" s="8" t="s">
        <v>5869</v>
      </c>
    </row>
    <row r="39" customFormat="false" ht="15" hidden="false" customHeight="false" outlineLevel="0" collapsed="false">
      <c r="A39" s="9" t="s">
        <v>492</v>
      </c>
      <c r="B39" s="9" t="n">
        <f aca="false">COUNTIF(Questions!$I$2:$I$661,"match")</f>
        <v>38</v>
      </c>
    </row>
    <row r="40" customFormat="false" ht="15" hidden="false" customHeight="false" outlineLevel="0" collapsed="false">
      <c r="A40" s="9" t="s">
        <v>373</v>
      </c>
      <c r="B40" s="9" t="n">
        <f aca="false">COUNTIF(Questions!$I$2:$I$661,"multi")</f>
        <v>46</v>
      </c>
    </row>
    <row r="41" customFormat="false" ht="15" hidden="false" customHeight="false" outlineLevel="0" collapsed="false">
      <c r="A41" s="9" t="s">
        <v>1063</v>
      </c>
      <c r="B41" s="9" t="n">
        <f aca="false">COUNTIF(Questions!$I$2:$I$661,"parts")</f>
        <v>8</v>
      </c>
    </row>
    <row r="42" customFormat="false" ht="15" hidden="false" customHeight="false" outlineLevel="0" collapsed="false">
      <c r="A42" s="9" t="s">
        <v>432</v>
      </c>
      <c r="B42" s="9" t="n">
        <f aca="false">COUNTIF(Questions!$I$2:$I$661,"rank")</f>
        <v>23</v>
      </c>
    </row>
    <row r="43" customFormat="false" ht="15" hidden="false" customHeight="false" outlineLevel="0" collapsed="false">
      <c r="A43" s="9" t="s">
        <v>81</v>
      </c>
      <c r="B43" s="9" t="n">
        <f aca="false">COUNTIF(Questions!$I$2:$I$661,"single")</f>
        <v>513</v>
      </c>
    </row>
    <row r="44" customFormat="false" ht="15" hidden="false" customHeight="false" outlineLevel="0" collapsed="false">
      <c r="A44" s="9" t="s">
        <v>409</v>
      </c>
      <c r="B44" s="9" t="n">
        <f aca="false">COUNTIF(Questions!$I$2:$I$661,"text")</f>
        <v>32</v>
      </c>
    </row>
    <row r="46" customFormat="false" ht="15" hidden="false" customHeight="false" outlineLevel="0" collapsed="false">
      <c r="A46" s="8" t="s">
        <v>5870</v>
      </c>
    </row>
    <row r="47" customFormat="false" ht="15" hidden="false" customHeight="false" outlineLevel="0" collapsed="false">
      <c r="A47" s="9" t="s">
        <v>75</v>
      </c>
      <c r="B47" s="9" t="n">
        <f aca="false">COUNTIF(Questions!$B$2:$B$661,"*General reliance*")</f>
        <v>6</v>
      </c>
    </row>
    <row r="48" customFormat="false" ht="15" hidden="false" customHeight="false" outlineLevel="0" collapsed="false">
      <c r="A48" s="9" t="s">
        <v>153</v>
      </c>
      <c r="B48" s="9" t="n">
        <f aca="false">COUNTIF(Questions!$B$2:$B$661,"*Horizon reliance (AI or Me?)*")</f>
        <v>26</v>
      </c>
    </row>
    <row r="49" customFormat="false" ht="15" hidden="false" customHeight="false" outlineLevel="0" collapsed="false">
      <c r="A49" s="9" t="s">
        <v>3149</v>
      </c>
      <c r="B49" s="9" t="n">
        <f aca="false">COUNTIF(Questions!$B$2:$B$661,"*Executive reliance*")</f>
        <v>6</v>
      </c>
    </row>
    <row r="50" customFormat="false" ht="15" hidden="false" customHeight="false" outlineLevel="0" collapsed="false">
      <c r="A50" s="9" t="s">
        <v>371</v>
      </c>
      <c r="B50" s="9" t="n">
        <f aca="false">COUNTIF(Questions!$B$2:$B$661,"*Functional*")</f>
        <v>22</v>
      </c>
    </row>
    <row r="51" customFormat="false" ht="15" hidden="false" customHeight="false" outlineLevel="0" collapsed="false">
      <c r="A51" s="9" t="s">
        <v>594</v>
      </c>
      <c r="B51" s="9" t="n">
        <f aca="false">COUNTIF(Questions!$B$2:$B$661,"*Competency depth*")</f>
        <v>67</v>
      </c>
    </row>
    <row r="52" customFormat="false" ht="15" hidden="false" customHeight="false" outlineLevel="0" collapsed="false">
      <c r="A52" s="9" t="s">
        <v>1329</v>
      </c>
      <c r="B52" s="9" t="n">
        <f aca="false">COUNTIF(Questions!$B$2:$B$661,"*Market trends*")</f>
        <v>168</v>
      </c>
    </row>
    <row r="53" customFormat="false" ht="15" hidden="false" customHeight="false" outlineLevel="0" collapsed="false">
      <c r="A53" s="9" t="s">
        <v>1875</v>
      </c>
      <c r="B53" s="9" t="n">
        <f aca="false">COUNTIF(Questions!$B$2:$B$661,"*Advanced competency*")</f>
        <v>240</v>
      </c>
    </row>
    <row r="54" customFormat="false" ht="15" hidden="false" customHeight="false" outlineLevel="0" collapsed="false">
      <c r="A54" s="9" t="s">
        <v>3201</v>
      </c>
      <c r="B54" s="9" t="n">
        <f aca="false">COUNTIF(Questions!$B$2:$B$661,"*Executive bank*")</f>
        <v>47</v>
      </c>
    </row>
    <row r="56" customFormat="false" ht="15" hidden="false" customHeight="false" outlineLevel="0" collapsed="false">
      <c r="A56" s="8" t="s">
        <v>5871</v>
      </c>
    </row>
    <row r="57" customFormat="false" ht="15" hidden="false" customHeight="false" outlineLevel="0" collapsed="false">
      <c r="A57" s="9" t="s">
        <v>76</v>
      </c>
      <c r="B57" s="9" t="n">
        <f aca="false">COUNTIF(Questions!$C$2:$C$661,"*Free / Premium*")</f>
        <v>607</v>
      </c>
    </row>
    <row r="58" customFormat="false" ht="15" hidden="false" customHeight="false" outlineLevel="0" collapsed="false">
      <c r="A58" s="9" t="s">
        <v>3150</v>
      </c>
      <c r="B58" s="9" t="n">
        <f aca="false">COUNTIF(Questions!$C$2:$C$661,"*Executive*")</f>
        <v>293</v>
      </c>
    </row>
    <row r="60" customFormat="false" ht="15" hidden="false" customHeight="false" outlineLevel="0" collapsed="false">
      <c r="A60" s="8" t="s">
        <v>5872</v>
      </c>
    </row>
    <row r="61" customFormat="false" ht="15" hidden="false" customHeight="false" outlineLevel="0" collapsed="false">
      <c r="A61" s="9" t="s">
        <v>5873</v>
      </c>
      <c r="B61" s="9" t="n">
        <f aca="false">COUNTIF(Questions!$N$2:$N$661,"*General work*")</f>
        <v>10</v>
      </c>
    </row>
    <row r="62" customFormat="false" ht="15" hidden="false" customHeight="false" outlineLevel="0" collapsed="false">
      <c r="A62" s="9" t="s">
        <v>374</v>
      </c>
      <c r="B62" s="9" t="n">
        <f aca="false">COUNTIF(Questions!$N$2:$N$661,"*HR &amp; People*")</f>
        <v>10</v>
      </c>
    </row>
    <row r="63" customFormat="false" ht="15" hidden="false" customHeight="false" outlineLevel="0" collapsed="false">
      <c r="A63" s="9" t="s">
        <v>385</v>
      </c>
      <c r="B63" s="9" t="n">
        <f aca="false">COUNTIF(Questions!$N$2:$N$661,"*Finance*")</f>
        <v>12</v>
      </c>
    </row>
    <row r="64" customFormat="false" ht="15" hidden="false" customHeight="false" outlineLevel="0" collapsed="false">
      <c r="A64" s="9" t="s">
        <v>397</v>
      </c>
      <c r="B64" s="9" t="n">
        <f aca="false">COUNTIF(Questions!$N$2:$N$661,"*Marketing*")</f>
        <v>9</v>
      </c>
    </row>
    <row r="65" customFormat="false" ht="15" hidden="false" customHeight="false" outlineLevel="0" collapsed="false">
      <c r="A65" s="9" t="s">
        <v>539</v>
      </c>
      <c r="B65" s="9" t="n">
        <f aca="false">COUNTIF(Questions!$N$2:$N$661,"*Sales*")</f>
        <v>10</v>
      </c>
    </row>
    <row r="66" customFormat="false" ht="15" hidden="false" customHeight="false" outlineLevel="0" collapsed="false">
      <c r="A66" s="9" t="s">
        <v>5874</v>
      </c>
      <c r="B66" s="9" t="n">
        <f aca="false">COUNTIF(Questions!$N$2:$N$661,"*Customer Service*")</f>
        <v>10</v>
      </c>
    </row>
    <row r="67" customFormat="false" ht="15" hidden="false" customHeight="false" outlineLevel="0" collapsed="false">
      <c r="A67" s="9" t="s">
        <v>420</v>
      </c>
      <c r="B67" s="9" t="n">
        <f aca="false">COUNTIF(Questions!$N$2:$N$661,"*Engineering &amp; Data*")</f>
        <v>22</v>
      </c>
    </row>
    <row r="68" customFormat="false" ht="15" hidden="false" customHeight="false" outlineLevel="0" collapsed="false">
      <c r="A68" s="9" t="s">
        <v>410</v>
      </c>
      <c r="B68" s="9" t="n">
        <f aca="false">COUNTIF(Questions!$N$2:$N$661,"*Operations*")</f>
        <v>24</v>
      </c>
    </row>
    <row r="70" customFormat="false" ht="15" hidden="false" customHeight="false" outlineLevel="0" collapsed="false">
      <c r="A70" s="8" t="s">
        <v>5875</v>
      </c>
    </row>
    <row r="71" customFormat="false" ht="15" hidden="false" customHeight="false" outlineLevel="0" collapsed="false">
      <c r="A71" s="9" t="s">
        <v>5873</v>
      </c>
      <c r="B71" s="9" t="n">
        <f aca="false">COUNTIF(Questions!$P$2:$P$661,"*General work*")</f>
        <v>280</v>
      </c>
    </row>
    <row r="72" customFormat="false" ht="15" hidden="false" customHeight="false" outlineLevel="0" collapsed="false">
      <c r="A72" s="9" t="s">
        <v>374</v>
      </c>
      <c r="B72" s="9" t="n">
        <f aca="false">COUNTIF(Questions!$P$2:$P$661,"*HR &amp; People*")</f>
        <v>265</v>
      </c>
    </row>
    <row r="73" customFormat="false" ht="15" hidden="false" customHeight="false" outlineLevel="0" collapsed="false">
      <c r="A73" s="9" t="s">
        <v>385</v>
      </c>
      <c r="B73" s="9" t="n">
        <f aca="false">COUNTIF(Questions!$P$2:$P$661,"*Finance*")</f>
        <v>268</v>
      </c>
    </row>
    <row r="74" customFormat="false" ht="15" hidden="false" customHeight="false" outlineLevel="0" collapsed="false">
      <c r="A74" s="9" t="s">
        <v>397</v>
      </c>
      <c r="B74" s="9" t="n">
        <f aca="false">COUNTIF(Questions!$P$2:$P$661,"*Marketing*")</f>
        <v>277</v>
      </c>
    </row>
    <row r="75" customFormat="false" ht="15" hidden="false" customHeight="false" outlineLevel="0" collapsed="false">
      <c r="A75" s="9" t="s">
        <v>539</v>
      </c>
      <c r="B75" s="9" t="n">
        <f aca="false">COUNTIF(Questions!$P$2:$P$661,"*Sales*")</f>
        <v>275</v>
      </c>
    </row>
    <row r="76" customFormat="false" ht="15" hidden="false" customHeight="false" outlineLevel="0" collapsed="false">
      <c r="A76" s="9" t="s">
        <v>5874</v>
      </c>
      <c r="B76" s="9" t="n">
        <f aca="false">COUNTIF(Questions!$P$2:$P$661,"*Customer Service*")</f>
        <v>270</v>
      </c>
    </row>
    <row r="77" customFormat="false" ht="15" hidden="false" customHeight="false" outlineLevel="0" collapsed="false">
      <c r="A77" s="9" t="s">
        <v>420</v>
      </c>
      <c r="B77" s="9" t="n">
        <f aca="false">COUNTIF(Questions!$P$2:$P$661,"*Engineering &amp; Data*")</f>
        <v>269</v>
      </c>
    </row>
    <row r="78" customFormat="false" ht="15" hidden="false" customHeight="false" outlineLevel="0" collapsed="false">
      <c r="A78" s="9" t="s">
        <v>410</v>
      </c>
      <c r="B78" s="9" t="n">
        <f aca="false">COUNTIF(Questions!$P$2:$P$661,"*Operations*")</f>
        <v>263</v>
      </c>
    </row>
    <row r="80" customFormat="false" ht="15" hidden="false" customHeight="false" outlineLevel="0" collapsed="false">
      <c r="A80" s="8" t="s">
        <v>5876</v>
      </c>
    </row>
    <row r="81" customFormat="false" ht="15" hidden="false" customHeight="false" outlineLevel="0" collapsed="false">
      <c r="A81" s="9" t="s">
        <v>5877</v>
      </c>
      <c r="B81" s="9" t="n">
        <f aca="false">COUNTIF(Questions!$O$2:$O$661,"*General*")</f>
        <v>3</v>
      </c>
    </row>
    <row r="82" customFormat="false" ht="15" hidden="false" customHeight="false" outlineLevel="0" collapsed="false">
      <c r="A82" s="9" t="s">
        <v>1835</v>
      </c>
      <c r="B82" s="9" t="n">
        <f aca="false">COUNTIF(Questions!$O$2:$O$661,"*Education*")</f>
        <v>3</v>
      </c>
    </row>
    <row r="83" customFormat="false" ht="15" hidden="false" customHeight="false" outlineLevel="0" collapsed="false">
      <c r="A83" s="9" t="s">
        <v>5878</v>
      </c>
      <c r="B83" s="9" t="n">
        <f aca="false">COUNTIF(Questions!$O$2:$O$661,"*Financial services*")</f>
        <v>2</v>
      </c>
    </row>
    <row r="84" customFormat="false" ht="15" hidden="false" customHeight="false" outlineLevel="0" collapsed="false">
      <c r="A84" s="9" t="s">
        <v>268</v>
      </c>
      <c r="B84" s="9" t="n">
        <f aca="false">COUNTIF(Questions!$O$2:$O$661,"*Healthcare*")</f>
        <v>1</v>
      </c>
    </row>
    <row r="85" customFormat="false" ht="15" hidden="false" customHeight="false" outlineLevel="0" collapsed="false">
      <c r="A85" s="9" t="s">
        <v>338</v>
      </c>
      <c r="B85" s="9" t="n">
        <f aca="false">COUNTIF(Questions!$O$2:$O$661,"*Retail &amp; ecommerce*")</f>
        <v>0</v>
      </c>
    </row>
    <row r="86" customFormat="false" ht="15" hidden="false" customHeight="false" outlineLevel="0" collapsed="false">
      <c r="A86" s="9" t="s">
        <v>1811</v>
      </c>
      <c r="B86" s="9" t="n">
        <f aca="false">COUNTIF(Questions!$O$2:$O$661,"*Public sector*")</f>
        <v>2</v>
      </c>
    </row>
    <row r="88" customFormat="false" ht="15" hidden="false" customHeight="false" outlineLevel="0" collapsed="false">
      <c r="A88" s="8" t="s">
        <v>5879</v>
      </c>
    </row>
    <row r="89" customFormat="false" ht="15" hidden="false" customHeight="false" outlineLevel="0" collapsed="false">
      <c r="A89" s="9" t="s">
        <v>5877</v>
      </c>
      <c r="B89" s="9" t="n">
        <f aca="false">COUNTIF(Questions!$Q$2:$Q$661,"*General*")</f>
        <v>0</v>
      </c>
    </row>
    <row r="90" customFormat="false" ht="15" hidden="false" customHeight="false" outlineLevel="0" collapsed="false">
      <c r="A90" s="9" t="s">
        <v>1835</v>
      </c>
      <c r="B90" s="9" t="n">
        <f aca="false">COUNTIF(Questions!$Q$2:$Q$661,"*Education*")</f>
        <v>112</v>
      </c>
    </row>
    <row r="91" customFormat="false" ht="15" hidden="false" customHeight="false" outlineLevel="0" collapsed="false">
      <c r="A91" s="9" t="s">
        <v>5878</v>
      </c>
      <c r="B91" s="9" t="n">
        <f aca="false">COUNTIF(Questions!$Q$2:$Q$661,"*Financial services*")</f>
        <v>115</v>
      </c>
    </row>
    <row r="92" customFormat="false" ht="15" hidden="false" customHeight="false" outlineLevel="0" collapsed="false">
      <c r="A92" s="9" t="s">
        <v>268</v>
      </c>
      <c r="B92" s="9" t="n">
        <f aca="false">COUNTIF(Questions!$Q$2:$Q$661,"*Healthcare*")</f>
        <v>110</v>
      </c>
    </row>
    <row r="93" customFormat="false" ht="15" hidden="false" customHeight="false" outlineLevel="0" collapsed="false">
      <c r="A93" s="9" t="s">
        <v>338</v>
      </c>
      <c r="B93" s="9" t="n">
        <f aca="false">COUNTIF(Questions!$Q$2:$Q$661,"*Retail &amp; ecommerce*")</f>
        <v>100</v>
      </c>
    </row>
    <row r="94" customFormat="false" ht="15" hidden="false" customHeight="false" outlineLevel="0" collapsed="false">
      <c r="A94" s="9" t="s">
        <v>1811</v>
      </c>
      <c r="B94" s="9" t="n">
        <f aca="false">COUNTIF(Questions!$Q$2:$Q$661,"*Public sector*")</f>
        <v>116</v>
      </c>
    </row>
    <row r="96" customFormat="false" ht="15" hidden="false" customHeight="false" outlineLevel="0" collapsed="false">
      <c r="A96" s="8" t="s">
        <v>5880</v>
      </c>
    </row>
    <row r="97" customFormat="false" ht="15" hidden="false" customHeight="false" outlineLevel="0" collapsed="false">
      <c r="A97" s="9" t="s">
        <v>5881</v>
      </c>
      <c r="B97" s="9" t="n">
        <f aca="false">COUNTIF(Questions!$R$2:$R$661,"*CEO / Managing Director*")</f>
        <v>244</v>
      </c>
    </row>
    <row r="98" customFormat="false" ht="15" hidden="false" customHeight="false" outlineLevel="0" collapsed="false">
      <c r="A98" s="9" t="s">
        <v>1400</v>
      </c>
      <c r="B98" s="9" t="n">
        <f aca="false">COUNTIF(Questions!$R$2:$R$661,"*Board / Investor*")</f>
        <v>236</v>
      </c>
    </row>
    <row r="99" customFormat="false" ht="15" hidden="false" customHeight="false" outlineLevel="0" collapsed="false">
      <c r="A99" s="9" t="s">
        <v>5882</v>
      </c>
      <c r="B99" s="9" t="n">
        <f aca="false">COUNTIF(Questions!$R$2:$R$661,"*CHRO / People leader*")</f>
        <v>265</v>
      </c>
    </row>
    <row r="100" customFormat="false" ht="15" hidden="false" customHeight="false" outlineLevel="0" collapsed="false">
      <c r="A100" s="9" t="s">
        <v>772</v>
      </c>
      <c r="B100" s="9" t="n">
        <f aca="false">COUNTIF(Questions!$R$2:$R$661,"*CFO / Risk leader*")</f>
        <v>232</v>
      </c>
    </row>
    <row r="101" customFormat="false" ht="15" hidden="false" customHeight="false" outlineLevel="0" collapsed="false">
      <c r="A101" s="9" t="s">
        <v>180</v>
      </c>
      <c r="B101" s="9" t="n">
        <f aca="false">COUNTIF(Questions!$R$2:$R$661,"*CIO / CDO / CTO*")</f>
        <v>270</v>
      </c>
    </row>
    <row r="102" customFormat="false" ht="15" hidden="false" customHeight="false" outlineLevel="0" collapsed="false">
      <c r="A102" s="9" t="s">
        <v>5883</v>
      </c>
      <c r="B102" s="9" t="n">
        <f aca="false">COUNTIF(Questions!$R$2:$R$661,"*Transformation sponsor*")</f>
        <v>279</v>
      </c>
    </row>
    <row r="104" customFormat="false" ht="15" hidden="false" customHeight="false" outlineLevel="0" collapsed="false">
      <c r="A104" s="8" t="s">
        <v>5884</v>
      </c>
    </row>
    <row r="105" customFormat="false" ht="15" hidden="false" customHeight="false" outlineLevel="0" collapsed="false">
      <c r="A105" s="9" t="s">
        <v>1332</v>
      </c>
      <c r="B105" s="9" t="n">
        <f aca="false">COUNTIF(Questions!$L$2:$L$661,"*Core AI concepts*")</f>
        <v>36</v>
      </c>
    </row>
    <row r="106" customFormat="false" ht="15" hidden="false" customHeight="false" outlineLevel="0" collapsed="false">
      <c r="A106" s="9" t="s">
        <v>1375</v>
      </c>
      <c r="B106" s="9" t="n">
        <f aca="false">COUNTIF(Questions!$L$2:$L$661,"*Generative AI mechanics*")</f>
        <v>36</v>
      </c>
    </row>
    <row r="107" customFormat="false" ht="15" hidden="false" customHeight="false" outlineLevel="0" collapsed="false">
      <c r="A107" s="9" t="s">
        <v>1397</v>
      </c>
      <c r="B107" s="9" t="n">
        <f aca="false">COUNTIF(Questions!$L$2:$L$661,"*Capability boundaries*")</f>
        <v>30</v>
      </c>
    </row>
    <row r="108" customFormat="false" ht="15" hidden="false" customHeight="false" outlineLevel="0" collapsed="false">
      <c r="A108" s="9" t="s">
        <v>1420</v>
      </c>
      <c r="B108" s="9" t="n">
        <f aca="false">COUNTIF(Questions!$L$2:$L$661,"*AI systems literacy*")</f>
        <v>27</v>
      </c>
    </row>
    <row r="109" customFormat="false" ht="15" hidden="false" customHeight="false" outlineLevel="0" collapsed="false">
      <c r="A109" s="9" t="s">
        <v>1442</v>
      </c>
      <c r="B109" s="9" t="n">
        <f aca="false">COUNTIF(Questions!$L$2:$L$661,"*Prompt design*")</f>
        <v>27</v>
      </c>
    </row>
    <row r="110" customFormat="false" ht="15" hidden="false" customHeight="false" outlineLevel="0" collapsed="false">
      <c r="A110" s="9" t="s">
        <v>178</v>
      </c>
      <c r="B110" s="9" t="n">
        <f aca="false">COUNTIF(Questions!$L$2:$L$661,"*Tool selection and integration*")</f>
        <v>44</v>
      </c>
    </row>
    <row r="111" customFormat="false" ht="15" hidden="false" customHeight="false" outlineLevel="0" collapsed="false">
      <c r="A111" s="9" t="s">
        <v>1483</v>
      </c>
      <c r="B111" s="9" t="n">
        <f aca="false">COUNTIF(Questions!$L$2:$L$661,"*Agentic workflows*")</f>
        <v>28</v>
      </c>
    </row>
    <row r="112" customFormat="false" ht="15" hidden="false" customHeight="false" outlineLevel="0" collapsed="false">
      <c r="A112" s="9" t="s">
        <v>227</v>
      </c>
      <c r="B112" s="9" t="n">
        <f aca="false">COUNTIF(Questions!$L$2:$L$661,"*Output refinement*")</f>
        <v>43</v>
      </c>
    </row>
    <row r="113" customFormat="false" ht="15" hidden="false" customHeight="false" outlineLevel="0" collapsed="false">
      <c r="A113" s="9" t="s">
        <v>1524</v>
      </c>
      <c r="B113" s="9" t="n">
        <f aca="false">COUNTIF(Questions!$L$2:$L$661,"*Source and claim verification*")</f>
        <v>32</v>
      </c>
    </row>
    <row r="114" customFormat="false" ht="15" hidden="false" customHeight="false" outlineLevel="0" collapsed="false">
      <c r="A114" s="9" t="s">
        <v>1545</v>
      </c>
      <c r="B114" s="9" t="n">
        <f aca="false">COUNTIF(Questions!$L$2:$L$661,"*Data and chart judgment*")</f>
        <v>27</v>
      </c>
    </row>
    <row r="115" customFormat="false" ht="15" hidden="false" customHeight="false" outlineLevel="0" collapsed="false">
      <c r="A115" s="9" t="s">
        <v>1567</v>
      </c>
      <c r="B115" s="9" t="n">
        <f aca="false">COUNTIF(Questions!$L$2:$L$661,"*Media provenance*")</f>
        <v>27</v>
      </c>
    </row>
    <row r="116" customFormat="false" ht="15" hidden="false" customHeight="false" outlineLevel="0" collapsed="false">
      <c r="A116" s="9" t="s">
        <v>1588</v>
      </c>
      <c r="B116" s="9" t="n">
        <f aca="false">COUNTIF(Questions!$L$2:$L$661,"*Fraud and manipulation detection*")</f>
        <v>27</v>
      </c>
    </row>
    <row r="117" customFormat="false" ht="15" hidden="false" customHeight="false" outlineLevel="0" collapsed="false">
      <c r="A117" s="9" t="s">
        <v>1610</v>
      </c>
      <c r="B117" s="9" t="n">
        <f aca="false">COUNTIF(Questions!$L$2:$L$661,"*Data protection and privacy*")</f>
        <v>31</v>
      </c>
    </row>
    <row r="118" customFormat="false" ht="15" hidden="false" customHeight="false" outlineLevel="0" collapsed="false">
      <c r="A118" s="9" t="s">
        <v>1632</v>
      </c>
      <c r="B118" s="9" t="n">
        <f aca="false">COUNTIF(Questions!$L$2:$L$661,"*Regulatory and policy fluency*")</f>
        <v>31</v>
      </c>
    </row>
    <row r="119" customFormat="false" ht="15" hidden="false" customHeight="false" outlineLevel="0" collapsed="false">
      <c r="A119" s="9" t="s">
        <v>1654</v>
      </c>
      <c r="B119" s="9" t="n">
        <f aca="false">COUNTIF(Questions!$L$2:$L$661,"*Fairness, ethics, and rights*")</f>
        <v>42</v>
      </c>
    </row>
    <row r="120" customFormat="false" ht="15" hidden="false" customHeight="false" outlineLevel="0" collapsed="false">
      <c r="A120" s="9" t="s">
        <v>1677</v>
      </c>
      <c r="B120" s="9" t="n">
        <f aca="false">COUNTIF(Questions!$L$2:$L$661,"*Security and governance controls*")</f>
        <v>41</v>
      </c>
    </row>
    <row r="121" customFormat="false" ht="15" hidden="false" customHeight="false" outlineLevel="0" collapsed="false">
      <c r="A121" s="9" t="s">
        <v>1700</v>
      </c>
      <c r="B121" s="9" t="n">
        <f aca="false">COUNTIF(Questions!$L$2:$L$661,"*Use-case evaluation*")</f>
        <v>39</v>
      </c>
    </row>
    <row r="122" customFormat="false" ht="15" hidden="false" customHeight="false" outlineLevel="0" collapsed="false">
      <c r="A122" s="9" t="s">
        <v>1723</v>
      </c>
      <c r="B122" s="9" t="n">
        <f aca="false">COUNTIF(Questions!$L$2:$L$661,"*ROI and measurement*")</f>
        <v>28</v>
      </c>
    </row>
    <row r="123" customFormat="false" ht="15" hidden="false" customHeight="false" outlineLevel="0" collapsed="false">
      <c r="A123" s="9" t="s">
        <v>1746</v>
      </c>
      <c r="B123" s="9" t="n">
        <f aca="false">COUNTIF(Questions!$L$2:$L$661,"*Portfolio prioritization*")</f>
        <v>38</v>
      </c>
    </row>
    <row r="124" customFormat="false" ht="15" hidden="false" customHeight="false" outlineLevel="0" collapsed="false">
      <c r="A124" s="9" t="s">
        <v>1768</v>
      </c>
      <c r="B124" s="9" t="n">
        <f aca="false">COUNTIF(Questions!$L$2:$L$661,"*Strategy and transformation*")</f>
        <v>28</v>
      </c>
    </row>
    <row r="125" customFormat="false" ht="15" hidden="false" customHeight="false" outlineLevel="0" collapsed="false">
      <c r="A125" s="9" t="s">
        <v>305</v>
      </c>
      <c r="B125" s="9" t="n">
        <f aca="false">COUNTIF(Questions!$L$2:$L$661,"*Human-AI role clarity*")</f>
        <v>34</v>
      </c>
    </row>
    <row r="126" customFormat="false" ht="15" hidden="false" customHeight="false" outlineLevel="0" collapsed="false">
      <c r="A126" s="9" t="s">
        <v>1808</v>
      </c>
      <c r="B126" s="9" t="n">
        <f aca="false">COUNTIF(Questions!$L$2:$L$661,"*Trust and challenge culture*")</f>
        <v>38</v>
      </c>
    </row>
    <row r="127" customFormat="false" ht="15" hidden="false" customHeight="false" outlineLevel="0" collapsed="false">
      <c r="A127" s="9" t="s">
        <v>1832</v>
      </c>
      <c r="B127" s="9" t="n">
        <f aca="false">COUNTIF(Questions!$L$2:$L$661,"*Change enablement*")</f>
        <v>27</v>
      </c>
    </row>
    <row r="128" customFormat="false" ht="15" hidden="false" customHeight="false" outlineLevel="0" collapsed="false">
      <c r="A128" s="9" t="s">
        <v>1855</v>
      </c>
      <c r="B128" s="9" t="n">
        <f aca="false">COUNTIF(Questions!$L$2:$L$661,"*Learning and improvement loops*")</f>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60"/>
    <col collapsed="false" customWidth="true" hidden="false" outlineLevel="0" max="4" min="4" style="0" width="80"/>
  </cols>
  <sheetData>
    <row r="1" customFormat="false" ht="15" hidden="false" customHeight="false" outlineLevel="0" collapsed="false">
      <c r="A1" s="8" t="s">
        <v>5659</v>
      </c>
    </row>
    <row r="2" customFormat="false" ht="15" hidden="false" customHeight="false" outlineLevel="0" collapsed="false">
      <c r="A2" s="3" t="s">
        <v>5885</v>
      </c>
      <c r="B2" s="3" t="s">
        <v>5886</v>
      </c>
      <c r="C2" s="3" t="s">
        <v>5887</v>
      </c>
    </row>
    <row r="3" customFormat="false" ht="15" hidden="false" customHeight="false" outlineLevel="0" collapsed="false">
      <c r="A3" s="2" t="s">
        <v>123</v>
      </c>
      <c r="B3" s="2" t="s">
        <v>124</v>
      </c>
      <c r="C3" s="2" t="s">
        <v>5888</v>
      </c>
    </row>
    <row r="4" customFormat="false" ht="15" hidden="false" customHeight="false" outlineLevel="0" collapsed="false">
      <c r="A4" s="2" t="s">
        <v>77</v>
      </c>
      <c r="B4" s="2" t="s">
        <v>78</v>
      </c>
      <c r="C4" s="2" t="s">
        <v>5889</v>
      </c>
    </row>
    <row r="5" customFormat="false" ht="15" hidden="false" customHeight="false" outlineLevel="0" collapsed="false">
      <c r="A5" s="2" t="s">
        <v>96</v>
      </c>
      <c r="B5" s="2" t="s">
        <v>97</v>
      </c>
      <c r="C5" s="2" t="s">
        <v>5890</v>
      </c>
    </row>
    <row r="6" customFormat="false" ht="15" hidden="false" customHeight="false" outlineLevel="0" collapsed="false">
      <c r="A6" s="2" t="s">
        <v>110</v>
      </c>
      <c r="B6" s="2" t="s">
        <v>111</v>
      </c>
      <c r="C6" s="2" t="s">
        <v>5891</v>
      </c>
    </row>
    <row r="7" customFormat="false" ht="15" hidden="false" customHeight="false" outlineLevel="0" collapsed="false">
      <c r="A7" s="2" t="s">
        <v>132</v>
      </c>
      <c r="B7" s="2" t="s">
        <v>133</v>
      </c>
      <c r="C7" s="2" t="s">
        <v>5892</v>
      </c>
    </row>
    <row r="8" customFormat="false" ht="15" hidden="false" customHeight="false" outlineLevel="0" collapsed="false">
      <c r="A8" s="2" t="s">
        <v>145</v>
      </c>
      <c r="B8" s="2" t="s">
        <v>146</v>
      </c>
      <c r="C8" s="2" t="s">
        <v>5893</v>
      </c>
    </row>
    <row r="10" customFormat="false" ht="15" hidden="false" customHeight="false" outlineLevel="0" collapsed="false">
      <c r="A10" s="8" t="s">
        <v>5894</v>
      </c>
    </row>
    <row r="11" customFormat="false" ht="15" hidden="false" customHeight="false" outlineLevel="0" collapsed="false">
      <c r="A11" s="3" t="s">
        <v>5885</v>
      </c>
      <c r="B11" s="3" t="s">
        <v>5661</v>
      </c>
      <c r="C11" s="3" t="s">
        <v>5895</v>
      </c>
    </row>
    <row r="12" customFormat="false" ht="15" hidden="false" customHeight="false" outlineLevel="0" collapsed="false">
      <c r="A12" s="2" t="s">
        <v>5896</v>
      </c>
      <c r="B12" s="2" t="s">
        <v>79</v>
      </c>
      <c r="C12" s="2" t="s">
        <v>5897</v>
      </c>
    </row>
    <row r="13" customFormat="false" ht="15" hidden="false" customHeight="false" outlineLevel="0" collapsed="false">
      <c r="A13" s="2" t="s">
        <v>5898</v>
      </c>
      <c r="B13" s="2" t="s">
        <v>98</v>
      </c>
      <c r="C13" s="2" t="s">
        <v>5899</v>
      </c>
    </row>
    <row r="14" customFormat="false" ht="15" hidden="false" customHeight="false" outlineLevel="0" collapsed="false">
      <c r="A14" s="2" t="s">
        <v>5900</v>
      </c>
      <c r="B14" s="2" t="s">
        <v>165</v>
      </c>
      <c r="C14" s="2" t="s">
        <v>5901</v>
      </c>
    </row>
    <row r="15" customFormat="false" ht="15" hidden="false" customHeight="false" outlineLevel="0" collapsed="false">
      <c r="A15" s="2" t="s">
        <v>5902</v>
      </c>
      <c r="B15" s="2" t="s">
        <v>1362</v>
      </c>
      <c r="C15" s="2" t="s">
        <v>5903</v>
      </c>
    </row>
    <row r="17" customFormat="false" ht="15" hidden="false" customHeight="false" outlineLevel="0" collapsed="false">
      <c r="A17" s="8" t="s">
        <v>5904</v>
      </c>
    </row>
    <row r="18" customFormat="false" ht="15" hidden="false" customHeight="false" outlineLevel="0" collapsed="false">
      <c r="A18" s="3" t="s">
        <v>5885</v>
      </c>
      <c r="B18" s="3" t="s">
        <v>25</v>
      </c>
      <c r="C18" s="3" t="s">
        <v>5661</v>
      </c>
      <c r="D18" s="3" t="s">
        <v>5905</v>
      </c>
    </row>
    <row r="19" customFormat="false" ht="15" hidden="false" customHeight="false" outlineLevel="0" collapsed="false">
      <c r="A19" s="2" t="s">
        <v>1331</v>
      </c>
      <c r="B19" s="2" t="s">
        <v>123</v>
      </c>
      <c r="C19" s="2" t="s">
        <v>1332</v>
      </c>
      <c r="D19" s="2" t="s">
        <v>5906</v>
      </c>
    </row>
    <row r="20" customFormat="false" ht="15" hidden="false" customHeight="false" outlineLevel="0" collapsed="false">
      <c r="A20" s="2" t="s">
        <v>1374</v>
      </c>
      <c r="B20" s="2" t="s">
        <v>123</v>
      </c>
      <c r="C20" s="2" t="s">
        <v>1375</v>
      </c>
      <c r="D20" s="2" t="s">
        <v>5907</v>
      </c>
    </row>
    <row r="21" customFormat="false" ht="15" hidden="false" customHeight="false" outlineLevel="0" collapsed="false">
      <c r="A21" s="2" t="s">
        <v>1396</v>
      </c>
      <c r="B21" s="2" t="s">
        <v>123</v>
      </c>
      <c r="C21" s="2" t="s">
        <v>1397</v>
      </c>
      <c r="D21" s="2" t="s">
        <v>5908</v>
      </c>
    </row>
    <row r="22" customFormat="false" ht="15" hidden="false" customHeight="false" outlineLevel="0" collapsed="false">
      <c r="A22" s="2" t="s">
        <v>1419</v>
      </c>
      <c r="B22" s="2" t="s">
        <v>123</v>
      </c>
      <c r="C22" s="2" t="s">
        <v>1420</v>
      </c>
      <c r="D22" s="2" t="s">
        <v>5909</v>
      </c>
    </row>
    <row r="23" customFormat="false" ht="15" hidden="false" customHeight="false" outlineLevel="0" collapsed="false">
      <c r="A23" s="2" t="s">
        <v>1441</v>
      </c>
      <c r="B23" s="2" t="s">
        <v>77</v>
      </c>
      <c r="C23" s="2" t="s">
        <v>1442</v>
      </c>
      <c r="D23" s="2" t="s">
        <v>5910</v>
      </c>
    </row>
    <row r="24" customFormat="false" ht="15" hidden="false" customHeight="false" outlineLevel="0" collapsed="false">
      <c r="A24" s="2" t="s">
        <v>177</v>
      </c>
      <c r="B24" s="2" t="s">
        <v>77</v>
      </c>
      <c r="C24" s="2" t="s">
        <v>178</v>
      </c>
      <c r="D24" s="2" t="s">
        <v>5911</v>
      </c>
    </row>
    <row r="25" customFormat="false" ht="15" hidden="false" customHeight="false" outlineLevel="0" collapsed="false">
      <c r="A25" s="2" t="s">
        <v>1482</v>
      </c>
      <c r="B25" s="2" t="s">
        <v>77</v>
      </c>
      <c r="C25" s="2" t="s">
        <v>1483</v>
      </c>
      <c r="D25" s="2" t="s">
        <v>5912</v>
      </c>
    </row>
    <row r="26" customFormat="false" ht="15" hidden="false" customHeight="false" outlineLevel="0" collapsed="false">
      <c r="A26" s="2" t="s">
        <v>226</v>
      </c>
      <c r="B26" s="2" t="s">
        <v>77</v>
      </c>
      <c r="C26" s="2" t="s">
        <v>227</v>
      </c>
      <c r="D26" s="2" t="s">
        <v>5913</v>
      </c>
    </row>
    <row r="27" customFormat="false" ht="15" hidden="false" customHeight="false" outlineLevel="0" collapsed="false">
      <c r="A27" s="2" t="s">
        <v>1523</v>
      </c>
      <c r="B27" s="2" t="s">
        <v>96</v>
      </c>
      <c r="C27" s="2" t="s">
        <v>1524</v>
      </c>
      <c r="D27" s="2" t="s">
        <v>5914</v>
      </c>
    </row>
    <row r="28" customFormat="false" ht="15" hidden="false" customHeight="false" outlineLevel="0" collapsed="false">
      <c r="A28" s="2" t="s">
        <v>1544</v>
      </c>
      <c r="B28" s="2" t="s">
        <v>96</v>
      </c>
      <c r="C28" s="2" t="s">
        <v>1545</v>
      </c>
      <c r="D28" s="2" t="s">
        <v>5915</v>
      </c>
    </row>
    <row r="29" customFormat="false" ht="15" hidden="false" customHeight="false" outlineLevel="0" collapsed="false">
      <c r="A29" s="2" t="s">
        <v>1566</v>
      </c>
      <c r="B29" s="2" t="s">
        <v>96</v>
      </c>
      <c r="C29" s="2" t="s">
        <v>1567</v>
      </c>
      <c r="D29" s="2" t="s">
        <v>5916</v>
      </c>
    </row>
    <row r="30" customFormat="false" ht="15" hidden="false" customHeight="false" outlineLevel="0" collapsed="false">
      <c r="A30" s="2" t="s">
        <v>1587</v>
      </c>
      <c r="B30" s="2" t="s">
        <v>96</v>
      </c>
      <c r="C30" s="2" t="s">
        <v>1588</v>
      </c>
      <c r="D30" s="2" t="s">
        <v>5917</v>
      </c>
    </row>
    <row r="31" customFormat="false" ht="15" hidden="false" customHeight="false" outlineLevel="0" collapsed="false">
      <c r="A31" s="2" t="s">
        <v>1609</v>
      </c>
      <c r="B31" s="2" t="s">
        <v>110</v>
      </c>
      <c r="C31" s="2" t="s">
        <v>1610</v>
      </c>
      <c r="D31" s="2" t="s">
        <v>5918</v>
      </c>
    </row>
    <row r="32" customFormat="false" ht="15" hidden="false" customHeight="false" outlineLevel="0" collapsed="false">
      <c r="A32" s="2" t="s">
        <v>1631</v>
      </c>
      <c r="B32" s="2" t="s">
        <v>110</v>
      </c>
      <c r="C32" s="2" t="s">
        <v>1632</v>
      </c>
      <c r="D32" s="2" t="s">
        <v>5919</v>
      </c>
    </row>
    <row r="33" customFormat="false" ht="15" hidden="false" customHeight="false" outlineLevel="0" collapsed="false">
      <c r="A33" s="2" t="s">
        <v>1653</v>
      </c>
      <c r="B33" s="2" t="s">
        <v>110</v>
      </c>
      <c r="C33" s="2" t="s">
        <v>1654</v>
      </c>
      <c r="D33" s="2" t="s">
        <v>5920</v>
      </c>
    </row>
    <row r="34" customFormat="false" ht="15" hidden="false" customHeight="false" outlineLevel="0" collapsed="false">
      <c r="A34" s="2" t="s">
        <v>1676</v>
      </c>
      <c r="B34" s="2" t="s">
        <v>110</v>
      </c>
      <c r="C34" s="2" t="s">
        <v>1677</v>
      </c>
      <c r="D34" s="2" t="s">
        <v>5921</v>
      </c>
    </row>
    <row r="35" customFormat="false" ht="15" hidden="false" customHeight="false" outlineLevel="0" collapsed="false">
      <c r="A35" s="2" t="s">
        <v>1699</v>
      </c>
      <c r="B35" s="2" t="s">
        <v>132</v>
      </c>
      <c r="C35" s="2" t="s">
        <v>1700</v>
      </c>
      <c r="D35" s="2" t="s">
        <v>5922</v>
      </c>
    </row>
    <row r="36" customFormat="false" ht="15" hidden="false" customHeight="false" outlineLevel="0" collapsed="false">
      <c r="A36" s="2" t="s">
        <v>1722</v>
      </c>
      <c r="B36" s="2" t="s">
        <v>132</v>
      </c>
      <c r="C36" s="2" t="s">
        <v>1723</v>
      </c>
      <c r="D36" s="2" t="s">
        <v>5923</v>
      </c>
    </row>
    <row r="37" customFormat="false" ht="15" hidden="false" customHeight="false" outlineLevel="0" collapsed="false">
      <c r="A37" s="2" t="s">
        <v>1745</v>
      </c>
      <c r="B37" s="2" t="s">
        <v>132</v>
      </c>
      <c r="C37" s="2" t="s">
        <v>1746</v>
      </c>
      <c r="D37" s="2" t="s">
        <v>5924</v>
      </c>
    </row>
    <row r="38" customFormat="false" ht="15" hidden="false" customHeight="false" outlineLevel="0" collapsed="false">
      <c r="A38" s="2" t="s">
        <v>1767</v>
      </c>
      <c r="B38" s="2" t="s">
        <v>132</v>
      </c>
      <c r="C38" s="2" t="s">
        <v>1768</v>
      </c>
      <c r="D38" s="2" t="s">
        <v>5925</v>
      </c>
    </row>
    <row r="39" customFormat="false" ht="15" hidden="false" customHeight="false" outlineLevel="0" collapsed="false">
      <c r="A39" s="2" t="s">
        <v>304</v>
      </c>
      <c r="B39" s="2" t="s">
        <v>145</v>
      </c>
      <c r="C39" s="2" t="s">
        <v>305</v>
      </c>
      <c r="D39" s="2" t="s">
        <v>5926</v>
      </c>
    </row>
    <row r="40" customFormat="false" ht="15" hidden="false" customHeight="false" outlineLevel="0" collapsed="false">
      <c r="A40" s="2" t="s">
        <v>1807</v>
      </c>
      <c r="B40" s="2" t="s">
        <v>145</v>
      </c>
      <c r="C40" s="2" t="s">
        <v>1808</v>
      </c>
      <c r="D40" s="2" t="s">
        <v>5927</v>
      </c>
    </row>
    <row r="41" customFormat="false" ht="15" hidden="false" customHeight="false" outlineLevel="0" collapsed="false">
      <c r="A41" s="2" t="s">
        <v>1831</v>
      </c>
      <c r="B41" s="2" t="s">
        <v>145</v>
      </c>
      <c r="C41" s="2" t="s">
        <v>1832</v>
      </c>
      <c r="D41" s="2" t="s">
        <v>5928</v>
      </c>
    </row>
    <row r="42" customFormat="false" ht="15" hidden="false" customHeight="false" outlineLevel="0" collapsed="false">
      <c r="A42" s="2" t="s">
        <v>1854</v>
      </c>
      <c r="B42" s="2" t="s">
        <v>145</v>
      </c>
      <c r="C42" s="2" t="s">
        <v>1855</v>
      </c>
      <c r="D42" s="2" t="s">
        <v>5929</v>
      </c>
    </row>
    <row r="44" customFormat="false" ht="15" hidden="false" customHeight="false" outlineLevel="0" collapsed="false">
      <c r="A44" s="8" t="s">
        <v>5930</v>
      </c>
    </row>
    <row r="45" customFormat="false" ht="15" hidden="false" customHeight="false" outlineLevel="0" collapsed="false">
      <c r="A45" s="3" t="s">
        <v>5885</v>
      </c>
      <c r="B45" s="3" t="s">
        <v>5661</v>
      </c>
      <c r="C45" s="3" t="s">
        <v>5931</v>
      </c>
    </row>
    <row r="46" customFormat="false" ht="46.25" hidden="false" customHeight="false" outlineLevel="0" collapsed="false">
      <c r="A46" s="2" t="s">
        <v>5932</v>
      </c>
      <c r="B46" s="2" t="s">
        <v>5873</v>
      </c>
      <c r="C46" s="2" t="s">
        <v>5933</v>
      </c>
    </row>
    <row r="47" customFormat="false" ht="35.05" hidden="false" customHeight="false" outlineLevel="0" collapsed="false">
      <c r="A47" s="2" t="s">
        <v>5934</v>
      </c>
      <c r="B47" s="2" t="s">
        <v>374</v>
      </c>
      <c r="C47" s="2" t="s">
        <v>5935</v>
      </c>
    </row>
    <row r="48" customFormat="false" ht="35.05" hidden="false" customHeight="false" outlineLevel="0" collapsed="false">
      <c r="A48" s="2" t="s">
        <v>5279</v>
      </c>
      <c r="B48" s="2" t="s">
        <v>385</v>
      </c>
      <c r="C48" s="2" t="s">
        <v>5936</v>
      </c>
    </row>
    <row r="49" customFormat="false" ht="35.05" hidden="false" customHeight="false" outlineLevel="0" collapsed="false">
      <c r="A49" s="2" t="s">
        <v>5937</v>
      </c>
      <c r="B49" s="2" t="s">
        <v>397</v>
      </c>
      <c r="C49" s="2" t="s">
        <v>5938</v>
      </c>
    </row>
    <row r="50" customFormat="false" ht="35.05" hidden="false" customHeight="false" outlineLevel="0" collapsed="false">
      <c r="A50" s="2" t="s">
        <v>5939</v>
      </c>
      <c r="B50" s="2" t="s">
        <v>539</v>
      </c>
      <c r="C50" s="2" t="s">
        <v>5940</v>
      </c>
    </row>
    <row r="51" customFormat="false" ht="35.05" hidden="false" customHeight="false" outlineLevel="0" collapsed="false">
      <c r="A51" s="2" t="s">
        <v>5941</v>
      </c>
      <c r="B51" s="2" t="s">
        <v>5874</v>
      </c>
      <c r="C51" s="2" t="s">
        <v>5942</v>
      </c>
    </row>
    <row r="52" customFormat="false" ht="35.05" hidden="false" customHeight="false" outlineLevel="0" collapsed="false">
      <c r="A52" s="2" t="s">
        <v>5943</v>
      </c>
      <c r="B52" s="2" t="s">
        <v>420</v>
      </c>
      <c r="C52" s="2" t="s">
        <v>5944</v>
      </c>
    </row>
    <row r="53" customFormat="false" ht="35.05" hidden="false" customHeight="false" outlineLevel="0" collapsed="false">
      <c r="A53" s="2" t="s">
        <v>5945</v>
      </c>
      <c r="B53" s="2" t="s">
        <v>410</v>
      </c>
      <c r="C53" s="2" t="s">
        <v>5946</v>
      </c>
    </row>
    <row r="55" customFormat="false" ht="15" hidden="false" customHeight="false" outlineLevel="0" collapsed="false">
      <c r="A55" s="8" t="s">
        <v>5947</v>
      </c>
    </row>
    <row r="56" customFormat="false" ht="15" hidden="false" customHeight="false" outlineLevel="0" collapsed="false">
      <c r="A56" s="3" t="s">
        <v>5885</v>
      </c>
      <c r="B56" s="3" t="s">
        <v>5661</v>
      </c>
      <c r="C56" s="3" t="s">
        <v>5931</v>
      </c>
    </row>
    <row r="57" customFormat="false" ht="15" hidden="false" customHeight="false" outlineLevel="0" collapsed="false">
      <c r="A57" s="2" t="s">
        <v>5932</v>
      </c>
      <c r="B57" s="2" t="s">
        <v>5877</v>
      </c>
      <c r="C57" s="2"/>
    </row>
    <row r="58" customFormat="false" ht="23.85" hidden="false" customHeight="false" outlineLevel="0" collapsed="false">
      <c r="A58" s="2" t="s">
        <v>5948</v>
      </c>
      <c r="B58" s="2" t="s">
        <v>1835</v>
      </c>
      <c r="C58" s="2" t="s">
        <v>5949</v>
      </c>
    </row>
    <row r="59" customFormat="false" ht="23.85" hidden="false" customHeight="false" outlineLevel="0" collapsed="false">
      <c r="A59" s="2" t="s">
        <v>5950</v>
      </c>
      <c r="B59" s="2" t="s">
        <v>5878</v>
      </c>
      <c r="C59" s="2" t="s">
        <v>5951</v>
      </c>
    </row>
    <row r="60" customFormat="false" ht="15" hidden="false" customHeight="false" outlineLevel="0" collapsed="false">
      <c r="A60" s="2" t="s">
        <v>5952</v>
      </c>
      <c r="B60" s="2" t="s">
        <v>268</v>
      </c>
      <c r="C60" s="2" t="s">
        <v>5953</v>
      </c>
    </row>
    <row r="61" customFormat="false" ht="15" hidden="false" customHeight="false" outlineLevel="0" collapsed="false">
      <c r="A61" s="2" t="s">
        <v>5954</v>
      </c>
      <c r="B61" s="2" t="s">
        <v>338</v>
      </c>
      <c r="C61" s="2" t="s">
        <v>5955</v>
      </c>
    </row>
    <row r="62" customFormat="false" ht="23.85" hidden="false" customHeight="false" outlineLevel="0" collapsed="false">
      <c r="A62" s="2" t="s">
        <v>5956</v>
      </c>
      <c r="B62" s="2" t="s">
        <v>1811</v>
      </c>
      <c r="C62" s="2" t="s">
        <v>5957</v>
      </c>
    </row>
    <row r="64" customFormat="false" ht="15" hidden="false" customHeight="false" outlineLevel="0" collapsed="false">
      <c r="A64" s="8" t="s">
        <v>5958</v>
      </c>
    </row>
    <row r="65" customFormat="false" ht="15" hidden="false" customHeight="false" outlineLevel="0" collapsed="false">
      <c r="A65" s="3" t="s">
        <v>5885</v>
      </c>
      <c r="B65" s="3" t="s">
        <v>5661</v>
      </c>
      <c r="C65" s="3" t="s">
        <v>5931</v>
      </c>
    </row>
    <row r="66" customFormat="false" ht="35.05" hidden="false" customHeight="false" outlineLevel="0" collapsed="false">
      <c r="A66" s="2" t="s">
        <v>5959</v>
      </c>
      <c r="B66" s="2" t="s">
        <v>5881</v>
      </c>
      <c r="C66" s="2" t="s">
        <v>5960</v>
      </c>
    </row>
    <row r="67" customFormat="false" ht="35.05" hidden="false" customHeight="false" outlineLevel="0" collapsed="false">
      <c r="A67" s="2" t="s">
        <v>5961</v>
      </c>
      <c r="B67" s="2" t="s">
        <v>1400</v>
      </c>
      <c r="C67" s="2" t="s">
        <v>5962</v>
      </c>
    </row>
    <row r="68" customFormat="false" ht="35.05" hidden="false" customHeight="false" outlineLevel="0" collapsed="false">
      <c r="A68" s="2" t="s">
        <v>5934</v>
      </c>
      <c r="B68" s="2" t="s">
        <v>5882</v>
      </c>
      <c r="C68" s="2" t="s">
        <v>5963</v>
      </c>
    </row>
    <row r="69" customFormat="false" ht="35.05" hidden="false" customHeight="false" outlineLevel="0" collapsed="false">
      <c r="A69" s="2" t="s">
        <v>5279</v>
      </c>
      <c r="B69" s="2" t="s">
        <v>772</v>
      </c>
      <c r="C69" s="2" t="s">
        <v>5964</v>
      </c>
    </row>
    <row r="70" customFormat="false" ht="46.25" hidden="false" customHeight="false" outlineLevel="0" collapsed="false">
      <c r="A70" s="2" t="s">
        <v>5965</v>
      </c>
      <c r="B70" s="2" t="s">
        <v>180</v>
      </c>
      <c r="C70" s="2" t="s">
        <v>5966</v>
      </c>
    </row>
    <row r="71" customFormat="false" ht="46.25" hidden="false" customHeight="false" outlineLevel="0" collapsed="false">
      <c r="A71" s="2" t="s">
        <v>5967</v>
      </c>
      <c r="B71" s="2" t="s">
        <v>5883</v>
      </c>
      <c r="C71" s="2" t="s">
        <v>5968</v>
      </c>
    </row>
    <row r="73" customFormat="false" ht="15" hidden="false" customHeight="false" outlineLevel="0" collapsed="false">
      <c r="A73" s="8" t="s">
        <v>5969</v>
      </c>
    </row>
    <row r="74" customFormat="false" ht="15" hidden="false" customHeight="false" outlineLevel="0" collapsed="false">
      <c r="A74" s="3" t="s">
        <v>5885</v>
      </c>
      <c r="B74" s="3" t="s">
        <v>5661</v>
      </c>
      <c r="C74" s="3" t="s">
        <v>5970</v>
      </c>
    </row>
    <row r="75" customFormat="false" ht="15" hidden="false" customHeight="false" outlineLevel="0" collapsed="false">
      <c r="A75" s="2" t="s">
        <v>5971</v>
      </c>
      <c r="B75" s="2" t="s">
        <v>5972</v>
      </c>
      <c r="C75" s="2" t="n">
        <v>12</v>
      </c>
    </row>
    <row r="76" customFormat="false" ht="15" hidden="false" customHeight="false" outlineLevel="0" collapsed="false">
      <c r="A76" s="2" t="s">
        <v>5973</v>
      </c>
      <c r="B76" s="2" t="s">
        <v>5974</v>
      </c>
      <c r="C76" s="2" t="n">
        <v>20</v>
      </c>
    </row>
    <row r="77" customFormat="false" ht="15" hidden="false" customHeight="false" outlineLevel="0" collapsed="false">
      <c r="A77" s="2" t="s">
        <v>5975</v>
      </c>
      <c r="B77" s="2" t="s">
        <v>5976</v>
      </c>
      <c r="C77" s="2" t="n">
        <v>20</v>
      </c>
    </row>
    <row r="78" customFormat="false" ht="15" hidden="false" customHeight="false" outlineLevel="0" collapsed="false">
      <c r="A78" s="2" t="s">
        <v>5496</v>
      </c>
      <c r="B78" s="2" t="s">
        <v>5977</v>
      </c>
      <c r="C78"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2026-09-10T03:53:58Z</dcterms:created>
  <dc:creator>openpyxl</dc:creator>
  <dc:description/>
  <dc:language>en-US</dc:language>
  <cp:lastModifiedBy/>
  <dcterms:modified xsi:type="dcterms:W3CDTF">2026-09-10T03:54:01Z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