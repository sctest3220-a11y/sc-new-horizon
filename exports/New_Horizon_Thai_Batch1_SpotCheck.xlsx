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Spot check" sheetId="2" state="visible" r:id="rId4"/>
    <sheet name="Batch context" sheetId="3" state="visible" r:id="rId5"/>
    <sheet name="Decision" sheetId="4" state="visible" r:id="rId6"/>
  </sheets>
  <definedNames>
    <definedName function="false" hidden="true" localSheetId="1" name="_xlnm._FilterDatabase" vbProcedure="false">'Spot check'!$A$1:$R$21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<sst xmlns="http://schemas.openxmlformats.org/spreadsheetml/2006/main" count="356" uniqueCount="221">
  <si>
    <t xml:space="preserve">New Horizon — Thai Batch 1 Second-Reviewer Spot Check</t>
  </si>
  <si>
    <t xml:space="preserve">Generated 2026-09-11 from kj-dee-branch @ 02b5498. 20 of the 163 'reviewed' items, stratified: 9 single-choice, 3 multi-select, 2 matching, 2 free-text, 2 drag-order, 2 multi-part; all six domains; one Horizon inline item.</t>
  </si>
  <si>
    <t xml:space="preserve">PURPOSE</t>
  </si>
  <si>
    <t xml:space="preserve">A second native Thai reader independently confirms the first review before batch 1 is promoted from 'reviewed' to 'approved' and the Thai toggle leaves pilot-only status. You are checking the Thai as a user would experience it, not re-translating.</t>
  </si>
  <si>
    <t xml:space="preserve">HOW</t>
  </si>
  <si>
    <t xml:space="preserve">Sheet 'Spot check' — one row per question with the Thai exactly as the app shows it (scenario, prompt, choices with ✔ on the key, feedback EN ⇄ TH). Answer the question in Thai first, THEN look at the key. If the Thai led you to a different answer than the English key, mark 'Key still unambiguous?' = No and explain.</t>
  </si>
  <si>
    <t xml:space="preserve">Fill: Would a Thai colleague understand this on first read? (Yes / Mostly / No) · Key still unambiguous? (Yes / No) · Any wrong or unnatural term? (free text) · Verdict (Approve / Fix / Rewrite) · Comment.</t>
  </si>
  <si>
    <t xml:space="preserve">Decision rule: if 18 or more of the 20 are Approve and no item has 'Key still unambiguous? = No', batch 1 is promoted to 'approved'. Otherwise the flagged pattern is fixed across all 163 items first, and a fresh 20-item sample is drawn.</t>
  </si>
  <si>
    <t xml:space="preserve">Sheet 'Batch context' lists the first-review outcome for these items (all were 'Fix in cell', with 39/163 scenarios and 32/163 prompts reworded).</t>
  </si>
  <si>
    <t xml:space="preserve">Question ID</t>
  </si>
  <si>
    <t xml:space="preserve">Domain</t>
  </si>
  <si>
    <t xml:space="preserve">Type</t>
  </si>
  <si>
    <t xml:space="preserve">Interaction</t>
  </si>
  <si>
    <t xml:space="preserve">EN — Scenario</t>
  </si>
  <si>
    <t xml:space="preserve">EN — Prompt</t>
  </si>
  <si>
    <t xml:space="preserve">EN — Choices (✔ key)</t>
  </si>
  <si>
    <t xml:space="preserve">TH — Scenario</t>
  </si>
  <si>
    <t xml:space="preserve">TH — Prompt</t>
  </si>
  <si>
    <t xml:space="preserve">TH — Choices (✔ key)</t>
  </si>
  <si>
    <t xml:space="preserve">Feedback EN ⇄ TH</t>
  </si>
  <si>
    <t xml:space="preserve">Rubric / rationale EN | TH</t>
  </si>
  <si>
    <t xml:space="preserve">Reviewer</t>
  </si>
  <si>
    <t xml:space="preserve">Understood on first read?</t>
  </si>
  <si>
    <t xml:space="preserve">Key still unambiguous?</t>
  </si>
  <si>
    <t xml:space="preserve">Wrong or unnatural term?</t>
  </si>
  <si>
    <t xml:space="preserve">Verdict</t>
  </si>
  <si>
    <t xml:space="preserve">Comment</t>
  </si>
  <si>
    <t xml:space="preserve">COMP-D1-SYSTEMS-002</t>
  </si>
  <si>
    <t xml:space="preserve">D1</t>
  </si>
  <si>
    <t xml:space="preserve">report-review</t>
  </si>
  <si>
    <t xml:space="preserve">single</t>
  </si>
  <si>
    <t xml:space="preserve">A manager says, “It is just a chatbot, so there is no privacy issue.” The screenshot shows calendar, email, and CRM connectors enabled.</t>
  </si>
  <si>
    <t xml:space="preserve">What is the best correction?</t>
  </si>
  <si>
    <t xml:space="preserve">✔ The app matters because tools and memory can expose or act on user data.
· The model name alone tells us all operational risk.
· Privacy is only relevant if the chatbot writes code.
· The safest fix is to disable every AI tool permanently.</t>
  </si>
  <si>
    <t xml:space="preserve">ผู้จัดการคนหนึ่งบอกว่า “มันก็แค่แชตบอต ไม่มีปัญหาเรื่องความเป็นส่วนตัวหรอก” แต่ภาพหน้าจอแสดงว่ามีการเปิดใช้ตัวเชื่อมต่อปฏิทิน อีเมล และ CRM อยู่</t>
  </si>
  <si>
    <t xml:space="preserve">คำแก้ไขความเข้าใจที่ดีที่สุดคืออะไร</t>
  </si>
  <si>
    <t xml:space="preserve">✔ ตัวแอปสำคัญ เพราะเครื่องมือและหน่วยความจำอาจเปิดเผยหรือกระทำการกับข้อมูลของผู้ใช้ได้
· แค่รู้ชื่อโมเดลก็บอกความเสี่ยงในการใช้งานได้ทั้งหมดแล้ว
· ความเป็นส่วนตัวจะเกี่ยวข้องก็ต่อเมื่อแชตบอตเขียนโค้ดเท่านั้น
· ทางแก้ที่ปลอดภัยที่สุดคือปิดเครื่องมือ AI ทุกตัวอย่างถาวร</t>
  </si>
  <si>
    <t xml:space="preserve">✔ Correct. System literacy includes tools, permissions, memory, and context. ⇄ ถูกต้อง ความเข้าใจระบบครอบคลุมทั้งเครื่องมือ สิทธิ์ หน่วยความจำ และบริบท
· The model matters, but the app configuration can change the risk substantially. ⇄ โมเดลมีผลจริง แต่การตั้งค่าของแอปเปลี่ยนระดับความเสี่ยงได้อย่างมาก
· Privacy risk depends on data access and use, not only coding. ⇄ ความเสี่ยงด้านความเป็นส่วนตัวขึ้นอยู่กับการเข้าถึงและการใช้ข้อมูล ไม่ใช่แค่การเขียนโค้ด
· Too blunt. Better to scope connectors, permissions, and review gates. ⇄ รุนแรงเกินไป ควรจำกัดขอบเขตตัวเชื่อมต่อ สิทธิ์ และจุดตรวจทานจะดีกว่า</t>
  </si>
  <si>
    <t xml:space="preserve">EXEC-D6-010</t>
  </si>
  <si>
    <t xml:space="preserve">D6</t>
  </si>
  <si>
    <t xml:space="preserve">scenario</t>
  </si>
  <si>
    <t xml:space="preserve">A function head asks to reduce headcount immediately because a demo showed an AI assistant drafting work quickly.</t>
  </si>
  <si>
    <t xml:space="preserve">What is the best leadership response?</t>
  </si>
  <si>
    <t xml:space="preserve">· Approve the reduction based on the demo.
✔ Require workflow evidence, quality measures, role redesign, and capability planning before workforce decisions.
· Ban the AI assistant to avoid difficult questions.
· Tell employees nothing until reductions are final.</t>
  </si>
  <si>
    <t xml:space="preserve">หัวหน้าสายงานคนหนึ่งขอลดจำนวนพนักงานทันที เพราะเห็นการสาธิตที่ผู้ช่วย AI ร่างงานได้อย่างรวดเร็ว</t>
  </si>
  <si>
    <t xml:space="preserve">ผู้นำควรตอบอย่างไรจึงจะดีที่สุด</t>
  </si>
  <si>
    <t xml:space="preserve">· อนุมัติการลดจำนวนพนักงานตามที่เห็นจากการสาธิต
✔ กำหนดให้ต้องมีหลักฐานจาก workflow จริง การวัดคุณภาพ การออกแบบบทบาทงานใหม่ และแผนพัฒนาความสามารถ ก่อนตัดสินใจเรื่องกำลังคน
· สั่งห้ามใช้ผู้ช่วย AI เพื่อเลี่ยงคำถามที่ตอบยาก
· ไม่บอกอะไรพนักงานเลยจนกว่าการลดคนจะสรุปแล้ว</t>
  </si>
  <si>
    <t xml:space="preserve">· A demo is not workforce evidence. ⇄ การสาธิตไม่ใช่หลักฐานเรื่องกำลังคน
✔ Correct. Workforce redesign needs evidence and care. ⇄ ถูกต้อง การออกแบบกำลังคนใหม่ต้องอาศัยหลักฐานและความรอบคอบ
· Avoidance does not build capability. ⇄ การหลบเลี่ยงไม่ได้สร้างความสามารถให้องค์กร
· This damages trust and adoption. ⇄ วิธีนี้บั่นทอนความไว้วางใจและการยอมรับการใช้ AI</t>
  </si>
  <si>
    <t xml:space="preserve">CAL-D3-VERIFY-017</t>
  </si>
  <si>
    <t xml:space="preserve">D3</t>
  </si>
  <si>
    <t xml:space="preserve">A manager says the chart proves the AI rollout increased productivity by 38%.</t>
  </si>
  <si>
    <t xml:space="preserve">What is the best critique?</t>
  </si>
  <si>
    <t xml:space="preserve">✔ The chart needs baseline, comparison group, and quality checks before causal claims.
· The claim is true because the chart uses a large number.
· The chart is useless because all AI dashboards are biased.
· The only issue is the chart color choice.</t>
  </si>
  <si>
    <t xml:space="preserve">ผู้จัดการบอกว่ากราฟนี้พิสูจน์ว่าการนำ AI มาใช้ทำให้ผลิตภาพเพิ่มขึ้น 38%</t>
  </si>
  <si>
    <t xml:space="preserve">ข้อวิจารณ์ใดดีที่สุด</t>
  </si>
  <si>
    <t xml:space="preserve">✔ กราฟนี้ต้องมีค่าฐาน (baseline) กลุ่มเปรียบเทียบ และการตรวจสอบคุณภาพข้อมูล ก่อนจะสรุปว่าเป็นเหตุเป็นผลกัน
· คำกล่าวอ้างนี้จริง เพราะกราฟแสดงตัวเลขที่สูงมาก
· กราฟนี้ใช้ไม่ได้ เพราะแดชบอร์ด AI ทุกตัวมีอคติ
· ปัญหาเดียวคือการเลือกใช้สีในกราฟ</t>
  </si>
  <si>
    <t xml:space="preserve">✔ Correct. Chart review needs causality and quality evidence. ⇄ ถูกต้อง การตรวจทานกราฟต้องดูทั้งความเป็นเหตุเป็นผลและคุณภาพของหลักฐาน
· A large number does not prove causality. ⇄ ตัวเลขที่สูงไม่ได้พิสูจน์ว่าเป็นเหตุเป็นผลกัน
· Too broad. The right critique is specific evidence quality. ⇄ กว้างเกินไป ข้อวิจารณ์ที่ถูกต้องคือคุณภาพของหลักฐานที่เจาะจง
· Visual polish is not the core evidence problem. ⇄ ความสวยงามของภาพไม่ใช่ปัญหาหลักด้านหลักฐาน</t>
  </si>
  <si>
    <t xml:space="preserve">D2-H-003</t>
  </si>
  <si>
    <t xml:space="preserve">D2</t>
  </si>
  <si>
    <t xml:space="preserve">You need the same quality board summary every month.</t>
  </si>
  <si>
    <t xml:space="preserve">Which design works best?</t>
  </si>
  <si>
    <t xml:space="preserve">✔ A reusable template with inputs, constraints, examples, review checks, and source links.
· A fresh free-form prompt every month.
· Ask for the most impressive summary possible.
· Skip source links to make it shorter.</t>
  </si>
  <si>
    <t xml:space="preserve">คุณต้องการสรุปสำหรับคณะกรรมการบริษัทที่มีคุณภาพเท่ากันทุกเดือน</t>
  </si>
  <si>
    <t xml:space="preserve">การออกแบบแบบใดได้ผลดีที่สุด</t>
  </si>
  <si>
    <t xml:space="preserve">✔ เทมเพลตที่ใช้ซ้ำได้ ระบุข้อมูลนำเข้า ข้อจำกัด ตัวอย่าง จุดตรวจทาน และลิงก์แหล่งข้อมูล
· เขียน prompt ใหม่แบบอิสระทุกเดือน
· สั่งให้ AI ทำสรุปที่ดูน่าประทับใจที่สุดเท่าที่จะทำได้
· ตัดลิงก์แหล่งข้อมูลออกเพื่อให้สั้นลง</t>
  </si>
  <si>
    <t xml:space="preserve">✔ Correct. Repeatability needs structured prompting and review. ⇄ ถูกต้อง การทำซ้ำให้ได้ผลเท่าเดิมต้องใช้ prompt ที่มีโครงสร้างและมีการตรวจทาน
· This creates inconsistent outputs. ⇄ วิธีนี้ทำให้ผลลัพธ์ไม่สม่ำเสมอ
· Impressive is not a measurable output constraint. ⇄ ความน่าประทับใจไม่ใช่ข้อกำหนดของผลลัพธ์ที่วัดได้
· Board summaries need traceability. ⇄ สรุปสำหรับคณะกรรมการบริษัทต้องตรวจสอบย้อนกลับไปยังแหล่งข้อมูลได้</t>
  </si>
  <si>
    <t xml:space="preserve">REL-H-D4-015</t>
  </si>
  <si>
    <t xml:space="preserve">D4</t>
  </si>
  <si>
    <t xml:space="preserve">reliance-decision</t>
  </si>
  <si>
    <t xml:space="preserve">Decide if a loan applicant is creditworthy. Your bank processes 800 loan applications per day. An AI model scores each one. The proposal is to automate approvals without any human reviewing individual decisions.</t>
  </si>
  <si>
    <t xml:space="preserve">Who should do the task?</t>
  </si>
  <si>
    <t xml:space="preserve">· Human-owned: keep judgment with the person.
✔ Shared with AI: use AI, then verify and decide.
· AI-led: let AI handle it end to end.</t>
  </si>
  <si>
    <t xml:space="preserve">ธนาคารของคุณมีใบสมัครขอสินเชื่อเข้ามา 800 รายการต่อวัน โดยมีโมเดล AI ช่วยประเมินคะแนนเครดิตของแต่ละคน และมีผู้จัดการคอยตรวจทานกรณีที่คะแนนก้ำกึ่ง</t>
  </si>
  <si>
    <t xml:space="preserve">ใครควรเป็นผู้รับผิดชอบงานนี้</t>
  </si>
  <si>
    <t xml:space="preserve">· คุณทำเอง: เก็บการตัดสินใจไว้กับคน
✔ ทำร่วมกับ AI: ใช้ AI ช่วย แล้วตรวจสอบและตัดสินใจเอง
· ให้ AI ทำ: ปล่อยให้ AI จัดการตั้งแต่ต้นจนจบ</t>
  </si>
  <si>
    <t xml:space="preserve">· Human review of 800 applications a day is unrealistic. The answer is scoring plus accountable human oversight, not no model. ⇄ ให้คนตรวจ 800 ใบต่อวันไม่สมจริง คำตอบคือให้โมเดลให้คะแนนพร้อมการกำกับดูแลของคนที่รับผิดชอบ ไม่ใช่ไม่มีโมเดล
✔ Best. Models can score risk, but unaudited automation has produced illegal discrimination. A human must be accountable and able to explain every decision. ⇄ ดีที่สุด โมเดลให้คะแนนความเสี่ยงได้ แต่การปล่อยอัตโนมัติโดยไม่ตรวจสอบเคยก่อให้เกิดการเลือกปฏิบัติที่ผิดกฎหมาย ต้องมีมนุษย์รับผิดชอบและอธิบายทุกการตัดสินใจได้
· Unsafe. Unaudited automated approvals have produced illegal discrimination; a human must be able to explain every decision. ⇄ ไม่ปลอดภัย การอนุมัติอัตโนมัติที่ไม่ได้ตรวจสอบเคยก่อการเลือกปฏิบัติที่ผิดกฎหมาย ต้องมีคนที่อธิบายทุกการตัดสินใจได้</t>
  </si>
  <si>
    <t xml:space="preserve">D5-M-002</t>
  </si>
  <si>
    <t xml:space="preserve">D5</t>
  </si>
  <si>
    <t xml:space="preserve">judgment</t>
  </si>
  <si>
    <t xml:space="preserve">A vendor promises 40% productivity gain from an AI tool but offers no baseline, pilot design, or adoption plan.</t>
  </si>
  <si>
    <t xml:space="preserve">How should the claim be handled?</t>
  </si>
  <si>
    <t xml:space="preserve">· Accept it because vendor benchmarks are enough.
✔ Run a scoped pilot with baseline metrics, risk controls, and success criteria.
· Reject every productivity tool.
· Buy first to avoid missing the trend.</t>
  </si>
  <si>
    <t xml:space="preserve">ผู้ขายรับประกันว่าเครื่องมือ AI จะเพิ่มผลิตภาพได้ 40% แต่ไม่มีค่าฐาน (baseline) ไม่มีการออกแบบ โครงการนำร่อง (Pilot) และไม่มีแผนทำให้คนใช้จริง</t>
  </si>
  <si>
    <t xml:space="preserve">ควรจัดการกับคำกล่าวอ้างนี้อย่างไร</t>
  </si>
  <si>
    <t xml:space="preserve">· รับไว้เลย เพราะ benchmark (ผลทดสอบเทียบ) ของผู้ขายก็เพียงพอแล้ว
✔ ทำโครงการนำร่อง (pilot) ในขอบเขตจำกัด พร้อมตัวชี้วัดค่าฐาน มาตรการควบคุมความเสี่ยง และเกณฑ์วัดความสำเร็จ
· ปฏิเสธเครื่องมือเพิ่มผลิตภาพทุกตัว
· ซื้อก่อน จะได้ไม่ตกกระแส</t>
  </si>
  <si>
    <t xml:space="preserve">· Benchmarks need local validation. ⇄ benchmark ต้องนำมาพิสูจน์กับงานจริงขององค์กรเองก่อน
✔ Correct. This turns a claim into testable evidence. ⇄ ถูกต้อง วิธีนี้เปลี่ยนคำกล่าวอ้างให้กลายเป็นหลักฐานที่ทดสอบได้
· Too broad. The issue is evidence and fit. ⇄ กว้างเกินไป ประเด็นอยู่ที่หลักฐานและความเหมาะกับงาน
· Speed without validation creates waste and risk. ⇄ ความเร็วที่ไม่มีการตรวจสอบสร้างทั้งความสูญเปล่าและความเสี่ยง</t>
  </si>
  <si>
    <t xml:space="preserve">D4-M-002</t>
  </si>
  <si>
    <t xml:space="preserve">A department wants AI to rank job applicants.</t>
  </si>
  <si>
    <t xml:space="preserve">What must happen before launch?</t>
  </si>
  <si>
    <t xml:space="preserve">✔ Bias, privacy, explainability, and human review checks.
· A more colorful dashboard.
· Let the vendor decide all policies.
· Launch first and audit next year.</t>
  </si>
  <si>
    <t xml:space="preserve">แผนกหนึ่งต้องการให้ AI จัดอันดับผู้สมัครงาน</t>
  </si>
  <si>
    <t xml:space="preserve">อะไรต้องเกิดขึ้นก่อนเปิดใช้งานจริง</t>
  </si>
  <si>
    <t xml:space="preserve">✔ การตรวจสอบเรื่องอคติ ความเป็นส่วนตัว การอธิบายผลได้ และการตรวจทานโดยคน
· ทำแดชบอร์ดให้สีสันสวยขึ้น
· ให้ผู้ขายเป็นคนกำหนดนโยบายทั้งหมด
· เปิดใช้งานก่อน แล้วค่อยตรวจสอบ (audit) ปีหน้า</t>
  </si>
  <si>
    <t xml:space="preserve">✔ Strong. Hiring is high-impact and needs layered governance. ⇄ ถูกต้อง การจ้างงานมีผลกระทบสูงและต้องมีการกำกับดูแล (governance) หลายชั้น
· Presentation does not address high-impact risk. ⇄ การนำเสนอไม่ได้จัดการความเสี่ยงที่มีผลกระทบสูง
· The organization still owns governance accountability. ⇄ องค์กรยังคงเป็นผู้รับผิดชอบการกำกับดูแลอยู่ดี
· Controls are needed before deployment. ⇄ ต้องมีมาตรการควบคุมก่อนนำไปใช้งานจริง</t>
  </si>
  <si>
    <t xml:space="preserve">D4-H-003</t>
  </si>
  <si>
    <t xml:space="preserve">An internal AI agent can read files, send emails, and update customer records.</t>
  </si>
  <si>
    <t xml:space="preserve">What control is mandatory?</t>
  </si>
  <si>
    <t xml:space="preserve">✔ Tool permissions, audit logs, approval gates, and least-privilege access.
· A friendly name for the agent.
· Unlimited access so it can be helpful.
· Only a launch announcement.</t>
  </si>
  <si>
    <t xml:space="preserve">AI agent ภายในองค์กรสามารถอ่านไฟล์ ส่งอีเมล และแก้ไขข้อมูลลูกค้าได้</t>
  </si>
  <si>
    <t xml:space="preserve">มาตรการควบคุมข้อใดที่ต้องมี</t>
  </si>
  <si>
    <t xml:space="preserve">✔ สิทธิ์เข้าถึงเครื่องมือ audit log จุดอนุมัติ และการให้สิทธิ์เท่าที่จำเป็น (least privilege)
· ตั้งชื่อเอเจนต์ให้ดูเป็นมิตร
· ให้สิทธิ์เข้าถึงไม่จำกัด จะได้ช่วยงานได้เต็มที่
· แค่ประกาศเปิดตัวให้ทุกคนรู้ก็พอ</t>
  </si>
  <si>
    <t xml:space="preserve">✔ Correct. Agentic systems need clear authority boundaries. ⇄ ถูกต้อง ระบบที่ทำงานแทนคนต้องมีขอบเขตอำนาจที่ชัดเจน
· Naming does not control action risk. ⇄ การตั้งชื่อไม่ได้ควบคุมความเสี่ยงจากการกระทำ
· Unlimited permissions create serious risk. ⇄ สิทธิ์ที่ไม่จำกัดสร้างความเสี่ยงร้ายแรง
· Communication is not a sufficient control. ⇄ การสื่อสารอย่างเดียวไม่ใช่มาตรการควบคุมที่เพียงพอ</t>
  </si>
  <si>
    <t xml:space="preserve">D5-TREND-007</t>
  </si>
  <si>
    <t xml:space="preserve">A colleague wants to buy a new AI agent platform because the vendor says agent-to-agent workflows are the next big trend.</t>
  </si>
  <si>
    <t xml:space="preserve">What is the best first question?</t>
  </si>
  <si>
    <t xml:space="preserve">✔ Which workflow problem, measurable outcome, data access, and human approval boundary does it solve?
· Can we announce it before competitors?
· Can it replace all employees in the workflow?
· Does the demo look futuristic?</t>
  </si>
  <si>
    <t xml:space="preserve">เพื่อนร่วมงานอยากซื้อแพลตฟอร์ม AI agent ตัวใหม่ เพราะผู้ขายบอกว่า workflow แบบเอเจนต์คุยกับเอเจนต์คือเทรนด์ใหญ่ถัดไป</t>
  </si>
  <si>
    <t xml:space="preserve">คำถามแรกที่ดีที่สุดคือข้อใด</t>
  </si>
  <si>
    <t xml:space="preserve">✔ มันแก้ปัญหาใน workflow ไหน ผลลัพธ์ที่วัดได้คืออะไร ต้องเข้าถึงข้อมูลใด และขอบเขตการอนุมัติโดยคนอยู่ตรงไหน
· เราประกาศก่อนคู่แข่งได้ไหม
· มันแทนที่พนักงานทุกคนใน workflow นี้ได้ไหม
· เดโมดูล้ำสมัยไหม</t>
  </si>
  <si>
    <t xml:space="preserve">✔ Correct. Trends matter only when tied to a real workflow and control model. ⇄ ถูกต้อง เทรนด์มีความหมายก็ต่อเมื่อผูกกับ workflow จริงและแบบจำลองการควบคุม
· Announcement value is not operational value. ⇄ คุณค่าจากการประกาศข่าวไม่ใช่คุณค่าในการทำงานจริง
· That skips task analysis, risk, and human accountability. ⇄ คำถามนี้ข้ามการวิเคราะห์งาน ความเสี่ยง และความรับผิดชอบของคน
· A polished demo is not evidence of fit. ⇄ เดโมที่ดูดีไม่ใช่หลักฐานว่าเหมาะกับงานของเรา</t>
  </si>
  <si>
    <t xml:space="preserve">EXEC-D4-005</t>
  </si>
  <si>
    <t xml:space="preserve">multi</t>
  </si>
  <si>
    <t xml:space="preserve">A strategic AI vendor refuses to explain audit access, model monitoring, data retention, or subcontractor use.</t>
  </si>
  <si>
    <t xml:space="preserve">Which concerns should block procurement until resolved?</t>
  </si>
  <si>
    <t xml:space="preserve">✔ No auditability or monitoring commitments.
✔ Unclear data retention and vendor data use.
✔ Unknown subprocessors and cross-border exposure.
✔ No exit rights or portability language.
· The deck uses plain typography.</t>
  </si>
  <si>
    <t xml:space="preserve">ผู้ให้บริการ AI รายสำคัญปฏิเสธที่จะอธิบายเรื่องสิทธิ์ในการตรวจสอบ (audit) การเฝ้าติดตามโมเดล ระยะเวลาเก็บข้อมูล และการใช้ผู้รับช่วงต่อ</t>
  </si>
  <si>
    <t xml:space="preserve">ข้อกังวลใดบ้างที่ควรระงับการจัดซื้อไว้จนกว่าจะได้รับคำตอบ</t>
  </si>
  <si>
    <t xml:space="preserve">✔ ไม่มีข้อผูกพันเรื่องการตรวจสอบได้และการเฝ้าติดตาม
✔ ระยะเวลาเก็บข้อมูลและการนำข้อมูลไปใช้ของผู้ให้บริการยังไม่ชัดเจน
✔ ไม่ทราบว่ามีผู้รับช่วงประมวลผลรายใดบ้าง และมีการส่งข้อมูลข้ามประเทศหรือไม่
✔ ไม่มีสิทธิ์ในการยุติสัญญาหรือข้อความเรื่องการย้ายข้อมูลออก
· สไลด์ใช้ฟอนต์ที่ดูเรียบ ๆ</t>
  </si>
  <si>
    <t xml:space="preserve">✔ Auditability is a procurement gate. ⇄ ความสามารถในการตรวจสอบเป็นด่านตัดสินใจของการจัดซื้อ
✔ Data terms must be explicit. ⇄ เงื่อนไขเรื่องข้อมูลต้องระบุให้ชัดแจ้ง
✔ Third-party chain of custody matters. ⇄ ห่วงโซ่การดูแลข้อมูลของบุคคลที่สามเป็นเรื่องสำคัญ
✔ Executives should avoid hidden lock-in. ⇄ ผู้บริหารควรเลี่ยงการถูกผูกมัดกับผู้ให้บริการแบบที่มองไม่เห็น
· Visual polish is not a risk control. ⇄ ความสวยงามของงานนำเสนอไม่ใช่มาตรการควบคุมความเสี่ยง</t>
  </si>
  <si>
    <t xml:space="preserve">D2-P-005</t>
  </si>
  <si>
    <t xml:space="preserve">multi-select</t>
  </si>
  <si>
    <t xml:space="preserve">A student gets a weak AI answer from a vague prompt.</t>
  </si>
  <si>
    <t xml:space="preserve">What details should they add?</t>
  </si>
  <si>
    <t xml:space="preserve">✔ Audience and purpose of the presentation.
✔ Length, format, and deadline.
✔ Source notes or facts that must be included.
· A request to be impressive with no other detail.</t>
  </si>
  <si>
    <t xml:space="preserve">นักเรียนคนหนึ่งเขียน prompt แบบกว้าง ๆ แล้วได้คำตอบจาก AI ที่ใช้งานไม่ได้</t>
  </si>
  <si>
    <t xml:space="preserve">เขาควรเพิ่มรายละเอียดอะไรบ้าง</t>
  </si>
  <si>
    <t xml:space="preserve">✔ กลุ่มผู้ฟังและวัตถุประสงค์ของการนำเสนอ
✔ ความยาว รูปแบบ และกำหนดส่ง
✔ โน้ตจากแหล่งข้อมูลหรือข้อเท็จจริงที่ต้องมีอยู่ในงาน
· ขอแค่ให้ออกมาดูน่าประทับใจ โดยไม่บอกรายละเอียดอื่น</t>
  </si>
  <si>
    <t xml:space="preserve">✔ Audience changes content and tone. ⇄ กลุ่มผู้ฟังเปลี่ยนทั้งเนื้อหาและน้ำเสียง
✔ Constraints make the output usable. ⇄ ข้อจำกัดทำให้ผลลัพธ์นำไปใช้ได้จริง
✔ Grounding reduces generic answers. ⇄ การยึดกับแหล่งข้อมูลช่วยลดคำตอบกว้าง ๆ ที่ใช้อะไรไม่ได้
· Impressive is not a clear success criterion. ⇄ "น่าประทับใจ" ไม่ใช่เกณฑ์ความสำเร็จที่ชัดเจน</t>
  </si>
  <si>
    <t xml:space="preserve">COMP-D6-CHANGE-012</t>
  </si>
  <si>
    <t xml:space="preserve">An organization claims its AI rollout succeeded because usage doubled.</t>
  </si>
  <si>
    <t xml:space="preserve">Which follow-up actions would make the change program more credible?</t>
  </si>
  <si>
    <t xml:space="preserve">✔ Compare usage with baseline productivity and quality measures.
✔ Segment adoption by role/team to find where support is needed.
✔ Create coaching loops from common review/override patterns.
✔ Track output quality, customer impact, and confidence together.
· Mandate daily usage because higher usage proves transformation.</t>
  </si>
  <si>
    <t xml:space="preserve">องค์กรหนึ่งอ้างว่าการนำ AI มาใช้ประสบความสำเร็จ เพราะยอดการใช้งานเพิ่มขึ้นเป็นสองเท่า</t>
  </si>
  <si>
    <t xml:space="preserve">การดำเนินการต่อข้อใดบ้างที่จะทำให้โครงการเปลี่ยนแปลงนี้น่าเชื่อถือขึ้น</t>
  </si>
  <si>
    <t xml:space="preserve">✔ เทียบยอดการใช้งานกับค่าฐาน (baseline) ด้านผลิตภาพและคุณภาพ
✔ แยกดูการใช้งานตามบทบาทหรือทีม เพื่อหาว่าจุดไหนต้องการการสนับสนุน
✔ สร้างวงจรการโค้ชจากรูปแบบการตรวจทานและการแก้ทับผลของ AI (override) ที่พบบ่อย
✔ ติดตามคุณภาพของงาน ผลกระทบต่อลูกค้า และความมั่นใจไปพร้อมกัน
· บังคับให้ทุกคนใช้ทุกวัน เพราะยอดการใช้งานที่สูงขึ้นพิสูจน์การเปลี่ยนแปลง</t>
  </si>
  <si>
    <t xml:space="preserve">✔ Correct. Usage alone is not value. ⇄ ถูกต้อง ลำพังยอดการใช้งานไม่ใช่คุณค่า
✔ Correct. Averages hide adoption gaps. ⇄ ถูกต้อง ค่าเฉลี่ยปิดบังช่องว่างของการนำไปใช้
✔ Correct. Change requires learning loops. ⇄ ถูกต้อง การเปลี่ยนแปลงต้องมีวงจรการเรียนรู้
✔ Correct. Responsible adoption balances speed and quality. ⇄ ถูกต้อง การนำ AI มาใช้อย่างรับผิดชอบต้องสมดุลระหว่างความเร็วกับคุณภาพ
· Mandated usage can increase activity without value or trust. ⇄ การบังคับใช้งานอาจเพิ่มแค่กิจกรรม โดยไม่เกิดคุณค่าหรือความไว้ใจ</t>
  </si>
  <si>
    <t xml:space="preserve">EXEC-EXP-D1-CAL-001</t>
  </si>
  <si>
    <t xml:space="preserve">matching</t>
  </si>
  <si>
    <t xml:space="preserve">match</t>
  </si>
  <si>
    <t xml:space="preserve">A board member uses chatbot, copilot, workflow automation, and agent interchangeably while discussing new AI spend.</t>
  </si>
  <si>
    <t xml:space="preserve">Match each term to the capability boundary leadership should understand.</t>
  </si>
  <si>
    <t xml:space="preserve">✔ Chatbot → Responds conversationally without owning system actions  [Responds conversationally without owning system actions | Executes multi-system tasks with delegated authority | Runs fixed rules without language understanding]
✔ Copilot → Assists a human inside an existing work step  [Assists a human inside an existing work step | Approves exceptions without review | Sets strategy from market signals alone]
✔ Workflow automation → Runs predefined steps when conditions are met  [Runs predefined steps when conditions are met | Negotiates policy tradeoffs independently | Creates training data from every prompt]
✔ AI agent → Plans and uses tools toward a goal within authority limits  [Plans and uses tools toward a goal within authority limits | Only summarizes documents after upload | Cannot affect records or communications]</t>
  </si>
  <si>
    <t xml:space="preserve">กรรมการบริษัทคนหนึ่งใช้คำว่าแชตบอต coโครงการนำร่อง (Pilot) ระบบอัตโนมัติของ workflow และเอเจนต์สลับกันไปมาระหว่างคุยเรื่องงบลงทุนด้าน AI ใหม่</t>
  </si>
  <si>
    <t xml:space="preserve">จับคู่คำแต่ละคำกับขอบเขตความสามารถที่ผู้นำควรเข้าใจ</t>
  </si>
  <si>
    <t xml:space="preserve">✔ แชตบอต → ตอบโต้แบบสนทนา โดยไม่รับผิดชอบการลงมือทำในระบบ  [ตอบโต้แบบสนทนา โดยไม่รับผิดชอบการลงมือทำในระบบ | ทำงานข้ามหลายระบบด้วยอำนาจที่ได้รับมอบหมาย | ทำตามกฎตายตัวโดยไม่เข้าใจภาษา]
✔ copilot → ช่วยคนทำงานอยู่ภายในขั้นตอนงานเดิมที่มีอยู่  [ช่วยคนทำงานอยู่ภายในขั้นตอนงานเดิมที่มีอยู่ | อนุมัติกรณียกเว้นโดยไม่ต้องมีคนตรวจ | กำหนดกลยุทธ์จากสัญญาณตลาดเพียงอย่างเดียว]
✔ ระบบอัตโนมัติของ workflow → ทำตามขั้นตอนที่กำหนดไว้ล่วงหน้าเมื่อเข้าเงื่อนไข  [ทำตามขั้นตอนที่กำหนดไว้ล่วงหน้าเมื่อเข้าเงื่อนไข | ต่อรองการแลกได้แลกเสียเชิงนโยบายได้ด้วยตัวเอง | สร้างข้อมูลฝึกโมเดลจากทุก prompt]
✔ AI agent → วางแผนและใช้เครื่องมือเพื่อบรรลุเป้าหมาย ภายในขอบเขตอำนาจที่กำหนด  [วางแผนและใช้เครื่องมือเพื่อบรรลุเป้าหมาย ภายในขอบเขตอำนาจที่กำหนด | สรุปเอกสารได้อย่างเดียวหลังอัปโหลดไฟล์ | ไม่สามารถแตะต้องข้อมูลหรือการสื่อสารใด ๆ ได้]</t>
  </si>
  <si>
    <t xml:space="preserve">EXEC-D4-004</t>
  </si>
  <si>
    <t xml:space="preserve">A regulated workflow will use AI to recommend eligibility decisions, with human reviewers expected to approve exceptions.</t>
  </si>
  <si>
    <t xml:space="preserve">Match each regulated-workflow risk to the appropriate governance evidence.</t>
  </si>
  <si>
    <t xml:space="preserve">✔ Uneven outcomes across protected groups → Bias test and remediation record  [Bias test and remediation record | Marketing launch plan | Seat-license count]
✔ User challenges AI-assisted decision → Appeal path and human rationale  [Appeal path and human rationale | Vendor logo page | Internal hype metric]
✔ Performance changes after launch → Monitoring dashboard and review cadence  [Monitoring dashboard and review cadence | One-time demo | No evidence needed]</t>
  </si>
  <si>
    <t xml:space="preserve">workflow ในธุรกิจที่มีกฎระเบียบกำกับจะใช้ AI เสนอผลการพิจารณาคุณสมบัติ โดยให้ผู้ตรวจทานที่เป็นคนอนุมัติกรณียกเว้น</t>
  </si>
  <si>
    <t xml:space="preserve">จับคู่ความเสี่ยงของ workflow ที่มีกฎระเบียบกำกับกับหลักฐานด้านการกำกับดูแลที่เหมาะสม</t>
  </si>
  <si>
    <t xml:space="preserve">✔ ผลลัพธ์ไม่เท่าเทียมกันระหว่างกลุ่มที่กฎหมายคุ้มครอง → ผลทดสอบอคติและบันทึกการแก้ไข  [ผลทดสอบอคติและบันทึกการแก้ไข | แผนเปิดตัวทางการตลาด | จำนวนสิทธิ์การใช้งานต่อผู้ใช้]
✔ ผู้ใช้โต้แย้งผลการตัดสินใจที่มี AI ช่วย → ช่องทางอุทธรณ์และเหตุผลประกอบจากคน  [ช่องทางอุทธรณ์และเหตุผลประกอบจากคน | หน้าโลโก้ของผู้ให้บริการ | ตัวเลขกระแสความนิยมภายในองค์กร]
✔ ประสิทธิภาพเปลี่ยนไปหลังเปิดใช้งานจริง → แดชบอร์ดติดตามผลและรอบการทบทวน  [แดชบอร์ดติดตามผลและรอบการทบทวน | การสาธิตครั้งเดียวจบ | ไม่ต้องมีหลักฐานใด ๆ]</t>
  </si>
  <si>
    <t xml:space="preserve">D3-F-007</t>
  </si>
  <si>
    <t xml:space="preserve">fraud-detection</t>
  </si>
  <si>
    <t xml:space="preserve">text</t>
  </si>
  <si>
    <t xml:space="preserve">A finance assistant receives this invoice image and asks whether it is safe to approve today.</t>
  </si>
  <si>
    <t xml:space="preserve">Write 2-4 sentences naming the red flags and the safest next action.</t>
  </si>
  <si>
    <t xml:space="preserve">ผู้ช่วยฝ่ายการเงินได้รับภาพใบแจ้งหนี้ใบนี้ และถามว่าปลอดภัยพอจะอนุมัติวันนี้เลยหรือไม่</t>
  </si>
  <si>
    <t xml:space="preserve">เขียน 2-4 ประโยค ระบุสัญญาณอันตรายและสิ่งที่ควรทำต่ออย่างปลอดภัยที่สุด</t>
  </si>
  <si>
    <t xml:space="preserve">EN: urgent: Names urgency or pressure as a fraud signal — urgent, pressure, today, immediate, rush
bank: Flags changed bank/payment details — bank, payment, account, iban, wire
domain: Checks sender domain or vendor identity — domain, sender, email, vendor, identity
verify: Recommends out-of-band verification before payment — verify, confirm, call, approved, purchase order, po
Exemplar: This should not be approved yet. The invoice uses urgent pressure, shows changed bank details, lacks a purchase order, and the sender domain does not match the vendor. Verify through an approved vendor contact or procurement system before any payment.
TH: urgent: ระบุความเร่งด่วนหรือการกดดันว่าเป็นสัญญาณการฉ้อโกง — เร่งด่วน, กดดัน, วันนี้, ทันที, เร่งรัด
bank: ชี้ว่าข้อมูลบัญชีธนาคารหรือการชำระเงินถูกเปลี่ยน — ธนาคาร, ชำระเงิน, บัญชี, เลขบัญชี, โอนเงิน
domain: ตรวจโดเมนของผู้ส่งหรือตัวตนของผู้ขาย — โดเมน, ผู้ส่ง, อีเมล, ผู้ขาย, ตัวตน
verify: แนะนำให้ยืนยันผ่านช่องทางอื่นก่อนจ่ายเงิน — ตรวจสอบ, ยืนยัน, โทร, อนุมัติ, ใบสั่งซื้อ, po
ตัวอย่างคำตอบ: ยังไม่ควรอนุมัติใบแจ้งหนี้นี้ ใบแจ้งหนี้ใช้ถ้อยคำเร่งด่วนกดดัน มีการเปลี่ยนข้อมูลบัญชีธนาคาร ไม่มีใบสั่งซื้ออ้างอิง และโดเมนของผู้ส่งไม่ตรงกับผู้ขาย ควรยืนยันผ่านผู้ติดต่อของผู้ขายที่ได้รับอนุมัติหรือระบบจัดซื้อก่อนจ่ายเงินทุกกรณี</t>
  </si>
  <si>
    <t xml:space="preserve">D4-PRO-011</t>
  </si>
  <si>
    <t xml:space="preserve">A tool-connected AI assistant tried to access files beyond the incident scope while helping with technical triage.</t>
  </si>
  <si>
    <t xml:space="preserve">Write 2-4 sentences naming the key access-control lessons.</t>
  </si>
  <si>
    <t xml:space="preserve">ผู้ช่วย AI ที่เชื่อมต่อกับเครื่องมือต่าง ๆ พยายามเข้าถึงไฟล์ที่อยู่นอกขอบเขตของเหตุการณ์ผิดปกติ (incident) ขณะช่วยคัดกรองปัญหาทางเทคนิค</t>
  </si>
  <si>
    <t xml:space="preserve">เขียน 2-4 ประโยคระบุบทเรียนสำคัญเรื่องการควบคุมสิทธิ์เข้าถึง</t>
  </si>
  <si>
    <t xml:space="preserve">EN: scope: Mentions least privilege or scoped access — least privilege, scope, scoped, minimum, permissions
sensitive: Flags sensitive or out-of-scope access attempts — sensitive, secret, hr, outside, out-of-scope
approval: Preserves human approval gates — approval, human, gate, external, public
audit: Uses logs for audit and improvement — log, audit, trace, review, incident
Exemplar: The assistant should keep least-privilege access limited to the incident. Attempts to read HR notes or secrets are out of scope and should trigger review. Human approval gates for external email and public status updates should remain, and the logs should be preserved for audit and tuning.
TH: scope: กล่าวถึงสิทธิ์เท่าที่จำเป็นหรือการจำกัดขอบเขตการเข้าถึง — สิทธิ์เท่าที่จำเป็น, least privilege, ขอบเขต, จำกัดสิทธิ์, เท่าที่จำเป็น
sensitive: ชี้ประเด็นการพยายามเข้าถึงข้อมูลอ่อนไหวหรือข้อมูลนอกขอบเขต — ข้อมูลอ่อนไหว, ความลับ, HR, นอกขอบเขต, ไม่เกี่ยวข้อง
approval: รักษาจุดอนุมัติโดยคนไว้ — อนุมัติ, คน, จุดอนุมัติ, ส่งออกภายนอก, ประกาศสาธารณะ
audit: ใช้บันทึกเพื่อการตรวจสอบและปรับปรุง — บันทึก, audit log, ร่องรอย, ทบทวน, incident
ตัวอย่างคำตอบ: ผู้ช่วย AI ควรมีสิทธิ์เท่าที่จำเป็นและจำกัดอยู่ในขอบเขตของเหตุการณ์นี้เท่านั้น การพยายามอ่านบันทึกของ HR หรือข้อมูลลับถือว่าอยู่นอกขอบเขตและควรถูกส่งให้ตรวจสอบ จุดอนุมัติโดยคนสำหรับการส่งอีเมลออกภายนอกและการประกาศสถานะต่อสาธารณะต้องยังคงอยู่ และควรเก็บ audit log ไว้เพื่อการตรวจสอบและปรับจูนระบบ</t>
  </si>
  <si>
    <t xml:space="preserve">D2-L-007</t>
  </si>
  <si>
    <t xml:space="preserve">drag-order</t>
  </si>
  <si>
    <t xml:space="preserve">rank</t>
  </si>
  <si>
    <t xml:space="preserve">A support team wants to improve an AI reply assistant after seeing repeated mistakes in refund cases.</t>
  </si>
  <si>
    <t xml:space="preserve">Order the loop-engineering steps.</t>
  </si>
  <si>
    <t xml:space="preserve">#1 Collect representative failed and successful cases
#2 Define review criteria and error categories
#3 Revise prompt, sources, or workflow controls
#4 Monitor new outputs against the same criteria</t>
  </si>
  <si>
    <t xml:space="preserve">ทีมซัพพอร์ตต้องการปรับปรุงผู้ช่วย AI ที่ช่วยร่างคำตอบ หลังพบข้อผิดพลาดซ้ำ ๆ ในเคสคืนเงิน</t>
  </si>
  <si>
    <t xml:space="preserve">จัดลำดับขั้นตอนการออกแบบลูปการปรับปรุง</t>
  </si>
  <si>
    <t xml:space="preserve">#1 เก็บตัวอย่างเคสที่ล้มเหลวและเคสที่สำเร็จให้เป็นตัวแทนของงานจริง
#2 กำหนดเกณฑ์การตรวจทานและหมวดหมู่ของข้อผิดพลาด
#3 ปรับ prompt แหล่งข้อมูล หรือจุดควบคุมในขั้นตอนงาน
#4 เฝ้าติดตามผลลัพธ์ใหม่ด้วยเกณฑ์ชุดเดิม</t>
  </si>
  <si>
    <t xml:space="preserve">EN: Why this order: Improvement starts from real failed and successful cases, not opinions; a rubric turns cases into named error categories; only then do you change the prompt, sources, or controls; monitoring against the same rubric shows whether the change worked.
TH: เหตุผลของลำดับ: การปรับปรุงต้องเริ่มจากเคสจริงที่ล้มเหลวและที่สำเร็จ ไม่ใช่จากความเห็น เกณฑ์การให้คะแนนจะเปลี่ยนเคสเหล่านั้นให้เป็นหมวดหมู่ข้อผิดพลาดที่เรียกชื่อได้ หลังจากนั้นจึงค่อยแก้ prompt แหล่งข้อมูล หรือจุดควบคุม และการเฝ้าติดตามด้วยเกณฑ์ชุดเดิมจะบอกว่าการเปลี่ยนแปลงได้ผลจริงหรือไม่</t>
  </si>
  <si>
    <t xml:space="preserve">D5-P-003</t>
  </si>
  <si>
    <t xml:space="preserve">Your team has four AI ideas but time for one pilot.</t>
  </si>
  <si>
    <t xml:space="preserve">Order the decision criteria.</t>
  </si>
  <si>
    <t xml:space="preserve">#1 Clear user problem and workflow fit
#2 Measurable outcome and baseline
#3 Acceptable risk and review controls
#4 Fast learning path for scale or stop decision</t>
  </si>
  <si>
    <t xml:space="preserve">ทีมของคุณมีไอเดียใช้ AI อยู่ 4 เรื่อง แต่มีเวลาทำโครงการนำร่อง (pilot) ได้แค่เรื่องเดียว</t>
  </si>
  <si>
    <t xml:space="preserve">จัดลำดับเกณฑ์การตัดสินใจ</t>
  </si>
  <si>
    <t xml:space="preserve">#1 ปัญหาของผู้ใช้ชัดเจนและเข้ากับ workflow
#2 ผลลัพธ์วัดได้และมีค่าฐาน (baseline)
#3 ความเสี่ยงอยู่ในระดับที่ยอมรับได้และมีการตรวจทานควบคุม
#4 มีเส้นทางเรียนรู้ที่เร็วพอจะตัดสินใจขยายผลหรือหยุด</t>
  </si>
  <si>
    <t xml:space="preserve">EN: Why this order: A pilot that does not solve a clear user problem is not worth measuring; a baseline is what makes the outcome measurable; risk controls decide whether the pilot is allowed to run at all; a fast learning path lets you scale or stop with evidence.
TH: เหตุผลของลำดับ: pilot ที่ไม่ได้แก้ปัญหาของผู้ใช้อย่างชัดเจนก็ไม่คุ้มจะวัดผล ค่าฐาน (baseline) คือสิ่งที่ทำให้ผลลัพธ์วัดได้ การควบคุมความเสี่ยงเป็นตัวชี้ว่า pilot จะได้รันหรือไม่ตั้งแต่แรก และเส้นทางเรียนรู้ที่เร็วทำให้คุณขยายผลหรือหยุดได้บนหลักฐาน</t>
  </si>
  <si>
    <t xml:space="preserve">MULTI-CONCEPT-GEN-001</t>
  </si>
  <si>
    <t xml:space="preserve">concept-cluster</t>
  </si>
  <si>
    <t xml:space="preserve">parts</t>
  </si>
  <si>
    <t xml:space="preserve">A user wants to understand why an AI answer can be fluent, source-grounded, tool-connected, or personally customized depending on setup.</t>
  </si>
  <si>
    <t xml:space="preserve">Answer the mini-parts to show whether you can distinguish core AI concepts in practice.</t>
  </si>
  <si>
    <t xml:space="preserve">part An answer sounds fluent but cites no current source. What concept explains the risk?
✔ An LLM can generate plausible language without proof.
· RAG always guarantees the answer is current.
· Memory means the model checked an approved file.
part You need answers from the latest HR policy. What setup is most useful?
· Ask the model to rely on general training knowledge.
✔ Retrieve approved policy sources and show citations.
· Store a preference that HR questions matter.
part An AI can read files and send emails through connectors. What changes most?
· The answer becomes automatically more accurate.
· The prompt no longer needs human review.
✔ Permissions, logs, and approval gates become critical.</t>
  </si>
  <si>
    <t xml:space="preserve">ผู้ใช้คนหนึ่งอยากเข้าใจว่าทำไมคำตอบของ AI ถึงอาจลื่นไหล อิงแหล่งข้อมูล เชื่อมต่อเครื่องมือ หรือปรับให้เข้ากับตัวบุคคล ขึ้นอยู่กับการตั้งค่า</t>
  </si>
  <si>
    <t xml:space="preserve">ตอบคำถามย่อยเพื่อแสดงว่าคุณแยกแยะแนวคิดหลักของ AI ในทางปฏิบัติได้</t>
  </si>
  <si>
    <t xml:space="preserve">part คำตอบฟังดูลื่นไหลแต่ไม่อ้างแหล่งข้อมูลที่เป็นปัจจุบันเลย แนวคิดใดอธิบายความเสี่ยงนี้
✔ LLM สร้างภาษาที่ฟังดูน่าเชื่อได้โดยไม่มีหลักฐานรองรับ
· RAG รับประกันเสมอว่าคำตอบเป็นข้อมูลล่าสุด
· Memory แปลว่าโมเดลได้ตรวจไฟล์ที่ผ่านการอนุมัติแล้ว
part คุณต้องการคำตอบจากนโยบาย HR ฉบับล่าสุด การตั้งค่าแบบใดมีประโยชน์ที่สุด
· ให้โมเดลอาศัยความรู้ทั่วไปจากการฝึกโมเดล
✔ ค้นคืนเอกสารนโยบายที่ได้รับอนุมัติ และแสดงการอ้างอิงประกอบ
· บันทึกค่าความชอบไว้ว่าคำถามเรื่อง HR เป็นเรื่องสำคัญ
part AI สามารถอ่านไฟล์และส่งอีเมลผ่านตัวเชื่อมต่อได้ อะไรเปลี่ยนไปมากที่สุด
· คำตอบจะแม่นยำขึ้นโดยอัตโนมัติ
· prompt ไม่จำเป็นต้องให้คนตรวจอีกต่อไป
✔ สิทธิ์ log และจุดอนุมัติกลายเป็นเรื่องสำคัญยิ่ง</t>
  </si>
  <si>
    <t xml:space="preserve">✔ Correct. Fluency is not evidence. ⇄ ถูกต้อง ความลื่นไหลของภาษาไม่ใช่หลักฐาน
· RAG depends on retrieved source quality. ⇄ RAG ขึ้นอยู่กับคุณภาพของแหล่งข้อมูลที่ค้นคืนมา
· Memory is not the same as source verification. ⇄ Memory ไม่ใช่สิ่งเดียวกับการตรวจสอบแหล่งข้อมูล
· Training knowledge may be stale or generic. ⇄ ความรู้จากการฝึกโมเดลอาจล้าสมัยหรือกว้างเกินไป
✔ Correct. RAG grounds the answer in selected documents. ⇄ ถูกต้อง RAG ทำให้คำตอบอิงกับเอกสารที่เลือกไว้
· That may personalize behavior but does not ground policy facts. ⇄ แบบนั้นอาจปรับพฤติกรรมให้เข้ากับผู้ใช้ แต่ไม่ได้ทำให้ข้อเท็จจริงเชิงนโยบายมีหลักฐานรองรับ
· Tool access does not guarantee correctness. ⇄ การเข้าถึงเครื่องมือไม่ได้รับประกันความถูกต้อง
· Review matters more when tools can act. ⇄ ยิ่งเครื่องมือลงมือทำได้ การตรวจทานยิ่งสำคัญ
✔ Correct. Tool use adds data and action risk. ⇄ ถูกต้อง การใช้เครื่องมือเพิ่มทั้งความเสี่ยงด้านข้อมูลและด้านการกระทำ</t>
  </si>
  <si>
    <t xml:space="preserve">EXEC-EXP-D2-AGENT-009</t>
  </si>
  <si>
    <t xml:space="preserve">The executive team is reviewing an agent workflow that can read customer records, issue small refunds, send messages, and update CRM.</t>
  </si>
  <si>
    <t xml:space="preserve">Answer the mini-parts before approving the agent workflow for a live pilot.</t>
  </si>
  <si>
    <t xml:space="preserve">part What makes this agent materially different from an ordinary chatbot?
· It writes in a friendlier customer-service tone.
✔ It can act in systems: payments, CRM, email, and documents.
· It removes the need for customer-service policy.
part Which unresolved control should block expansion?
✔ Broad CRM write access and customer email sends lack strong approval and rollback ownership.
· The workflow has too many human approval gates.
· The agent reads policy documents before answering.
part Which evidence should leaders require before funding scale?
· Prompt volume and number of customer emails sent.
· A vendor roadmap showing future agent features.
✔ Baseline comparison on speed, quality, harm, adoption, exceptions, and control failures.</t>
  </si>
  <si>
    <t xml:space="preserve">ทีมผู้บริหารกำลังทบทวน workflow ของ AI agent ที่สามารถอ่านข้อมูลลูกค้า อนุมัติการคืนเงินจำนวนน้อย ส่งข้อความ และอัปเดต CRM ได้</t>
  </si>
  <si>
    <t xml:space="preserve">ตอบคำถามย่อยต่อไปนี้ก่อนอนุมัติให้ workflow ของเอเจนต์นี้เข้าสู่โครงการนำร่องแบบใช้งานจริง</t>
  </si>
  <si>
    <t xml:space="preserve">part อะไรทำให้เอเจนต์ตัวนี้ต่างจากแชตบอตทั่วไปอย่างมีนัยสำคัญ
· มันเขียนข้อความด้วยโทนบริการลูกค้าที่เป็นมิตรกว่า
✔ มันลงมือทำในระบบได้จริง ทั้งการชำระเงิน CRM อีเมล และเอกสาร
· มันทำให้ไม่จำเป็นต้องมีนโยบายบริการลูกค้าอีกต่อไป
part มาตรการควบคุมข้อใดที่ยังไม่ได้รับการแก้ไขและควรระงับการขยายผล
✔ สิทธิ์เขียนข้อมูลใน CRM ที่กว้างเกินไปและการส่งอีเมลถึงลูกค้า ยังขาดจุดอนุมัติที่รัดกุมและเจ้าของผู้รับผิดชอบการย้อนกลับระบบ (rollback)
· workflow นี้มีจุดที่ต้องให้คนอนุมัติมากเกินไป
· เอเจนต์อ่านเอกสารนโยบายก่อนตอบคำถาม
part ผู้บริหารควรเรียกร้องหลักฐานใดก่อนอนุมัติงบเพื่อขยายผล
· ปริมาณ prompt และจำนวนอีเมลที่ส่งถึงลูกค้า
· แผนงานของผู้ให้บริการที่แสดงฟีเจอร์เอเจนต์ในอนาคต
✔ การเปรียบเทียบกับค่าฐาน (baseline) ในด้านความเร็ว คุณภาพ ความเสียหาย การนำไปใช้ กรณียกเว้น และความล้มเหลวของมาตรการควบคุม</t>
  </si>
  <si>
    <t xml:space="preserve">· Tone is secondary. The artifact shows real tool authority. ⇄ โทนเป็นเรื่องรอง สิ่งที่เห็นในระบบคืออำนาจในการใช้เครื่องมือจริง
✔ Correct. System action changes operational risk and value. ⇄ ถูกต้อง การลงมือทำในระบบจริงเปลี่ยนทั้งความเสี่ยงในการปฏิบัติงานและคุณค่าที่ได้
· Policy becomes more important when actions are automated. ⇄ นโยบายยิ่งสำคัญขึ้นเมื่อการลงมือทำถูกทำโดยระบบอัตโนมัติ
✔ Correct. Authority, logging, and ownership are not tight enough. ⇄ ถูกต้อง ทั้งขอบเขตอำนาจ การเก็บบันทึก และความเป็นเจ้าของยังไม่รัดกุมพอ
· The current gates are too narrow, not excessive. ⇄ จุดอนุมัติที่มีอยู่แคบเกินไปต่างหาก ไม่ใช่มากเกินไป
· Policy retrieval is useful; the risk is weak control over actions. ⇄ การค้นคืนนโยบายเป็นเรื่องดี ความเสี่ยงอยู่ที่การควบคุมการลงมือทำที่ยังอ่อน
· Activity volume is not the same as value. ⇄ ปริมาณกิจกรรมไม่ใช่สิ่งเดียวกับคุณค่าที่ได้รับ
· Future features do not prove this workflow is ready. ⇄ ฟีเจอร์ในอนาคตไม่ได้พิสูจน์ว่า workflow นี้พร้อมแล้ว
✔ Correct. Scale decisions need benefit and downside evidence. ⇄ ถูกต้อง การตัดสินใจขยายผลต้องมีหลักฐานทั้งด้านประโยชน์และด้านลบ</t>
  </si>
  <si>
    <t xml:space="preserve">First review verdict</t>
  </si>
  <si>
    <t xml:space="preserve">Natural Thai (1-5)</t>
  </si>
  <si>
    <t xml:space="preserve">Scenario changed by reviewer?</t>
  </si>
  <si>
    <t xml:space="preserve">Prompt changed by reviewer?</t>
  </si>
  <si>
    <t xml:space="preserve">First-review comment</t>
  </si>
  <si>
    <t xml:space="preserve">Fix in cell</t>
  </si>
  <si>
    <t xml:space="preserve">No</t>
  </si>
  <si>
    <t xml:space="preserve">เกลาสำนวนภาษาไทยให้สละสลวย กระชับ เข้าใจได้ทันที และตัดทอนคำแปลตรงตัว</t>
  </si>
  <si>
    <t xml:space="preserve">Yes</t>
  </si>
  <si>
    <t xml:space="preserve">ใช้ศัพท์ทางการเงินที่ถูกต้อง (สินเชื่อ / คะแนนเครดิต)</t>
  </si>
  <si>
    <t xml:space="preserve">Metric</t>
  </si>
  <si>
    <t xml:space="preserve">Value</t>
  </si>
  <si>
    <t xml:space="preserve">Items</t>
  </si>
  <si>
    <t xml:space="preserve">Reviewed</t>
  </si>
  <si>
    <t xml:space="preserve">Approve</t>
  </si>
  <si>
    <t xml:space="preserve">Fix</t>
  </si>
  <si>
    <t xml:space="preserve">Rewrite</t>
  </si>
  <si>
    <t xml:space="preserve">Key ambiguous (No)</t>
  </si>
  <si>
    <t xml:space="preserve">Promote batch 1 to approved?</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</si>
</sst>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b val="true"/>
      <sz val="10"/>
      <color rgb="FFFFFFFF"/>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2E75B6"/>
        <bgColor rgb="FF0066CC"/>
      </patternFill>
    </fill>
    <fill>
      <patternFill patternType="solid">
        <fgColor rgb="FF2F8F6B"/>
        <bgColor rgb="FF008080"/>
      </patternFill>
    </fill>
    <fill>
      <patternFill patternType="solid">
        <fgColor rgb="FF7B5EA7"/>
        <bgColor rgb="FF808080"/>
      </patternFill>
    </fill>
    <fill>
      <patternFill patternType="solid">
        <fgColor rgb="FFFFF9E6"/>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2E75B6"/>
          <bgColor rgb="FF000000"/>
        </patternFill>
      </fill>
    </dxf>
    <dxf>
      <fill>
        <patternFill patternType="solid">
          <fgColor rgb="FF2F8F6B"/>
          <bgColor rgb="FF000000"/>
        </patternFill>
      </fill>
    </dxf>
    <dxf>
      <fill>
        <patternFill patternType="solid">
          <fgColor rgb="FF7B5EA7"/>
          <bgColor rgb="FF000000"/>
        </patternFill>
      </fill>
    </dxf>
    <dxf>
      <fill>
        <patternFill patternType="solid">
          <fgColor rgb="FFFFF9E6"/>
          <bgColor rgb="FF000000"/>
        </patternFill>
      </fill>
    </dxf>
    <dxf>
      <fill>
        <patternFill>
          <bgColor rgb="FFC6E5B3"/>
        </patternFill>
      </fill>
    </dxf>
    <dxf>
      <fill>
        <patternFill>
          <bgColor rgb="FFF4B6B6"/>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9E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5B3"/>
      <rgbColor rgb="FFFFFF99"/>
      <rgbColor rgb="FF99CCFF"/>
      <rgbColor rgb="FFFF99CC"/>
      <rgbColor rgb="FFCC99FF"/>
      <rgbColor rgb="FFF4B6B6"/>
      <rgbColor rgb="FF2E75B6"/>
      <rgbColor rgb="FF33CCCC"/>
      <rgbColor rgb="FF99CC00"/>
      <rgbColor rgb="FFFFCC00"/>
      <rgbColor rgb="FFFF9900"/>
      <rgbColor rgb="FFFF6600"/>
      <rgbColor rgb="FF7B5EA7"/>
      <rgbColor rgb="FF969696"/>
      <rgbColor rgb="FF1F3864"/>
      <rgbColor rgb="FF2F8F6B"/>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5" hidden="false" customHeight="false" outlineLevel="0" collapsed="false">
      <c r="A1" s="1" t="s">
        <v>0</v>
      </c>
    </row>
    <row r="2" customFormat="false" ht="23.8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1" t="s">
        <v>2</v>
      </c>
    </row>
    <row r="5" customFormat="false" ht="23.85" hidden="false" customHeight="false" outlineLevel="0" collapsed="false">
      <c r="A5" s="2" t="s">
        <v>3</v>
      </c>
    </row>
    <row r="6" customFormat="false" ht="15" hidden="false" customHeight="false" outlineLevel="0" collapsed="false">
      <c r="A6" s="2"/>
    </row>
    <row r="7" customFormat="false" ht="15" hidden="false" customHeight="false" outlineLevel="0" collapsed="false">
      <c r="A7" s="1" t="s">
        <v>4</v>
      </c>
    </row>
    <row r="8" customFormat="false" ht="23.85" hidden="false" customHeight="false" outlineLevel="0" collapsed="false">
      <c r="A8" s="2" t="s">
        <v>5</v>
      </c>
    </row>
    <row r="9" customFormat="false" ht="23.85" hidden="false" customHeight="false" outlineLevel="0" collapsed="false">
      <c r="A9" s="2" t="s">
        <v>6</v>
      </c>
    </row>
    <row r="10" customFormat="false" ht="23.85" hidden="false" customHeight="false" outlineLevel="0" collapsed="false">
      <c r="A10" s="2" t="s">
        <v>7</v>
      </c>
    </row>
    <row r="11" customFormat="false" ht="15" hidden="false" customHeight="false" outlineLevel="0" collapsed="false">
      <c r="A11" s="2"/>
    </row>
    <row r="12" customFormat="false" ht="15" hidden="false" customHeight="false" outlineLevel="0" collapsed="false">
      <c r="A12" s="2" t="s">
        <v>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7"/>
    <col collapsed="false" customWidth="true" hidden="false" outlineLevel="0" max="3" min="3" style="0" width="14"/>
    <col collapsed="false" customWidth="true" hidden="false" outlineLevel="0" max="4" min="4" style="0" width="10"/>
    <col collapsed="false" customWidth="true" hidden="false" outlineLevel="0" max="5" min="5" style="0" width="50"/>
    <col collapsed="false" customWidth="true" hidden="false" outlineLevel="0" max="6" min="6" style="0" width="32"/>
    <col collapsed="false" customWidth="true" hidden="false" outlineLevel="0" max="7" min="7" style="0" width="55"/>
    <col collapsed="false" customWidth="true" hidden="false" outlineLevel="0" max="8" min="8" style="0" width="50"/>
    <col collapsed="false" customWidth="true" hidden="false" outlineLevel="0" max="9" min="9" style="0" width="32"/>
    <col collapsed="false" customWidth="true" hidden="false" outlineLevel="0" max="10" min="10" style="0" width="55"/>
    <col collapsed="false" customWidth="true" hidden="false" outlineLevel="0" max="11" min="11" style="0" width="60"/>
    <col collapsed="false" customWidth="true" hidden="false" outlineLevel="0" max="12" min="12" style="0" width="50"/>
    <col collapsed="false" customWidth="true" hidden="false" outlineLevel="0" max="13" min="13" style="0" width="12"/>
    <col collapsed="false" customWidth="true" hidden="false" outlineLevel="0" max="15" min="14" style="0" width="14"/>
    <col collapsed="false" customWidth="true" hidden="false" outlineLevel="0" max="16" min="16" style="0" width="30"/>
    <col collapsed="false" customWidth="true" hidden="false" outlineLevel="0" max="17" min="17" style="0" width="11"/>
    <col collapsed="false" customWidth="true" hidden="false" outlineLevel="0" max="18" min="18" style="0" width="45"/>
  </cols>
  <sheetData>
    <row r="1" customFormat="false" ht="35.05" hidden="false" customHeight="false" outlineLevel="0" collapsed="false">
      <c r="A1" s="3" t="s">
        <v>9</v>
      </c>
      <c r="B1" s="3" t="s">
        <v>10</v>
      </c>
      <c r="C1" s="3" t="s">
        <v>11</v>
      </c>
      <c r="D1" s="3" t="s">
        <v>12</v>
      </c>
      <c r="E1" s="4" t="s">
        <v>13</v>
      </c>
      <c r="F1" s="4" t="s">
        <v>14</v>
      </c>
      <c r="G1" s="4" t="s">
        <v>15</v>
      </c>
      <c r="H1" s="5" t="s">
        <v>16</v>
      </c>
      <c r="I1" s="5" t="s">
        <v>17</v>
      </c>
      <c r="J1" s="5" t="s">
        <v>18</v>
      </c>
      <c r="K1" s="5" t="s">
        <v>19</v>
      </c>
      <c r="L1" s="5" t="s">
        <v>20</v>
      </c>
      <c r="M1" s="6" t="s">
        <v>21</v>
      </c>
      <c r="N1" s="6" t="s">
        <v>22</v>
      </c>
      <c r="O1" s="6" t="s">
        <v>23</v>
      </c>
      <c r="P1" s="6" t="s">
        <v>24</v>
      </c>
      <c r="Q1" s="6" t="s">
        <v>25</v>
      </c>
      <c r="R1" s="6" t="s">
        <v>26</v>
      </c>
    </row>
    <row r="2" customFormat="false" ht="189.75" hidden="false" customHeight="true" outlineLevel="0" collapsed="false">
      <c r="A2" s="7" t="s">
        <v>27</v>
      </c>
      <c r="B2" s="7" t="s">
        <v>28</v>
      </c>
      <c r="C2" s="7" t="s">
        <v>29</v>
      </c>
      <c r="D2" s="7" t="s">
        <v>30</v>
      </c>
      <c r="E2" s="7" t="s">
        <v>31</v>
      </c>
      <c r="F2" s="7" t="s">
        <v>32</v>
      </c>
      <c r="G2" s="7" t="s">
        <v>33</v>
      </c>
      <c r="H2" s="7" t="s">
        <v>34</v>
      </c>
      <c r="I2" s="7" t="s">
        <v>35</v>
      </c>
      <c r="J2" s="7" t="s">
        <v>36</v>
      </c>
      <c r="K2" s="7" t="s">
        <v>37</v>
      </c>
      <c r="L2" s="7"/>
      <c r="M2" s="8"/>
      <c r="N2" s="8"/>
      <c r="O2" s="8"/>
      <c r="P2" s="8"/>
      <c r="Q2" s="8"/>
      <c r="R2" s="8"/>
    </row>
    <row r="3" customFormat="false" ht="189.75" hidden="false" customHeight="true" outlineLevel="0" collapsed="false">
      <c r="A3" s="7" t="s">
        <v>38</v>
      </c>
      <c r="B3" s="7" t="s">
        <v>39</v>
      </c>
      <c r="C3" s="7" t="s">
        <v>40</v>
      </c>
      <c r="D3" s="7" t="s">
        <v>30</v>
      </c>
      <c r="E3" s="7" t="s">
        <v>41</v>
      </c>
      <c r="F3" s="7" t="s">
        <v>42</v>
      </c>
      <c r="G3" s="7" t="s">
        <v>43</v>
      </c>
      <c r="H3" s="7" t="s">
        <v>44</v>
      </c>
      <c r="I3" s="7" t="s">
        <v>45</v>
      </c>
      <c r="J3" s="7" t="s">
        <v>46</v>
      </c>
      <c r="K3" s="7" t="s">
        <v>47</v>
      </c>
      <c r="L3" s="7"/>
      <c r="M3" s="8"/>
      <c r="N3" s="8"/>
      <c r="O3" s="8"/>
      <c r="P3" s="8"/>
      <c r="Q3" s="8"/>
      <c r="R3" s="8"/>
    </row>
    <row r="4" customFormat="false" ht="189.75" hidden="false" customHeight="true" outlineLevel="0" collapsed="false">
      <c r="A4" s="7" t="s">
        <v>48</v>
      </c>
      <c r="B4" s="7" t="s">
        <v>49</v>
      </c>
      <c r="C4" s="7" t="s">
        <v>29</v>
      </c>
      <c r="D4" s="7" t="s">
        <v>30</v>
      </c>
      <c r="E4" s="7" t="s">
        <v>50</v>
      </c>
      <c r="F4" s="7" t="s">
        <v>51</v>
      </c>
      <c r="G4" s="7" t="s">
        <v>52</v>
      </c>
      <c r="H4" s="7" t="s">
        <v>53</v>
      </c>
      <c r="I4" s="7" t="s">
        <v>54</v>
      </c>
      <c r="J4" s="7" t="s">
        <v>55</v>
      </c>
      <c r="K4" s="7" t="s">
        <v>56</v>
      </c>
      <c r="L4" s="7"/>
      <c r="M4" s="8"/>
      <c r="N4" s="8"/>
      <c r="O4" s="8"/>
      <c r="P4" s="8"/>
      <c r="Q4" s="8"/>
      <c r="R4" s="8"/>
    </row>
    <row r="5" customFormat="false" ht="189.75" hidden="false" customHeight="true" outlineLevel="0" collapsed="false">
      <c r="A5" s="7" t="s">
        <v>57</v>
      </c>
      <c r="B5" s="7" t="s">
        <v>58</v>
      </c>
      <c r="C5" s="7" t="s">
        <v>40</v>
      </c>
      <c r="D5" s="7" t="s">
        <v>30</v>
      </c>
      <c r="E5" s="7" t="s">
        <v>59</v>
      </c>
      <c r="F5" s="7" t="s">
        <v>60</v>
      </c>
      <c r="G5" s="7" t="s">
        <v>61</v>
      </c>
      <c r="H5" s="7" t="s">
        <v>62</v>
      </c>
      <c r="I5" s="7" t="s">
        <v>63</v>
      </c>
      <c r="J5" s="7" t="s">
        <v>64</v>
      </c>
      <c r="K5" s="7" t="s">
        <v>65</v>
      </c>
      <c r="L5" s="7"/>
      <c r="M5" s="8"/>
      <c r="N5" s="8"/>
      <c r="O5" s="8"/>
      <c r="P5" s="8"/>
      <c r="Q5" s="8"/>
      <c r="R5" s="8"/>
    </row>
    <row r="6" customFormat="false" ht="189.75" hidden="false" customHeight="true" outlineLevel="0" collapsed="false">
      <c r="A6" s="7" t="s">
        <v>66</v>
      </c>
      <c r="B6" s="7" t="s">
        <v>67</v>
      </c>
      <c r="C6" s="7" t="s">
        <v>68</v>
      </c>
      <c r="D6" s="7" t="s">
        <v>30</v>
      </c>
      <c r="E6" s="7" t="s">
        <v>69</v>
      </c>
      <c r="F6" s="7" t="s">
        <v>70</v>
      </c>
      <c r="G6" s="7" t="s">
        <v>71</v>
      </c>
      <c r="H6" s="7" t="s">
        <v>72</v>
      </c>
      <c r="I6" s="7" t="s">
        <v>73</v>
      </c>
      <c r="J6" s="7" t="s">
        <v>74</v>
      </c>
      <c r="K6" s="7" t="s">
        <v>75</v>
      </c>
      <c r="L6" s="7"/>
      <c r="M6" s="8"/>
      <c r="N6" s="8"/>
      <c r="O6" s="8"/>
      <c r="P6" s="8"/>
      <c r="Q6" s="8"/>
      <c r="R6" s="8"/>
    </row>
    <row r="7" customFormat="false" ht="189.75" hidden="false" customHeight="true" outlineLevel="0" collapsed="false">
      <c r="A7" s="7" t="s">
        <v>76</v>
      </c>
      <c r="B7" s="7" t="s">
        <v>77</v>
      </c>
      <c r="C7" s="7" t="s">
        <v>78</v>
      </c>
      <c r="D7" s="7" t="s">
        <v>30</v>
      </c>
      <c r="E7" s="7" t="s">
        <v>79</v>
      </c>
      <c r="F7" s="7" t="s">
        <v>80</v>
      </c>
      <c r="G7" s="7" t="s">
        <v>81</v>
      </c>
      <c r="H7" s="7" t="s">
        <v>82</v>
      </c>
      <c r="I7" s="7" t="s">
        <v>83</v>
      </c>
      <c r="J7" s="7" t="s">
        <v>84</v>
      </c>
      <c r="K7" s="7" t="s">
        <v>85</v>
      </c>
      <c r="L7" s="7"/>
      <c r="M7" s="8"/>
      <c r="N7" s="8"/>
      <c r="O7" s="8"/>
      <c r="P7" s="8"/>
      <c r="Q7" s="8"/>
      <c r="R7" s="8"/>
    </row>
    <row r="8" customFormat="false" ht="189.75" hidden="false" customHeight="true" outlineLevel="0" collapsed="false">
      <c r="A8" s="7" t="s">
        <v>86</v>
      </c>
      <c r="B8" s="7" t="s">
        <v>67</v>
      </c>
      <c r="C8" s="7" t="s">
        <v>29</v>
      </c>
      <c r="D8" s="7" t="s">
        <v>30</v>
      </c>
      <c r="E8" s="7" t="s">
        <v>87</v>
      </c>
      <c r="F8" s="7" t="s">
        <v>88</v>
      </c>
      <c r="G8" s="7" t="s">
        <v>89</v>
      </c>
      <c r="H8" s="7" t="s">
        <v>90</v>
      </c>
      <c r="I8" s="7" t="s">
        <v>91</v>
      </c>
      <c r="J8" s="7" t="s">
        <v>92</v>
      </c>
      <c r="K8" s="7" t="s">
        <v>93</v>
      </c>
      <c r="L8" s="7"/>
      <c r="M8" s="8"/>
      <c r="N8" s="8"/>
      <c r="O8" s="8"/>
      <c r="P8" s="8"/>
      <c r="Q8" s="8"/>
      <c r="R8" s="8"/>
    </row>
    <row r="9" customFormat="false" ht="189.75" hidden="false" customHeight="true" outlineLevel="0" collapsed="false">
      <c r="A9" s="7" t="s">
        <v>94</v>
      </c>
      <c r="B9" s="7" t="s">
        <v>67</v>
      </c>
      <c r="C9" s="7" t="s">
        <v>29</v>
      </c>
      <c r="D9" s="7" t="s">
        <v>30</v>
      </c>
      <c r="E9" s="7" t="s">
        <v>95</v>
      </c>
      <c r="F9" s="7" t="s">
        <v>96</v>
      </c>
      <c r="G9" s="7" t="s">
        <v>97</v>
      </c>
      <c r="H9" s="7" t="s">
        <v>98</v>
      </c>
      <c r="I9" s="7" t="s">
        <v>99</v>
      </c>
      <c r="J9" s="7" t="s">
        <v>100</v>
      </c>
      <c r="K9" s="7" t="s">
        <v>101</v>
      </c>
      <c r="L9" s="7"/>
      <c r="M9" s="8"/>
      <c r="N9" s="8"/>
      <c r="O9" s="8"/>
      <c r="P9" s="8"/>
      <c r="Q9" s="8"/>
      <c r="R9" s="8"/>
    </row>
    <row r="10" customFormat="false" ht="189.75" hidden="false" customHeight="true" outlineLevel="0" collapsed="false">
      <c r="A10" s="7" t="s">
        <v>102</v>
      </c>
      <c r="B10" s="7" t="s">
        <v>77</v>
      </c>
      <c r="C10" s="7" t="s">
        <v>40</v>
      </c>
      <c r="D10" s="7" t="s">
        <v>30</v>
      </c>
      <c r="E10" s="7" t="s">
        <v>103</v>
      </c>
      <c r="F10" s="7" t="s">
        <v>104</v>
      </c>
      <c r="G10" s="7" t="s">
        <v>105</v>
      </c>
      <c r="H10" s="7" t="s">
        <v>106</v>
      </c>
      <c r="I10" s="7" t="s">
        <v>107</v>
      </c>
      <c r="J10" s="7" t="s">
        <v>108</v>
      </c>
      <c r="K10" s="7" t="s">
        <v>109</v>
      </c>
      <c r="L10" s="7"/>
      <c r="M10" s="8"/>
      <c r="N10" s="8"/>
      <c r="O10" s="8"/>
      <c r="P10" s="8"/>
      <c r="Q10" s="8"/>
      <c r="R10" s="8"/>
    </row>
    <row r="11" customFormat="false" ht="189.75" hidden="false" customHeight="true" outlineLevel="0" collapsed="false">
      <c r="A11" s="7" t="s">
        <v>110</v>
      </c>
      <c r="B11" s="7" t="s">
        <v>67</v>
      </c>
      <c r="C11" s="7" t="s">
        <v>29</v>
      </c>
      <c r="D11" s="7" t="s">
        <v>111</v>
      </c>
      <c r="E11" s="7" t="s">
        <v>112</v>
      </c>
      <c r="F11" s="7" t="s">
        <v>113</v>
      </c>
      <c r="G11" s="7" t="s">
        <v>114</v>
      </c>
      <c r="H11" s="7" t="s">
        <v>115</v>
      </c>
      <c r="I11" s="7" t="s">
        <v>116</v>
      </c>
      <c r="J11" s="7" t="s">
        <v>117</v>
      </c>
      <c r="K11" s="7" t="s">
        <v>118</v>
      </c>
      <c r="L11" s="7"/>
      <c r="M11" s="8"/>
      <c r="N11" s="8"/>
      <c r="O11" s="8"/>
      <c r="P11" s="8"/>
      <c r="Q11" s="8"/>
      <c r="R11" s="8"/>
    </row>
    <row r="12" customFormat="false" ht="189.75" hidden="false" customHeight="true" outlineLevel="0" collapsed="false">
      <c r="A12" s="7" t="s">
        <v>119</v>
      </c>
      <c r="B12" s="7" t="s">
        <v>58</v>
      </c>
      <c r="C12" s="7" t="s">
        <v>120</v>
      </c>
      <c r="D12" s="7" t="s">
        <v>111</v>
      </c>
      <c r="E12" s="7" t="s">
        <v>121</v>
      </c>
      <c r="F12" s="7" t="s">
        <v>122</v>
      </c>
      <c r="G12" s="7" t="s">
        <v>123</v>
      </c>
      <c r="H12" s="7" t="s">
        <v>124</v>
      </c>
      <c r="I12" s="7" t="s">
        <v>125</v>
      </c>
      <c r="J12" s="7" t="s">
        <v>126</v>
      </c>
      <c r="K12" s="7" t="s">
        <v>127</v>
      </c>
      <c r="L12" s="7"/>
      <c r="M12" s="8"/>
      <c r="N12" s="8"/>
      <c r="O12" s="8"/>
      <c r="P12" s="8"/>
      <c r="Q12" s="8"/>
      <c r="R12" s="8"/>
    </row>
    <row r="13" customFormat="false" ht="189.75" hidden="false" customHeight="true" outlineLevel="0" collapsed="false">
      <c r="A13" s="7" t="s">
        <v>128</v>
      </c>
      <c r="B13" s="7" t="s">
        <v>39</v>
      </c>
      <c r="C13" s="7" t="s">
        <v>29</v>
      </c>
      <c r="D13" s="7" t="s">
        <v>111</v>
      </c>
      <c r="E13" s="7" t="s">
        <v>129</v>
      </c>
      <c r="F13" s="7" t="s">
        <v>130</v>
      </c>
      <c r="G13" s="7" t="s">
        <v>131</v>
      </c>
      <c r="H13" s="7" t="s">
        <v>132</v>
      </c>
      <c r="I13" s="7" t="s">
        <v>133</v>
      </c>
      <c r="J13" s="7" t="s">
        <v>134</v>
      </c>
      <c r="K13" s="7" t="s">
        <v>135</v>
      </c>
      <c r="L13" s="7"/>
      <c r="M13" s="8"/>
      <c r="N13" s="8"/>
      <c r="O13" s="8"/>
      <c r="P13" s="8"/>
      <c r="Q13" s="8"/>
      <c r="R13" s="8"/>
    </row>
    <row r="14" customFormat="false" ht="189.75" hidden="false" customHeight="true" outlineLevel="0" collapsed="false">
      <c r="A14" s="7" t="s">
        <v>136</v>
      </c>
      <c r="B14" s="7" t="s">
        <v>28</v>
      </c>
      <c r="C14" s="7" t="s">
        <v>137</v>
      </c>
      <c r="D14" s="7" t="s">
        <v>138</v>
      </c>
      <c r="E14" s="7" t="s">
        <v>139</v>
      </c>
      <c r="F14" s="7" t="s">
        <v>140</v>
      </c>
      <c r="G14" s="7" t="s">
        <v>141</v>
      </c>
      <c r="H14" s="7" t="s">
        <v>142</v>
      </c>
      <c r="I14" s="7" t="s">
        <v>143</v>
      </c>
      <c r="J14" s="7" t="s">
        <v>144</v>
      </c>
      <c r="K14" s="7"/>
      <c r="L14" s="7"/>
      <c r="M14" s="8"/>
      <c r="N14" s="8"/>
      <c r="O14" s="8"/>
      <c r="P14" s="8"/>
      <c r="Q14" s="8"/>
      <c r="R14" s="8"/>
    </row>
    <row r="15" customFormat="false" ht="189.75" hidden="false" customHeight="true" outlineLevel="0" collapsed="false">
      <c r="A15" s="7" t="s">
        <v>145</v>
      </c>
      <c r="B15" s="7" t="s">
        <v>67</v>
      </c>
      <c r="C15" s="7" t="s">
        <v>137</v>
      </c>
      <c r="D15" s="7" t="s">
        <v>138</v>
      </c>
      <c r="E15" s="7" t="s">
        <v>146</v>
      </c>
      <c r="F15" s="7" t="s">
        <v>147</v>
      </c>
      <c r="G15" s="7" t="s">
        <v>148</v>
      </c>
      <c r="H15" s="7" t="s">
        <v>149</v>
      </c>
      <c r="I15" s="7" t="s">
        <v>150</v>
      </c>
      <c r="J15" s="7" t="s">
        <v>151</v>
      </c>
      <c r="K15" s="7"/>
      <c r="L15" s="7"/>
      <c r="M15" s="8"/>
      <c r="N15" s="8"/>
      <c r="O15" s="8"/>
      <c r="P15" s="8"/>
      <c r="Q15" s="8"/>
      <c r="R15" s="8"/>
    </row>
    <row r="16" customFormat="false" ht="189.75" hidden="false" customHeight="true" outlineLevel="0" collapsed="false">
      <c r="A16" s="7" t="s">
        <v>152</v>
      </c>
      <c r="B16" s="7" t="s">
        <v>49</v>
      </c>
      <c r="C16" s="7" t="s">
        <v>153</v>
      </c>
      <c r="D16" s="7" t="s">
        <v>154</v>
      </c>
      <c r="E16" s="7" t="s">
        <v>155</v>
      </c>
      <c r="F16" s="7" t="s">
        <v>156</v>
      </c>
      <c r="G16" s="7"/>
      <c r="H16" s="7" t="s">
        <v>157</v>
      </c>
      <c r="I16" s="7" t="s">
        <v>158</v>
      </c>
      <c r="J16" s="7"/>
      <c r="K16" s="7"/>
      <c r="L16" s="7" t="s">
        <v>159</v>
      </c>
      <c r="M16" s="8"/>
      <c r="N16" s="8"/>
      <c r="O16" s="8"/>
      <c r="P16" s="8"/>
      <c r="Q16" s="8"/>
      <c r="R16" s="8"/>
    </row>
    <row r="17" customFormat="false" ht="189.75" hidden="false" customHeight="true" outlineLevel="0" collapsed="false">
      <c r="A17" s="7" t="s">
        <v>160</v>
      </c>
      <c r="B17" s="7" t="s">
        <v>67</v>
      </c>
      <c r="C17" s="7" t="s">
        <v>29</v>
      </c>
      <c r="D17" s="7" t="s">
        <v>154</v>
      </c>
      <c r="E17" s="7" t="s">
        <v>161</v>
      </c>
      <c r="F17" s="7" t="s">
        <v>162</v>
      </c>
      <c r="G17" s="7"/>
      <c r="H17" s="7" t="s">
        <v>163</v>
      </c>
      <c r="I17" s="7" t="s">
        <v>164</v>
      </c>
      <c r="J17" s="7"/>
      <c r="K17" s="7"/>
      <c r="L17" s="7" t="s">
        <v>165</v>
      </c>
      <c r="M17" s="8"/>
      <c r="N17" s="8"/>
      <c r="O17" s="8"/>
      <c r="P17" s="8"/>
      <c r="Q17" s="8"/>
      <c r="R17" s="8"/>
    </row>
    <row r="18" customFormat="false" ht="189.75" hidden="false" customHeight="true" outlineLevel="0" collapsed="false">
      <c r="A18" s="7" t="s">
        <v>166</v>
      </c>
      <c r="B18" s="7" t="s">
        <v>58</v>
      </c>
      <c r="C18" s="7" t="s">
        <v>167</v>
      </c>
      <c r="D18" s="7" t="s">
        <v>168</v>
      </c>
      <c r="E18" s="7" t="s">
        <v>169</v>
      </c>
      <c r="F18" s="7" t="s">
        <v>170</v>
      </c>
      <c r="G18" s="7" t="s">
        <v>171</v>
      </c>
      <c r="H18" s="7" t="s">
        <v>172</v>
      </c>
      <c r="I18" s="7" t="s">
        <v>173</v>
      </c>
      <c r="J18" s="7" t="s">
        <v>174</v>
      </c>
      <c r="K18" s="7"/>
      <c r="L18" s="7" t="s">
        <v>175</v>
      </c>
      <c r="M18" s="8"/>
      <c r="N18" s="8"/>
      <c r="O18" s="8"/>
      <c r="P18" s="8"/>
      <c r="Q18" s="8"/>
      <c r="R18" s="8"/>
    </row>
    <row r="19" customFormat="false" ht="189.75" hidden="false" customHeight="true" outlineLevel="0" collapsed="false">
      <c r="A19" s="7" t="s">
        <v>176</v>
      </c>
      <c r="B19" s="7" t="s">
        <v>77</v>
      </c>
      <c r="C19" s="7" t="s">
        <v>167</v>
      </c>
      <c r="D19" s="7" t="s">
        <v>168</v>
      </c>
      <c r="E19" s="7" t="s">
        <v>177</v>
      </c>
      <c r="F19" s="7" t="s">
        <v>178</v>
      </c>
      <c r="G19" s="7" t="s">
        <v>179</v>
      </c>
      <c r="H19" s="7" t="s">
        <v>180</v>
      </c>
      <c r="I19" s="7" t="s">
        <v>181</v>
      </c>
      <c r="J19" s="7" t="s">
        <v>182</v>
      </c>
      <c r="K19" s="7"/>
      <c r="L19" s="7" t="s">
        <v>183</v>
      </c>
      <c r="M19" s="8"/>
      <c r="N19" s="8"/>
      <c r="O19" s="8"/>
      <c r="P19" s="8"/>
      <c r="Q19" s="8"/>
      <c r="R19" s="8"/>
    </row>
    <row r="20" customFormat="false" ht="189.75" hidden="false" customHeight="true" outlineLevel="0" collapsed="false">
      <c r="A20" s="7" t="s">
        <v>184</v>
      </c>
      <c r="B20" s="7" t="s">
        <v>28</v>
      </c>
      <c r="C20" s="7" t="s">
        <v>185</v>
      </c>
      <c r="D20" s="7" t="s">
        <v>186</v>
      </c>
      <c r="E20" s="7" t="s">
        <v>187</v>
      </c>
      <c r="F20" s="7" t="s">
        <v>188</v>
      </c>
      <c r="G20" s="7" t="s">
        <v>189</v>
      </c>
      <c r="H20" s="7" t="s">
        <v>190</v>
      </c>
      <c r="I20" s="7" t="s">
        <v>191</v>
      </c>
      <c r="J20" s="7" t="s">
        <v>192</v>
      </c>
      <c r="K20" s="7" t="s">
        <v>193</v>
      </c>
      <c r="L20" s="7"/>
      <c r="M20" s="8"/>
      <c r="N20" s="8"/>
      <c r="O20" s="8"/>
      <c r="P20" s="8"/>
      <c r="Q20" s="8"/>
      <c r="R20" s="8"/>
    </row>
    <row r="21" customFormat="false" ht="189.75" hidden="false" customHeight="true" outlineLevel="0" collapsed="false">
      <c r="A21" s="7" t="s">
        <v>194</v>
      </c>
      <c r="B21" s="7" t="s">
        <v>58</v>
      </c>
      <c r="C21" s="7" t="s">
        <v>185</v>
      </c>
      <c r="D21" s="7" t="s">
        <v>186</v>
      </c>
      <c r="E21" s="7" t="s">
        <v>195</v>
      </c>
      <c r="F21" s="7" t="s">
        <v>196</v>
      </c>
      <c r="G21" s="7" t="s">
        <v>197</v>
      </c>
      <c r="H21" s="7" t="s">
        <v>198</v>
      </c>
      <c r="I21" s="7" t="s">
        <v>199</v>
      </c>
      <c r="J21" s="7" t="s">
        <v>200</v>
      </c>
      <c r="K21" s="7" t="s">
        <v>201</v>
      </c>
      <c r="L21" s="7"/>
      <c r="M21" s="8"/>
      <c r="N21" s="8"/>
      <c r="O21" s="8"/>
      <c r="P21" s="8"/>
      <c r="Q21" s="8"/>
      <c r="R21" s="8"/>
    </row>
  </sheetData>
  <autoFilter ref="A1:R21"/>
  <conditionalFormatting sqref="Q2:Q21">
    <cfRule type="cellIs" priority="2" operator="equal" aboveAverage="0" equalAverage="0" bottom="0" percent="0" rank="0" text="" dxfId="7">
      <formula>"Approve"</formula>
    </cfRule>
    <cfRule type="cellIs" priority="3" operator="equal" aboveAverage="0" equalAverage="0" bottom="0" percent="0" rank="0" text="" dxfId="8">
      <formula>"Rewrite"</formula>
    </cfRule>
  </conditionalFormatting>
  <conditionalFormatting sqref="O2:O21">
    <cfRule type="cellIs" priority="4" operator="equal" aboveAverage="0" equalAverage="0" bottom="0" percent="0" rank="0" text="" dxfId="8">
      <formula>"No"</formula>
    </cfRule>
  </conditionalFormatting>
  <dataValidations count="3">
    <dataValidation allowBlank="true" errorStyle="stop" operator="between" showDropDown="false" showErrorMessage="false" showInputMessage="false" sqref="N2:N21" type="list">
      <formula1>"Yes,Mostly,No"</formula1>
      <formula2>0</formula2>
    </dataValidation>
    <dataValidation allowBlank="true" errorStyle="stop" operator="between" showDropDown="false" showErrorMessage="false" showInputMessage="false" sqref="O2:O21" type="list">
      <formula1>"Yes,No"</formula1>
      <formula2>0</formula2>
    </dataValidation>
    <dataValidation allowBlank="true" errorStyle="stop" operator="between" showDropDown="false" showErrorMessage="false" showInputMessage="false" sqref="Q2:Q21" type="list">
      <formula1>"Approve,Fix,Rewrite"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6"/>
    <col collapsed="false" customWidth="true" hidden="false" outlineLevel="0" max="3" min="3" style="0" width="12"/>
    <col collapsed="false" customWidth="true" hidden="false" outlineLevel="0" max="5" min="4" style="0" width="14"/>
    <col collapsed="false" customWidth="true" hidden="false" outlineLevel="0" max="6" min="6" style="0" width="80"/>
  </cols>
  <sheetData>
    <row r="1" customFormat="false" ht="35.05" hidden="false" customHeight="false" outlineLevel="0" collapsed="false">
      <c r="A1" s="3" t="s">
        <v>9</v>
      </c>
      <c r="B1" s="5" t="s">
        <v>202</v>
      </c>
      <c r="C1" s="5" t="s">
        <v>203</v>
      </c>
      <c r="D1" s="5" t="s">
        <v>204</v>
      </c>
      <c r="E1" s="5" t="s">
        <v>205</v>
      </c>
      <c r="F1" s="5" t="s">
        <v>206</v>
      </c>
    </row>
    <row r="2" customFormat="false" ht="15" hidden="false" customHeight="false" outlineLevel="0" collapsed="false">
      <c r="A2" s="7" t="s">
        <v>27</v>
      </c>
      <c r="B2" s="7" t="s">
        <v>207</v>
      </c>
      <c r="C2" s="7" t="n">
        <v>5</v>
      </c>
      <c r="D2" s="7" t="s">
        <v>208</v>
      </c>
      <c r="E2" s="7" t="s">
        <v>208</v>
      </c>
      <c r="F2" s="7" t="s">
        <v>209</v>
      </c>
    </row>
    <row r="3" customFormat="false" ht="15" hidden="false" customHeight="false" outlineLevel="0" collapsed="false">
      <c r="A3" s="7" t="s">
        <v>38</v>
      </c>
      <c r="B3" s="7" t="s">
        <v>207</v>
      </c>
      <c r="C3" s="7" t="n">
        <v>5</v>
      </c>
      <c r="D3" s="7" t="s">
        <v>208</v>
      </c>
      <c r="E3" s="7" t="s">
        <v>208</v>
      </c>
      <c r="F3" s="7" t="s">
        <v>209</v>
      </c>
    </row>
    <row r="4" customFormat="false" ht="15" hidden="false" customHeight="false" outlineLevel="0" collapsed="false">
      <c r="A4" s="7" t="s">
        <v>48</v>
      </c>
      <c r="B4" s="7" t="s">
        <v>207</v>
      </c>
      <c r="C4" s="7" t="n">
        <v>5</v>
      </c>
      <c r="D4" s="7" t="s">
        <v>208</v>
      </c>
      <c r="E4" s="7" t="s">
        <v>208</v>
      </c>
      <c r="F4" s="7" t="s">
        <v>209</v>
      </c>
    </row>
    <row r="5" customFormat="false" ht="15" hidden="false" customHeight="false" outlineLevel="0" collapsed="false">
      <c r="A5" s="7" t="s">
        <v>57</v>
      </c>
      <c r="B5" s="7" t="s">
        <v>207</v>
      </c>
      <c r="C5" s="7" t="n">
        <v>5</v>
      </c>
      <c r="D5" s="7" t="s">
        <v>208</v>
      </c>
      <c r="E5" s="7" t="s">
        <v>208</v>
      </c>
      <c r="F5" s="7" t="s">
        <v>209</v>
      </c>
    </row>
    <row r="6" customFormat="false" ht="15" hidden="false" customHeight="false" outlineLevel="0" collapsed="false">
      <c r="A6" s="7" t="s">
        <v>66</v>
      </c>
      <c r="B6" s="7" t="s">
        <v>207</v>
      </c>
      <c r="C6" s="7" t="n">
        <v>5</v>
      </c>
      <c r="D6" s="7" t="s">
        <v>210</v>
      </c>
      <c r="E6" s="7" t="s">
        <v>210</v>
      </c>
      <c r="F6" s="7" t="s">
        <v>211</v>
      </c>
    </row>
    <row r="7" customFormat="false" ht="15" hidden="false" customHeight="false" outlineLevel="0" collapsed="false">
      <c r="A7" s="7" t="s">
        <v>76</v>
      </c>
      <c r="B7" s="7" t="s">
        <v>207</v>
      </c>
      <c r="C7" s="7" t="n">
        <v>5</v>
      </c>
      <c r="D7" s="7" t="s">
        <v>210</v>
      </c>
      <c r="E7" s="7" t="s">
        <v>208</v>
      </c>
      <c r="F7" s="7" t="s">
        <v>209</v>
      </c>
    </row>
    <row r="8" customFormat="false" ht="15" hidden="false" customHeight="false" outlineLevel="0" collapsed="false">
      <c r="A8" s="7" t="s">
        <v>86</v>
      </c>
      <c r="B8" s="7" t="s">
        <v>207</v>
      </c>
      <c r="C8" s="7" t="n">
        <v>5</v>
      </c>
      <c r="D8" s="7" t="s">
        <v>208</v>
      </c>
      <c r="E8" s="7" t="s">
        <v>208</v>
      </c>
      <c r="F8" s="7" t="s">
        <v>209</v>
      </c>
    </row>
    <row r="9" customFormat="false" ht="15" hidden="false" customHeight="false" outlineLevel="0" collapsed="false">
      <c r="A9" s="7" t="s">
        <v>94</v>
      </c>
      <c r="B9" s="7" t="s">
        <v>207</v>
      </c>
      <c r="C9" s="7" t="n">
        <v>5</v>
      </c>
      <c r="D9" s="7" t="s">
        <v>208</v>
      </c>
      <c r="E9" s="7" t="s">
        <v>208</v>
      </c>
      <c r="F9" s="7" t="s">
        <v>209</v>
      </c>
    </row>
    <row r="10" customFormat="false" ht="15" hidden="false" customHeight="false" outlineLevel="0" collapsed="false">
      <c r="A10" s="7" t="s">
        <v>102</v>
      </c>
      <c r="B10" s="7" t="s">
        <v>207</v>
      </c>
      <c r="C10" s="7" t="n">
        <v>5</v>
      </c>
      <c r="D10" s="7" t="s">
        <v>208</v>
      </c>
      <c r="E10" s="7" t="s">
        <v>208</v>
      </c>
      <c r="F10" s="7" t="s">
        <v>209</v>
      </c>
    </row>
    <row r="11" customFormat="false" ht="15" hidden="false" customHeight="false" outlineLevel="0" collapsed="false">
      <c r="A11" s="7" t="s">
        <v>110</v>
      </c>
      <c r="B11" s="7" t="s">
        <v>207</v>
      </c>
      <c r="C11" s="7" t="n">
        <v>5</v>
      </c>
      <c r="D11" s="7" t="s">
        <v>208</v>
      </c>
      <c r="E11" s="7" t="s">
        <v>208</v>
      </c>
      <c r="F11" s="7" t="s">
        <v>209</v>
      </c>
    </row>
    <row r="12" customFormat="false" ht="15" hidden="false" customHeight="false" outlineLevel="0" collapsed="false">
      <c r="A12" s="7" t="s">
        <v>119</v>
      </c>
      <c r="B12" s="7" t="s">
        <v>207</v>
      </c>
      <c r="C12" s="7" t="n">
        <v>5</v>
      </c>
      <c r="D12" s="7" t="s">
        <v>208</v>
      </c>
      <c r="E12" s="7" t="s">
        <v>208</v>
      </c>
      <c r="F12" s="7" t="s">
        <v>209</v>
      </c>
    </row>
    <row r="13" customFormat="false" ht="15" hidden="false" customHeight="false" outlineLevel="0" collapsed="false">
      <c r="A13" s="7" t="s">
        <v>128</v>
      </c>
      <c r="B13" s="7" t="s">
        <v>207</v>
      </c>
      <c r="C13" s="7" t="n">
        <v>5</v>
      </c>
      <c r="D13" s="7" t="s">
        <v>208</v>
      </c>
      <c r="E13" s="7" t="s">
        <v>208</v>
      </c>
      <c r="F13" s="7" t="s">
        <v>209</v>
      </c>
    </row>
    <row r="14" customFormat="false" ht="15" hidden="false" customHeight="false" outlineLevel="0" collapsed="false">
      <c r="A14" s="7" t="s">
        <v>136</v>
      </c>
      <c r="B14" s="7" t="s">
        <v>207</v>
      </c>
      <c r="C14" s="7" t="n">
        <v>5</v>
      </c>
      <c r="D14" s="7" t="s">
        <v>210</v>
      </c>
      <c r="E14" s="7" t="s">
        <v>208</v>
      </c>
      <c r="F14" s="7" t="s">
        <v>209</v>
      </c>
    </row>
    <row r="15" customFormat="false" ht="15" hidden="false" customHeight="false" outlineLevel="0" collapsed="false">
      <c r="A15" s="7" t="s">
        <v>145</v>
      </c>
      <c r="B15" s="7" t="s">
        <v>207</v>
      </c>
      <c r="C15" s="7" t="n">
        <v>5</v>
      </c>
      <c r="D15" s="7" t="s">
        <v>208</v>
      </c>
      <c r="E15" s="7" t="s">
        <v>208</v>
      </c>
      <c r="F15" s="7" t="s">
        <v>209</v>
      </c>
    </row>
    <row r="16" customFormat="false" ht="15" hidden="false" customHeight="false" outlineLevel="0" collapsed="false">
      <c r="A16" s="7" t="s">
        <v>152</v>
      </c>
      <c r="B16" s="7" t="s">
        <v>207</v>
      </c>
      <c r="C16" s="7" t="n">
        <v>5</v>
      </c>
      <c r="D16" s="7" t="s">
        <v>208</v>
      </c>
      <c r="E16" s="7" t="s">
        <v>208</v>
      </c>
      <c r="F16" s="7" t="s">
        <v>209</v>
      </c>
    </row>
    <row r="17" customFormat="false" ht="15" hidden="false" customHeight="false" outlineLevel="0" collapsed="false">
      <c r="A17" s="7" t="s">
        <v>160</v>
      </c>
      <c r="B17" s="7" t="s">
        <v>207</v>
      </c>
      <c r="C17" s="7" t="n">
        <v>5</v>
      </c>
      <c r="D17" s="7" t="s">
        <v>208</v>
      </c>
      <c r="E17" s="7" t="s">
        <v>208</v>
      </c>
      <c r="F17" s="7" t="s">
        <v>209</v>
      </c>
    </row>
    <row r="18" customFormat="false" ht="15" hidden="false" customHeight="false" outlineLevel="0" collapsed="false">
      <c r="A18" s="7" t="s">
        <v>166</v>
      </c>
      <c r="B18" s="7" t="s">
        <v>207</v>
      </c>
      <c r="C18" s="7" t="n">
        <v>5</v>
      </c>
      <c r="D18" s="7" t="s">
        <v>208</v>
      </c>
      <c r="E18" s="7" t="s">
        <v>208</v>
      </c>
      <c r="F18" s="7" t="s">
        <v>209</v>
      </c>
    </row>
    <row r="19" customFormat="false" ht="15" hidden="false" customHeight="false" outlineLevel="0" collapsed="false">
      <c r="A19" s="7" t="s">
        <v>176</v>
      </c>
      <c r="B19" s="7" t="s">
        <v>207</v>
      </c>
      <c r="C19" s="7" t="n">
        <v>5</v>
      </c>
      <c r="D19" s="7" t="s">
        <v>208</v>
      </c>
      <c r="E19" s="7" t="s">
        <v>208</v>
      </c>
      <c r="F19" s="7" t="s">
        <v>209</v>
      </c>
    </row>
    <row r="20" customFormat="false" ht="15" hidden="false" customHeight="false" outlineLevel="0" collapsed="false">
      <c r="A20" s="7" t="s">
        <v>184</v>
      </c>
      <c r="B20" s="7" t="s">
        <v>207</v>
      </c>
      <c r="C20" s="7" t="n">
        <v>5</v>
      </c>
      <c r="D20" s="7" t="s">
        <v>208</v>
      </c>
      <c r="E20" s="7" t="s">
        <v>208</v>
      </c>
      <c r="F20" s="7" t="s">
        <v>209</v>
      </c>
    </row>
    <row r="21" customFormat="false" ht="15" hidden="false" customHeight="false" outlineLevel="0" collapsed="false">
      <c r="A21" s="7" t="s">
        <v>194</v>
      </c>
      <c r="B21" s="7" t="s">
        <v>207</v>
      </c>
      <c r="C21" s="7" t="n">
        <v>5</v>
      </c>
      <c r="D21" s="7" t="s">
        <v>208</v>
      </c>
      <c r="E21" s="7" t="s">
        <v>208</v>
      </c>
      <c r="F21" s="7" t="s">
        <v>209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4"/>
  </cols>
  <sheetData>
    <row r="1" customFormat="false" ht="15" hidden="false" customHeight="false" outlineLevel="0" collapsed="false">
      <c r="A1" s="3" t="s">
        <v>212</v>
      </c>
      <c r="B1" s="3" t="s">
        <v>213</v>
      </c>
    </row>
    <row r="2" customFormat="false" ht="15" hidden="false" customHeight="false" outlineLevel="0" collapsed="false">
      <c r="A2" s="7" t="s">
        <v>214</v>
      </c>
      <c r="B2" s="7" t="n">
        <f aca="false">COUNTA('Spot check'!A2:A21)</f>
        <v>20</v>
      </c>
    </row>
    <row r="3" customFormat="false" ht="15" hidden="false" customHeight="false" outlineLevel="0" collapsed="false">
      <c r="A3" s="7" t="s">
        <v>215</v>
      </c>
      <c r="B3" s="7" t="n">
        <f aca="false">COUNTA('Spot check'!Q2:Q21)</f>
        <v>0</v>
      </c>
    </row>
    <row r="4" customFormat="false" ht="15" hidden="false" customHeight="false" outlineLevel="0" collapsed="false">
      <c r="A4" s="7" t="s">
        <v>216</v>
      </c>
      <c r="B4" s="7" t="n">
        <f aca="false">COUNTIF('Spot check'!Q2:Q21,"Approve")</f>
        <v>0</v>
      </c>
    </row>
    <row r="5" customFormat="false" ht="15" hidden="false" customHeight="false" outlineLevel="0" collapsed="false">
      <c r="A5" s="7" t="s">
        <v>217</v>
      </c>
      <c r="B5" s="7" t="n">
        <f aca="false">COUNTIF('Spot check'!Q2:Q21,"Fix")</f>
        <v>0</v>
      </c>
    </row>
    <row r="6" customFormat="false" ht="15" hidden="false" customHeight="false" outlineLevel="0" collapsed="false">
      <c r="A6" s="7" t="s">
        <v>218</v>
      </c>
      <c r="B6" s="7" t="n">
        <f aca="false">COUNTIF('Spot check'!Q2:Q21,"Rewrite")</f>
        <v>0</v>
      </c>
    </row>
    <row r="7" customFormat="false" ht="15" hidden="false" customHeight="false" outlineLevel="0" collapsed="false">
      <c r="A7" s="7" t="s">
        <v>219</v>
      </c>
      <c r="B7" s="7" t="n">
        <f aca="false">COUNTIF('Spot check'!O2:O21,"No")</f>
        <v>0</v>
      </c>
    </row>
    <row r="8" customFormat="false" ht="15" hidden="false" customHeight="false" outlineLevel="0" collapsed="false">
      <c r="A8" s="7" t="s">
        <v>220</v>
      </c>
      <c r="B8" s="7" t="str">
        <f aca="false">IF(AND(COUNTIF('Spot check'!Q2:Q21,"Approve")&gt;=18,COUNTIF('Spot check'!O2:O21,"No")=0),"YES","NOT YET")</f>
        <v>NOT YET</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2026-09-11T08:14:32Z</dcterms:created>
  <dc:creator>openpyxl</dc:creator>
  <dc:description/>
  <dc:language>en-US</dc:language>
  <cp:lastModifiedBy/>
  <dcterms:modified xsi:type="dcterms:W3CDTF">2026-09-11T08:14:32Z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