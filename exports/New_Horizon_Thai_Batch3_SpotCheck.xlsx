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ot check" sheetId="2" state="visible" r:id="rId2"/>
    <sheet xmlns:r="http://schemas.openxmlformats.org/officeDocument/2006/relationships" name="Batch context" sheetId="3" state="visible" r:id="rId3"/>
    <sheet xmlns:r="http://schemas.openxmlformats.org/officeDocument/2006/relationships" name="Decision" sheetId="4" state="visible" r:id="rId4"/>
  </sheets>
  <definedNames>
    <definedName name="_xlnm._FilterDatabase" localSheetId="1" hidden="1">'Spot check'!$A$1:$R$21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F8F6B"/>
      </patternFill>
    </fill>
    <fill>
      <patternFill patternType="solid">
        <fgColor rgb="007B5EA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5B3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New Horizon — Thai Batch 3 Second-Reviewer Spot Check (template-generated items)</t>
        </is>
      </c>
    </row>
    <row r="2">
      <c r="A2" s="2" t="inlineStr">
        <is>
          <t>Generated 2026-09-14 after the batch-3 native review of the templates (51 of ~290 strings corrected, all meaning Same, keys unambiguous). Batch 3 covers the 408 template-generated questions (240 ADV-*, 168 TREND-*). This sample shows 20 fully rendered questions — every one of the 17 scenario frames appears once, each with a different competency, plus 3 more — so the second reader judges the assembled text, not the templates. Verdicts here promote all 408 items together.</t>
        </is>
      </c>
    </row>
    <row r="3">
      <c r="A3" s="2" t="inlineStr"/>
    </row>
    <row r="4">
      <c r="A4" s="1" t="inlineStr">
        <is>
          <t>PURPOSE</t>
        </is>
      </c>
    </row>
    <row r="5">
      <c r="A5" s="2" t="inlineStr">
        <is>
          <t>A second native Thai reader independently confirms the first review before batch 3 is promoted from 'reviewed' to 'approved' and the Thai toggle leaves pilot-only status. You are checking the Thai as a user would experience it, not re-translating.</t>
        </is>
      </c>
    </row>
    <row r="6">
      <c r="A6" s="2" t="inlineStr"/>
    </row>
    <row r="7">
      <c r="A7" s="1" t="inlineStr">
        <is>
          <t>HOW</t>
        </is>
      </c>
    </row>
    <row r="8">
      <c r="A8" s="2" t="inlineStr">
        <is>
          <t>Sheet 'Spot check' — one row per question with the Thai exactly as the app shows it (scenario, prompt, choices with ✔ on the key, feedback EN ⇄ TH). Answer the question in Thai first, THEN look at the key. If the Thai led you to a different answer than the English key, mark 'Key still unambiguous?' = No and explain.</t>
        </is>
      </c>
    </row>
    <row r="9">
      <c r="A9" s="2" t="inlineStr">
        <is>
          <t>Fill: Would a Thai colleague understand this on first read? (Yes / Mostly / No) · Key still unambiguous? (Yes / No) · Any wrong or unnatural term? (free text) · Verdict (Approve / Fix / Rewrite) · Comment.</t>
        </is>
      </c>
    </row>
    <row r="10">
      <c r="A10" s="2" t="inlineStr">
        <is>
          <t>Decision rule: if 18 or more of the 20 are Approve and no item has 'Key still unambiguous? = No', batch 3 is promoted to 'approved'. Otherwise the flagged pattern is fixed across all 408 items first, and a fresh 20-item sample is drawn.</t>
        </is>
      </c>
    </row>
    <row r="11">
      <c r="A11" s="2" t="inlineStr"/>
    </row>
    <row r="12">
      <c r="A12" s="2" t="inlineStr">
        <is>
          <t>Sheet 'Batch context' is not applicable for template items (the first review was of templates, see docs/THAI_BATCH3_REVIEW_RESPONSE.md).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4" customWidth="1" min="3" max="3"/>
    <col width="10" customWidth="1" min="4" max="4"/>
    <col width="50" customWidth="1" min="5" max="5"/>
    <col width="32" customWidth="1" min="6" max="6"/>
    <col width="55" customWidth="1" min="7" max="7"/>
    <col width="50" customWidth="1" min="8" max="8"/>
    <col width="32" customWidth="1" min="9" max="9"/>
    <col width="55" customWidth="1" min="10" max="10"/>
    <col width="60" customWidth="1" min="11" max="11"/>
    <col width="50" customWidth="1" min="12" max="12"/>
    <col width="12" customWidth="1" min="13" max="13"/>
    <col width="14" customWidth="1" min="14" max="14"/>
    <col width="14" customWidth="1" min="15" max="15"/>
    <col width="30" customWidth="1" min="16" max="16"/>
    <col width="11" customWidth="1" min="17" max="17"/>
    <col width="45" customWidth="1" min="18" max="18"/>
  </cols>
  <sheetData>
    <row r="1">
      <c r="A1" s="3" t="inlineStr">
        <is>
          <t>Question ID</t>
        </is>
      </c>
      <c r="B1" s="3" t="inlineStr">
        <is>
          <t>Domain</t>
        </is>
      </c>
      <c r="C1" s="3" t="inlineStr">
        <is>
          <t>Type</t>
        </is>
      </c>
      <c r="D1" s="3" t="inlineStr">
        <is>
          <t>Interaction</t>
        </is>
      </c>
      <c r="E1" s="4" t="inlineStr">
        <is>
          <t>EN — Scenario</t>
        </is>
      </c>
      <c r="F1" s="4" t="inlineStr">
        <is>
          <t>EN — Prompt</t>
        </is>
      </c>
      <c r="G1" s="4" t="inlineStr">
        <is>
          <t>EN — Choices (✔ key)</t>
        </is>
      </c>
      <c r="H1" s="5" t="inlineStr">
        <is>
          <t>TH — Scenario</t>
        </is>
      </c>
      <c r="I1" s="5" t="inlineStr">
        <is>
          <t>TH — Prompt</t>
        </is>
      </c>
      <c r="J1" s="5" t="inlineStr">
        <is>
          <t>TH — Choices (✔ key)</t>
        </is>
      </c>
      <c r="K1" s="5" t="inlineStr">
        <is>
          <t>Feedback EN ⇄ TH</t>
        </is>
      </c>
      <c r="L1" s="5" t="inlineStr">
        <is>
          <t>Rubric / rationale EN | TH</t>
        </is>
      </c>
      <c r="M1" s="6" t="inlineStr">
        <is>
          <t>Reviewer</t>
        </is>
      </c>
      <c r="N1" s="6" t="inlineStr">
        <is>
          <t>Understood on first read?</t>
        </is>
      </c>
      <c r="O1" s="6" t="inlineStr">
        <is>
          <t>Key still unambiguous?</t>
        </is>
      </c>
      <c r="P1" s="6" t="inlineStr">
        <is>
          <t>Wrong or unnatural term?</t>
        </is>
      </c>
      <c r="Q1" s="6" t="inlineStr">
        <is>
          <t>Verdict</t>
        </is>
      </c>
      <c r="R1" s="6" t="inlineStr">
        <is>
          <t>Comment</t>
        </is>
      </c>
    </row>
    <row r="2" ht="190" customHeight="1">
      <c r="A2" s="7" t="inlineStr">
        <is>
          <t>ADV-D1-CORE-CONCEPTS-01</t>
        </is>
      </c>
      <c r="B2" s="7" t="inlineStr">
        <is>
          <t>D1</t>
        </is>
      </c>
      <c r="C2" s="7" t="inlineStr">
        <is>
          <t>judgment</t>
        </is>
      </c>
      <c r="D2" s="7" t="inlineStr">
        <is>
          <t>single</t>
        </is>
      </c>
      <c r="E2" s="7" t="inlineStr">
        <is>
          <t>A cross-functional team wants to scale an AI workflow from a controlled pilot to three departments. Focus competency: Core AI concepts. Relevant skills: AI vocabulary, LLM basics, models vs apps.</t>
        </is>
      </c>
      <c r="F2" s="7" t="inlineStr">
        <is>
          <t>Which decision best demonstrates advanced judgment for this competency?</t>
        </is>
      </c>
      <c r="G2" s="7" t="inlineStr">
        <is>
          <t>✔ Define success criteria, evidence requirements, ownership, and review controls for core ai concepts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2" s="7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 สมรรถนะที่วัด: แนวคิดพื้นฐานด้าน AI ทักษะที่เกี่ยวข้อง: คำศัพท์ด้าน AI, พื้นฐาน LLM, ความแตกต่างระหว่างโมเดลกับแอป</t>
        </is>
      </c>
      <c r="I2" s="7" t="inlineStr">
        <is>
          <t>การตัดสินใจข้อใดแสดงวิจารณญาณระดับสูงสำหรับสมรรถนะนี้ได้ดีที่สุด</t>
        </is>
      </c>
      <c r="J2" s="7" t="inlineStr">
        <is>
          <t>✔ กำหนดเกณฑ์ความสำเร็จ หลักฐานที่ต้องมี ผู้รับผิดชอบ และมาตรการตรวจทานสำหรับ แนวคิดพื้นฐานด้าน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2" s="7" t="inlineStr">
        <is>
          <t>✔ Strong advanced evidence. The answer connects core ai concepts to measurable outcomes, constraints, and accountable operation. ⇄ ถูกต้อง หลักฐานระดับสูงที่ชัดเจน คำตอบนี้เชื่อม แนวคิดพื้นฐานด้าน AI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2" s="7" t="inlineStr"/>
      <c r="M2" s="8" t="inlineStr"/>
      <c r="N2" s="8" t="inlineStr"/>
      <c r="O2" s="8" t="inlineStr"/>
      <c r="P2" s="8" t="inlineStr"/>
      <c r="Q2" s="8" t="inlineStr"/>
      <c r="R2" s="8" t="inlineStr"/>
    </row>
    <row r="3" ht="190" customHeight="1">
      <c r="A3" s="7" t="inlineStr">
        <is>
          <t>ADV-D5-TRANSFORMATION-STRATEGY-02</t>
        </is>
      </c>
      <c r="B3" s="7" t="inlineStr">
        <is>
          <t>D5</t>
        </is>
      </c>
      <c r="C3" s="7" t="inlineStr">
        <is>
          <t>judgment</t>
        </is>
      </c>
      <c r="D3" s="7" t="inlineStr">
        <is>
          <t>single</t>
        </is>
      </c>
      <c r="E3" s="7" t="inlineStr">
        <is>
          <t>A recent AI-assisted workflow incident exposed unclear ownership, weak evidence, and a rushed approval path. Focus competency: Strategy and transformation. Relevant skills: business-case design, scale criteria, trend judgment.</t>
        </is>
      </c>
      <c r="F3" s="7" t="inlineStr">
        <is>
          <t>What should the review team do before restoring or expanding the workflow?</t>
        </is>
      </c>
      <c r="G3" s="7" t="inlineStr">
        <is>
          <t>✔ Define success criteria, evidence requirements, ownership, and review controls for strategy and transformation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3" s="7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 สมรรถนะที่วัด: กลยุทธ์และการเปลี่ยนผ่านองค์กร ทักษะที่เกี่ยวข้อง: การจัดทำข้อเสนอทางธุรกิจ (business case), เกณฑ์การขยายผล, การประเมินแนวโน้ม</t>
        </is>
      </c>
      <c r="I3" s="7" t="inlineStr">
        <is>
          <t>ทีมทบทวนควรทำสิ่งใดก่อนจะกลับมาใช้งานหรือขยายขั้นตอนงานนี้</t>
        </is>
      </c>
      <c r="J3" s="7" t="inlineStr">
        <is>
          <t>✔ กำหนดเกณฑ์ความสำเร็จ หลักฐานที่ต้องมี ผู้รับผิดชอบ และมาตรการตรวจทานสำหรับ กลยุทธ์และการเปลี่ยนผ่านองค์กร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3" s="7" t="inlineStr">
        <is>
          <t>✔ Strong advanced evidence. The answer connects strategy and transformation to measurable outcomes, constraints, and accountable operation. ⇄ ถูกต้อง หลักฐานระดับสูงที่ชัดเจน คำตอบนี้เชื่อม กลยุทธ์และการเปลี่ยนผ่านองค์กร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3" s="7" t="inlineStr"/>
      <c r="M3" s="8" t="inlineStr"/>
      <c r="N3" s="8" t="inlineStr"/>
      <c r="O3" s="8" t="inlineStr"/>
      <c r="P3" s="8" t="inlineStr"/>
      <c r="Q3" s="8" t="inlineStr"/>
      <c r="R3" s="8" t="inlineStr"/>
    </row>
    <row r="4" ht="190" customHeight="1">
      <c r="A4" s="7" t="inlineStr">
        <is>
          <t>ADV-D2-PROMPT-DESIGN-03</t>
        </is>
      </c>
      <c r="B4" s="7" t="inlineStr">
        <is>
          <t>D2</t>
        </is>
      </c>
      <c r="C4" s="7" t="inlineStr">
        <is>
          <t>judgment</t>
        </is>
      </c>
      <c r="D4" s="7" t="inlineStr">
        <is>
          <t>single</t>
        </is>
      </c>
      <c r="E4" s="7" t="inlineStr">
        <is>
          <t>A vendor claims its AI capability is enterprise-ready, but the evidence package is incomplete and business sponsors are eager to proceed. Focus competency: Prompt design. Relevant skills: prompt repair, role and task framing, constraints.</t>
        </is>
      </c>
      <c r="F4" s="7" t="inlineStr">
        <is>
          <t>Which approval condition is strongest?</t>
        </is>
      </c>
      <c r="G4" s="7" t="inlineStr">
        <is>
          <t>✔ Define success criteria, evidence requirements, ownership, and review controls for prompt design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4" s="7" t="inlineStr">
        <is>
          <t>ผู้ให้บริการอ้างว่าความสามารถด้าน AI ของตนพร้อมใช้ระดับองค์กร แต่ชุดหลักฐานยังไม่ครบ ขณะที่ผู้สนับสนุนฝ่ายธุรกิจอยากเดินหน้าทันที สมรรถนะที่วัด: การออกแบบ prompt ทักษะที่เกี่ยวข้อง: การปรับแก้ prompt, การกำหนดบทบาทและงาน, ข้อจำกัดและเงื่อนไข</t>
        </is>
      </c>
      <c r="I4" s="7" t="inlineStr">
        <is>
          <t>เงื่อนไขการอนุมัติข้อใดรัดกุมและเหมาะสมที่สุด</t>
        </is>
      </c>
      <c r="J4" s="7" t="inlineStr">
        <is>
          <t>✔ กำหนดเกณฑ์ความสำเร็จ หลักฐานที่ต้องมี ผู้รับผิดชอบ และมาตรการตรวจทานสำหรับ การออกแบบ prompt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4" s="7" t="inlineStr">
        <is>
          <t>✔ Strong advanced evidence. The answer connects prompt design to measurable outcomes, constraints, and accountable operation. ⇄ ถูกต้อง หลักฐานระดับสูงที่ชัดเจน คำตอบนี้เชื่อม การออกแบบ prompt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4" s="7" t="inlineStr"/>
      <c r="M4" s="8" t="inlineStr"/>
      <c r="N4" s="8" t="inlineStr"/>
      <c r="O4" s="8" t="inlineStr"/>
      <c r="P4" s="8" t="inlineStr"/>
      <c r="Q4" s="8" t="inlineStr"/>
      <c r="R4" s="8" t="inlineStr"/>
    </row>
    <row r="5" ht="190" customHeight="1">
      <c r="A5" s="7" t="inlineStr">
        <is>
          <t>ADV-D1-CAPABILITY-LIMITS-04</t>
        </is>
      </c>
      <c r="B5" s="7" t="inlineStr">
        <is>
          <t>D1</t>
        </is>
      </c>
      <c r="C5" s="7" t="inlineStr">
        <is>
          <t>judgment</t>
        </is>
      </c>
      <c r="D5" s="7" t="inlineStr">
        <is>
          <t>single</t>
        </is>
      </c>
      <c r="E5" s="7" t="inlineStr">
        <is>
          <t>Leadership needs a short recommendation that balances value, user impact, data boundaries, and operational controls. Focus competency: Capability boundaries. Relevant skills: hallucination, staleness, uncertainty.</t>
        </is>
      </c>
      <c r="F5" s="7" t="inlineStr">
        <is>
          <t>Which recommendation is most decision-ready?</t>
        </is>
      </c>
      <c r="G5" s="7" t="inlineStr">
        <is>
          <t>✔ Define success criteria, evidence requirements, ownership, and review controls for capability boundaries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5" s="7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 สมรรถนะที่วัด: ขอบเขตความสามารถของ AI ทักษะที่เกี่ยวข้อง: hallucination (การกุข้อมูล), ข้อมูลล้าสมัย, ความไม่แน่นอน</t>
        </is>
      </c>
      <c r="I5" s="7" t="inlineStr">
        <is>
          <t>ข้อเสนอแนะข้อใดพร้อมสำหรับการตัดสินใจมากที่สุด</t>
        </is>
      </c>
      <c r="J5" s="7" t="inlineStr">
        <is>
          <t>✔ กำหนดเกณฑ์ความสำเร็จ หลักฐานที่ต้องมี ผู้รับผิดชอบ และมาตรการตรวจทานสำหรับ ขอบเขตความสามารถของ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5" s="7" t="inlineStr">
        <is>
          <t>✔ Strong advanced evidence. The answer connects capability boundaries to measurable outcomes, constraints, and accountable operation. ⇄ ถูกต้อง หลักฐานระดับสูงที่ชัดเจน คำตอบนี้เชื่อม ขอบเขตความสามารถของ AI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5" s="7" t="inlineStr"/>
      <c r="M5" s="8" t="inlineStr"/>
      <c r="N5" s="8" t="inlineStr"/>
      <c r="O5" s="8" t="inlineStr"/>
      <c r="P5" s="8" t="inlineStr"/>
      <c r="Q5" s="8" t="inlineStr"/>
      <c r="R5" s="8" t="inlineStr"/>
    </row>
    <row r="6" ht="190" customHeight="1">
      <c r="A6" s="7" t="inlineStr">
        <is>
          <t>ADV-D5-ROI-METRICS-05</t>
        </is>
      </c>
      <c r="B6" s="7" t="inlineStr">
        <is>
          <t>D5</t>
        </is>
      </c>
      <c r="C6" s="7" t="inlineStr">
        <is>
          <t>judgment</t>
        </is>
      </c>
      <c r="D6" s="7" t="inlineStr">
        <is>
          <t>single</t>
        </is>
      </c>
      <c r="E6" s="7" t="inlineStr">
        <is>
          <t>A team is redesigning a high-volume process so AI can assist without hiding uncertainty or weakening accountability. Focus competency: ROI and measurement. Relevant skills: baseline metrics, KPI design, ROI evidence.</t>
        </is>
      </c>
      <c r="F6" s="7" t="inlineStr">
        <is>
          <t>Which redesign choice is strongest?</t>
        </is>
      </c>
      <c r="G6" s="7" t="inlineStr">
        <is>
          <t>✔ Define success criteria, evidence requirements, ownership, and review controls for roi and measurement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6" s="7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ROI และการวัดผล ทักษะที่เกี่ยวข้อง: ตัวชี้วัดค่าฐาน (baseline), การออกแบบ KPI, หลักฐานผลตอบแทน (ROI)</t>
        </is>
      </c>
      <c r="I6" s="7" t="inlineStr">
        <is>
          <t>ทางเลือกในการออกแบบกระบวนการใหม่ข้อใดรัดกุมและเหมาะสมที่สุด</t>
        </is>
      </c>
      <c r="J6" s="7" t="inlineStr">
        <is>
          <t>✔ กำหนดเกณฑ์ความสำเร็จ หลักฐานที่ต้องมี ผู้รับผิดชอบ และมาตรการตรวจทานสำหรับ ROI และการวัดผล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6" s="7" t="inlineStr">
        <is>
          <t>✔ Strong advanced evidence. The answer connects roi and measurement to measurable outcomes, constraints, and accountable operation. ⇄ ถูกต้อง หลักฐานระดับสูงที่ชัดเจน คำตอบนี้เชื่อม ROI และการวัดผล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6" s="7" t="inlineStr"/>
      <c r="M6" s="8" t="inlineStr"/>
      <c r="N6" s="8" t="inlineStr"/>
      <c r="O6" s="8" t="inlineStr"/>
      <c r="P6" s="8" t="inlineStr"/>
      <c r="Q6" s="8" t="inlineStr"/>
      <c r="R6" s="8" t="inlineStr"/>
    </row>
    <row r="7" ht="190" customHeight="1">
      <c r="A7" s="7" t="inlineStr">
        <is>
          <t>ADV-D2-AGENTIC-WORKFLOWS-06</t>
        </is>
      </c>
      <c r="B7" s="7" t="inlineStr">
        <is>
          <t>D2</t>
        </is>
      </c>
      <c r="C7" s="7" t="inlineStr">
        <is>
          <t>judgment</t>
        </is>
      </c>
      <c r="D7" s="7" t="inlineStr">
        <is>
          <t>single</t>
        </is>
      </c>
      <c r="E7" s="7" t="inlineStr">
        <is>
          <t>The pilot looks promising, but the team has not separated speed, quality, user trust, cost, and risk outcomes. Focus competency: Agentic workflows. Relevant skills: workflow mapping, agent setup, handoffs.</t>
        </is>
      </c>
      <c r="F7" s="7" t="inlineStr">
        <is>
          <t>What measurement plan should govern the next phase?</t>
        </is>
      </c>
      <c r="G7" s="7" t="inlineStr">
        <is>
          <t>✔ Define success criteria, evidence requirements, ownership, and review controls for agentic workflows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7" s="7" t="inlineStr">
        <is>
          <t>โครงการนำร่อง (pilot) ดูมีแนวโน้มดี แต่ทีมยังไม่ได้แยกผลลัพธ์ด้านความเร็ว คุณภาพ ความเชื่อมั่นของผู้ใช้ ต้นทุน และความเสี่ยงออกจากกัน สมรรถนะที่วัด: ขั้นตอนงานแบบเอเจนต์ ทักษะที่เกี่ยวข้อง: การวางผังขั้นตอนงาน, การตั้งค่าเอเจนต์, การส่งต่องาน</t>
        </is>
      </c>
      <c r="I7" s="7" t="inlineStr">
        <is>
          <t>แผนการวัดผลแบบใดควรใช้กำกับระยะถัดไป</t>
        </is>
      </c>
      <c r="J7" s="7" t="inlineStr">
        <is>
          <t>✔ กำหนดเกณฑ์ความสำเร็จ หลักฐานที่ต้องมี ผู้รับผิดชอบ และมาตรการตรวจทานสำหรับ ขั้นตอนงานแบบเอเจนต์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7" s="7" t="inlineStr">
        <is>
          <t>✔ Strong advanced evidence. The answer connects agentic workflows to measurable outcomes, constraints, and accountable operation. ⇄ ถูกต้อง หลักฐานระดับสูงที่ชัดเจน คำตอบนี้เชื่อม ขั้นตอนงานแบบเอเจนต์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7" s="7" t="inlineStr"/>
      <c r="M7" s="8" t="inlineStr"/>
      <c r="N7" s="8" t="inlineStr"/>
      <c r="O7" s="8" t="inlineStr"/>
      <c r="P7" s="8" t="inlineStr"/>
      <c r="Q7" s="8" t="inlineStr"/>
      <c r="R7" s="8" t="inlineStr"/>
    </row>
    <row r="8" ht="190" customHeight="1">
      <c r="A8" s="7" t="inlineStr">
        <is>
          <t>ADV-D6-CHANGE-ENABLEMENT-07</t>
        </is>
      </c>
      <c r="B8" s="7" t="inlineStr">
        <is>
          <t>D6</t>
        </is>
      </c>
      <c r="C8" s="7" t="inlineStr">
        <is>
          <t>judgment</t>
        </is>
      </c>
      <c r="D8" s="7" t="inlineStr">
        <is>
          <t>single</t>
        </is>
      </c>
      <c r="E8" s="7" t="inlineStr">
        <is>
          <t>Two internal policies point in different directions, and the AI system gives a confident recommendation anyway. Focus competency: Change enablement. Relevant skills: adoption support, communication, coaching loops.</t>
        </is>
      </c>
      <c r="F8" s="7" t="inlineStr">
        <is>
          <t>What is the best advanced response?</t>
        </is>
      </c>
      <c r="G8" s="7" t="inlineStr">
        <is>
          <t>✔ Define success criteria, evidence requirements, ownership, and review controls for change enablement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8" s="7" t="inlineStr">
        <is>
          <t>นโยบายภายในสองฉบับชี้ไปคนละทาง แต่ระบบ AI ยังให้คำแนะนำอย่างมั่นใจ สมรรถนะที่วัด: การขับเคลื่อนการเปลี่ยนแปลง ทักษะที่เกี่ยวข้อง: การสนับสนุนการนำไปใช้งานจริง, การสื่อสาร, วงรอบการโค้ชชิ่ง</t>
        </is>
      </c>
      <c r="I8" s="7" t="inlineStr">
        <is>
          <t>แนวทางปฏิบัติที่แสดงถึงการตัดสินใจระดับสูงในข้อใดเหมาะสมที่สุด</t>
        </is>
      </c>
      <c r="J8" s="7" t="inlineStr">
        <is>
          <t>✔ กำหนดเกณฑ์ความสำเร็จ หลักฐานที่ต้องมี ผู้รับผิดชอบ และมาตรการตรวจทานสำหรับ การขับเคลื่อนการเปลี่ยนแปลง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8" s="7" t="inlineStr">
        <is>
          <t>✔ Strong advanced evidence. The answer connects change enablement to measurable outcomes, constraints, and accountable operation. ⇄ ถูกต้อง หลักฐานระดับสูงที่ชัดเจน คำตอบนี้เชื่อม การขับเคลื่อนการเปลี่ยนแปลง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8" s="7" t="inlineStr"/>
      <c r="M8" s="8" t="inlineStr"/>
      <c r="N8" s="8" t="inlineStr"/>
      <c r="O8" s="8" t="inlineStr"/>
      <c r="P8" s="8" t="inlineStr"/>
      <c r="Q8" s="8" t="inlineStr"/>
      <c r="R8" s="8" t="inlineStr"/>
    </row>
    <row r="9" ht="190" customHeight="1">
      <c r="A9" s="7" t="inlineStr">
        <is>
          <t>ADV-D5-PORTFOLIO-PRIORITIZATION-08</t>
        </is>
      </c>
      <c r="B9" s="7" t="inlineStr">
        <is>
          <t>D5</t>
        </is>
      </c>
      <c r="C9" s="7" t="inlineStr">
        <is>
          <t>judgment</t>
        </is>
      </c>
      <c r="D9" s="7" t="inlineStr">
        <is>
          <t>single</t>
        </is>
      </c>
      <c r="E9" s="7" t="inlineStr">
        <is>
          <t>The proposed workflow would combine customer, employee, vendor, and operational data across multiple tools. Focus competency: Portfolio prioritization. Relevant skills: risk-adjusted value, pilot gates, resource allocation.</t>
        </is>
      </c>
      <c r="F9" s="7" t="inlineStr">
        <is>
          <t>Which control set best supports responsible use?</t>
        </is>
      </c>
      <c r="G9" s="7" t="inlineStr">
        <is>
          <t>✔ Define success criteria, evidence requirements, ownership, and review controls for portfolio prioritization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9" s="7" t="inlineStr">
        <is>
          <t>ขั้นตอนงานที่เสนอจะรวมข้อมูลลูกค้า พนักงาน ผู้ให้บริการภายนอก และข้อมูลปฏิบัติการจากหลายเครื่องมือเข้าด้วยกัน สมรรถนะที่วัด: การจัดลำดับความสำคัญของพอร์ตโครงการ ทักษะที่เกี่ยวข้อง: มูลค่าที่ปรับตามความเสี่ยง, ด่านตัดสินใจของโครงการนำร่อง, การจัดสรรทรัพยากร</t>
        </is>
      </c>
      <c r="I9" s="7" t="inlineStr">
        <is>
          <t>ชุดมาตรการควบคุมข้อใดรองรับการใช้งานอย่างรับผิดชอบได้ดีที่สุด</t>
        </is>
      </c>
      <c r="J9" s="7" t="inlineStr">
        <is>
          <t>✔ กำหนดเกณฑ์ความสำเร็จ หลักฐานที่ต้องมี ผู้รับผิดชอบ และมาตรการตรวจทานสำหรับ การจัดลำดับความสำคัญของพอร์ตโครงการ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9" s="7" t="inlineStr">
        <is>
          <t>✔ Strong advanced evidence. The answer connects portfolio prioritization to measurable outcomes, constraints, and accountable operation. ⇄ ถูกต้อง หลักฐานระดับสูงที่ชัดเจน คำตอบนี้เชื่อม การจัดลำดับความสำคัญของพอร์ตโครงการ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9" s="7" t="inlineStr"/>
      <c r="M9" s="8" t="inlineStr"/>
      <c r="N9" s="8" t="inlineStr"/>
      <c r="O9" s="8" t="inlineStr"/>
      <c r="P9" s="8" t="inlineStr"/>
      <c r="Q9" s="8" t="inlineStr"/>
      <c r="R9" s="8" t="inlineStr"/>
    </row>
    <row r="10" ht="190" customHeight="1">
      <c r="A10" s="7" t="inlineStr">
        <is>
          <t>ADV-D3-SOURCE-VERIFICATION-09</t>
        </is>
      </c>
      <c r="B10" s="7" t="inlineStr">
        <is>
          <t>D3</t>
        </is>
      </c>
      <c r="C10" s="7" t="inlineStr">
        <is>
          <t>judgment</t>
        </is>
      </c>
      <c r="D10" s="7" t="inlineStr">
        <is>
          <t>single</t>
        </is>
      </c>
      <c r="E10" s="7" t="inlineStr">
        <is>
          <t>A product owner argues that the newest model removes the need for the old review process. Focus competency: Source and claim verification. Relevant skills: source checking, citation support, claim review.</t>
        </is>
      </c>
      <c r="F10" s="7" t="inlineStr">
        <is>
          <t>Which challenge is most appropriate?</t>
        </is>
      </c>
      <c r="G10" s="7" t="inlineStr">
        <is>
          <t>✔ Define success criteria, evidence requirements, ownership, and review controls for source and claim verification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0" s="7" t="inlineStr">
        <is>
          <t>เจ้าของผลิตภัณฑ์ยืนยันว่าโมเดลรุ่นใหม่ล่าสุดทำให้ไม่จำเป็นต้องมีกระบวนการตรวจทานแบบเดิมอีกต่อไป สมรรถนะที่วัด: การตรวจสอบแหล่งข้อมูลและข้อกล่าวอ้าง ทักษะที่เกี่ยวข้อง: การตรวจสอบแหล่งข้อมูล, หลักฐานรองรับการอ้างอิง, การตรวจสอบข้อกล่าวอ้าง</t>
        </is>
      </c>
      <c r="I10" s="7" t="inlineStr">
        <is>
          <t>ข้อท้วงติงข้อใดเหมาะสมที่สุด</t>
        </is>
      </c>
      <c r="J10" s="7" t="inlineStr">
        <is>
          <t>✔ กำหนดเกณฑ์ความสำเร็จ หลักฐานที่ต้องมี ผู้รับผิดชอบ และมาตรการตรวจทานสำหรับ การตรวจสอบแหล่งข้อมูลและข้อกล่าวอ้าง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0" s="7" t="inlineStr">
        <is>
          <t>✔ Strong advanced evidence. The answer connects source and claim verification to measurable outcomes, constraints, and accountable operation. ⇄ ถูกต้อง หลักฐานระดับสูงที่ชัดเจน คำตอบนี้เชื่อม การตรวจสอบแหล่งข้อมูลและข้อกล่าวอ้าง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0" s="7" t="inlineStr"/>
      <c r="M10" s="8" t="inlineStr"/>
      <c r="N10" s="8" t="inlineStr"/>
      <c r="O10" s="8" t="inlineStr"/>
      <c r="P10" s="8" t="inlineStr"/>
      <c r="Q10" s="8" t="inlineStr"/>
      <c r="R10" s="8" t="inlineStr"/>
    </row>
    <row r="11" ht="190" customHeight="1">
      <c r="A11" s="7" t="inlineStr">
        <is>
          <t>ADV-D4-FAIRNESS-ETHICS-10</t>
        </is>
      </c>
      <c r="B11" s="7" t="inlineStr">
        <is>
          <t>D4</t>
        </is>
      </c>
      <c r="C11" s="7" t="inlineStr">
        <is>
          <t>judgment</t>
        </is>
      </c>
      <c r="D11" s="7" t="inlineStr">
        <is>
          <t>single</t>
        </is>
      </c>
      <c r="E11" s="7" t="inlineStr">
        <is>
          <t>The first deployment is live and teams are reporting mixed outcomes, edge cases, and workarounds. Focus competency: Fairness, ethics, and rights. Relevant skills: bias testing, impact review, IP/content rights.</t>
        </is>
      </c>
      <c r="F11" s="7" t="inlineStr">
        <is>
          <t>What should the owner do next?</t>
        </is>
      </c>
      <c r="G11" s="7" t="inlineStr">
        <is>
          <t>✔ Define success criteria, evidence requirements, ownership, and review controls for fairness, ethics, and rights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1" s="7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 สมรรถนะที่วัด: ความเป็นธรรม จริยธรรม และสิทธิ ทักษะที่เกี่ยวข้อง: การทดสอบอคติ, การประเมินผลกระทบ, สิทธิในทรัพย์สินทางปัญญาและเนื้อหา</t>
        </is>
      </c>
      <c r="I11" s="7" t="inlineStr">
        <is>
          <t>เจ้าของงานควรทำสิ่งใดต่อไป</t>
        </is>
      </c>
      <c r="J11" s="7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ความเป็นธรรม จริยธรรม และสิทธิ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1" s="7" t="inlineStr">
        <is>
          <t>✔ Strong advanced evidence. The answer connects fairness, ethics, and rights to measurable outcomes, constraints, and accountable operation. ⇄ ถูกต้อง หลักฐานระดับสูงที่ชัดเจน คำตอบนี้เชื่อม ความเป็นธรรม จริยธรรม และสิทธิ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1" s="7" t="inlineStr"/>
      <c r="M11" s="8" t="inlineStr"/>
      <c r="N11" s="8" t="inlineStr"/>
      <c r="O11" s="8" t="inlineStr"/>
      <c r="P11" s="8" t="inlineStr"/>
      <c r="Q11" s="8" t="inlineStr"/>
      <c r="R11" s="8" t="inlineStr"/>
    </row>
    <row r="12" ht="190" customHeight="1">
      <c r="A12" s="7" t="inlineStr">
        <is>
          <t>TREND-D3-MEDIA-PROVENANCE-AWARENESS-01</t>
        </is>
      </c>
      <c r="B12" s="7" t="inlineStr">
        <is>
          <t>D3</t>
        </is>
      </c>
      <c r="C12" s="7" t="inlineStr">
        <is>
          <t>judgment</t>
        </is>
      </c>
      <c r="D12" s="7" t="inlineStr">
        <is>
          <t>single</t>
        </is>
      </c>
      <c r="E12" s="7" t="inlineStr">
        <is>
          <t>A teammate says the company should adopt AI agents because every new model can now take actions across tools.</t>
        </is>
      </c>
      <c r="F12" s="7" t="inlineStr">
        <is>
          <t>Which first question best checks whether the user understands this current AI trend?</t>
        </is>
      </c>
      <c r="G12" s="7" t="inlineStr">
        <is>
          <t>✔ Ask what task the agent will perform, what tools it can access, what approval gates exist, and where a human remains accountable.
· Ask which model is newest before deciding whether to try an agent.
· Assume any chatbot with tool access is safe to run autonomously.
· Adopt the agent because competitors are discussing agentic AI.</t>
        </is>
      </c>
      <c r="H12" s="7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I12" s="7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J12" s="7" t="inlineStr">
        <is>
          <t>✔ 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
· ถามว่าโมเดลรุ่นใดใหม่ที่สุด ก่อนตัดสินใจว่าจะทดลองใช้เอเจนต์หรือไม่
· ถือว่าแชตบอตใดก็ตามที่เข้าถึงเครื่องมือได้ ปลอดภัยพอจะทำงานเองโดยอัตโนมัติ
· นำเอเจนต์มาใช้เพราะคู่แข่งกำลังพูดถึง agentic AI</t>
        </is>
      </c>
      <c r="K12" s="7" t="inlineStr">
        <is>
          <t>✔ Strong awareness evidence for media provenance: it connects the trend to task fit, evidence, controls, and outcomes. ⇄ ถูกต้อง หลักฐานระดับรับรู้ที่ชัดเจนสำหรับ การตรวจสอบที่มาของสื่อ (provenance)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2" s="7" t="inlineStr"/>
      <c r="M12" s="8" t="inlineStr"/>
      <c r="N12" s="8" t="inlineStr"/>
      <c r="O12" s="8" t="inlineStr"/>
      <c r="P12" s="8" t="inlineStr"/>
      <c r="Q12" s="8" t="inlineStr"/>
      <c r="R12" s="8" t="inlineStr"/>
    </row>
    <row r="13" ht="190" customHeight="1">
      <c r="A13" s="7" t="inlineStr">
        <is>
          <t>TREND-D4-SECURITY-GOVERNANCE-APPLIED-01</t>
        </is>
      </c>
      <c r="B13" s="7" t="inlineStr">
        <is>
          <t>D4</t>
        </is>
      </c>
      <c r="C13" s="7" t="inlineStr">
        <is>
          <t>judgment</t>
        </is>
      </c>
      <c r="D13" s="7" t="inlineStr">
        <is>
          <t>single</t>
        </is>
      </c>
      <c r="E13" s="7" t="inlineStr">
        <is>
          <t>A content team wants to use AI to generate campaign copy, short video drafts, and product images from a single brief. Focus competency: Security and governance controls. The user should show they use security and governance controls using practical signals such as least privilege, audit logs, vendor controls.</t>
        </is>
      </c>
      <c r="F13" s="7" t="inlineStr">
        <is>
          <t>What practical setup best tests this capability without over-trusting the output?</t>
        </is>
      </c>
      <c r="G13" s="7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H13" s="7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มาตรการความปลอดภัยและการกำกับดูแล ผู้ใช้ควรแสดงให้เห็นว่าประยุกต์ใช้งาน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13" s="7" t="inlineStr">
        <is>
          <t>การจัดกระบวนการทดสอบในทางปฏิบัติข้อใดเหมาะสมที่สุด โดยไม่เชื่อถือผลลัพธ์มากเกินไป</t>
        </is>
      </c>
      <c r="J13" s="7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K13" s="7" t="inlineStr">
        <is>
          <t>✔ Strong applied evidence for security and governance controls: it connects the trend to task fit, evidence, controls, and outcomes. ⇄ ถูกต้อง หลักฐานระดับใช้งานที่ชัดเจนสำหรับ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3" s="7" t="inlineStr"/>
      <c r="M13" s="8" t="inlineStr"/>
      <c r="N13" s="8" t="inlineStr"/>
      <c r="O13" s="8" t="inlineStr"/>
      <c r="P13" s="8" t="inlineStr"/>
      <c r="Q13" s="8" t="inlineStr"/>
      <c r="R13" s="8" t="inlineStr"/>
    </row>
    <row r="14" ht="190" customHeight="1">
      <c r="A14" s="7" t="inlineStr">
        <is>
          <t>TREND-D3-DATA-CHART-JUDGMENT-APPLIED-02</t>
        </is>
      </c>
      <c r="B14" s="7" t="inlineStr">
        <is>
          <t>D3</t>
        </is>
      </c>
      <c r="C14" s="7" t="inlineStr">
        <is>
          <t>judgment</t>
        </is>
      </c>
      <c r="D14" s="7" t="inlineStr">
        <is>
          <t>single</t>
        </is>
      </c>
      <c r="E14" s="7" t="inlineStr">
        <is>
          <t>A team is moving from prompt-only chat to a RAG assistant over policies, tickets, and product documents. Focus competency: Data and chart judgment. The user should show they use data and chart judgment using practical signals such as chart forensics, baseline checks, causality.</t>
        </is>
      </c>
      <c r="F14" s="7" t="inlineStr">
        <is>
          <t>Which applied action best shows understanding of context engineering and retrieval quality?</t>
        </is>
      </c>
      <c r="G14" s="7" t="inlineStr">
        <is>
          <t>✔ Test whether retrieved sources are current, relevant, cited, and sufficient for the answer before trusting the assistant.
· Increase the context window and assume the answer will be grounded.
· Fine-tune immediately before checking source quality.
· Remove human review once the assistant includes citations.</t>
        </is>
      </c>
      <c r="H14" s="7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 สมรรถนะที่วัด: การอ่านข้อมูลและกราฟอย่างมีวิจารณญาณ ผู้ใช้ควรแสดงให้เห็นว่าประยุกต์ใช้งาน การอ่านข้อมูลและกราฟอย่างมีวิจารณญาณ โดยมีแนวทางปฏิบัติที่ชัดเจน เช่น การตรวจสอบความผิดปกติของกราฟ, การตรวจสอบค่าฐาน (baseline), ความเป็นเหตุเป็นผล</t>
        </is>
      </c>
      <c r="I14" s="7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J14" s="7" t="inlineStr">
        <is>
          <t>✔ 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
· ขยาย context window แล้วถือว่าคำตอบจะยึดโยงกับแหล่งข้อมูลเอง
· ทำ fine-tuning ทันทีก่อนตรวจคุณภาพแหล่งข้อมูล
· ยกเลิกการตรวจทานโดยคนทันทีที่ผู้ช่วยแสดงการอ้างอิง</t>
        </is>
      </c>
      <c r="K14" s="7" t="inlineStr">
        <is>
          <t>✔ Strong applied evidence for data and chart judgment: it connects the trend to task fit, evidence, controls, and outcomes. ⇄ ถูกต้อง หลักฐานระดับใช้งานที่ชัดเจนสำหรับ การอ่านข้อมูลและกราฟอย่างมีวิจารณญาณ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4" s="7" t="inlineStr"/>
      <c r="M14" s="8" t="inlineStr"/>
      <c r="N14" s="8" t="inlineStr"/>
      <c r="O14" s="8" t="inlineStr"/>
      <c r="P14" s="8" t="inlineStr"/>
      <c r="Q14" s="8" t="inlineStr"/>
      <c r="R14" s="8" t="inlineStr"/>
    </row>
    <row r="15" ht="190" customHeight="1">
      <c r="A15" s="7" t="inlineStr">
        <is>
          <t>TREND-D6-ROLE-CLARITY-PROFICIENT-01</t>
        </is>
      </c>
      <c r="B15" s="7" t="inlineStr">
        <is>
          <t>D6</t>
        </is>
      </c>
      <c r="C15" s="7" t="inlineStr">
        <is>
          <t>judgment</t>
        </is>
      </c>
      <c r="D15" s="7" t="inlineStr">
        <is>
          <t>single</t>
        </is>
      </c>
      <c r="E15" s="7" t="inlineStr">
        <is>
          <t>An operations group wants an AI agent to triage requests, update records, and trigger follow-up emails. Focus competency: Human-AI role clarity. The user should show they handle tradeoffs in human-ai role clarity using practical signals such as role boundaries, review routines, human accountability.</t>
        </is>
      </c>
      <c r="F15" s="7" t="inlineStr">
        <is>
          <t>Which response best handles the tradeoffs in current agent deployment?</t>
        </is>
      </c>
      <c r="G15" s="7" t="inlineStr">
        <is>
          <t>✔ Start read-only, log every proposed action, require approval for customer-impacting writes, monitor failures, and expand authority only after evidence improves.
· Let the agent handle low-value tasks and review a weekly sample.
· Give the agent broad permissions so it can learn the workflow faster.
· Measure success only by tickets closed per hour.</t>
        </is>
      </c>
      <c r="H15" s="7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 สมรรถนะที่วัด: ความชัดเจนของบทบาทคนกับ AI ผู้ใช้ควรแสดงให้เห็นว่าสามารถจัดการข้อแลกเปลี่ยน (trade-offs) ใน ความชัดเจนของบทบาทคนกับ AI โดยมีแนวทางปฏิบัติที่ชัดเจน เช่น ขอบเขตบทบาทหน้าที่, รอบการตรวจทานประจำ, ความรับผิดชอบของบุคลากร</t>
        </is>
      </c>
      <c r="I15" s="7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J15" s="7" t="inlineStr">
        <is>
          <t>✔ 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และขยายขอบเขตสิทธิ์การทำงานเมื่อมีหลักฐานความพร้อมที่ชัดเจนขึ้นเท่านั้น
· ให้เอเจนต์จัดการงานที่มูลค่าต่ำ แล้วสุ่มตรวจตัวอย่างทุกสัปดาห์
· ให้สิทธิ์เอเจนต์กว้าง ๆ เพื่อให้เรียนรู้ขั้นตอนงานได้เร็วขึ้น
· วัดความสำเร็จจากจำนวน ticket ที่ปิดได้ต่อชั่วโมงเพียงอย่างเดียว</t>
        </is>
      </c>
      <c r="K15" s="7" t="inlineStr">
        <is>
          <t>✔ Strong proficient evidence for human-ai role clarity: it connects the trend to task fit, evidence, controls, and outcomes. ⇄ ถูกต้อง หลักฐานระดับชำนาญที่ชัดเจนสำหรับ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5" s="7" t="inlineStr"/>
      <c r="M15" s="8" t="inlineStr"/>
      <c r="N15" s="8" t="inlineStr"/>
      <c r="O15" s="8" t="inlineStr"/>
      <c r="P15" s="8" t="inlineStr"/>
      <c r="Q15" s="8" t="inlineStr"/>
      <c r="R15" s="8" t="inlineStr"/>
    </row>
    <row r="16" ht="190" customHeight="1">
      <c r="A16" s="7" t="inlineStr">
        <is>
          <t>TREND-D4-REGULATORY-POLICY-PROFICIENT-02</t>
        </is>
      </c>
      <c r="B16" s="7" t="inlineStr">
        <is>
          <t>D4</t>
        </is>
      </c>
      <c r="C16" s="7" t="inlineStr">
        <is>
          <t>judgment</t>
        </is>
      </c>
      <c r="D16" s="7" t="inlineStr">
        <is>
          <t>single</t>
        </is>
      </c>
      <c r="E16" s="7" t="inlineStr">
        <is>
          <t>A vendor shows high benchmark scores for a domain-specific model and claims it will outperform general models in your workflow. Focus competency: Regulatory and policy fluency. The user should show they handle tradeoffs in regulatory and policy fluency using practical signals such as policy alignment, sector obligations, disclosure.</t>
        </is>
      </c>
      <c r="F16" s="7" t="inlineStr">
        <is>
          <t>What is the strongest proficient evaluation response?</t>
        </is>
      </c>
      <c r="G16" s="7" t="inlineStr">
        <is>
          <t>✔ Run a task-specific eval with your data, failure cases, cost/latency constraints, safety checks, and reviewer agreement before selecting the model.
· Prefer the domain-specific model if its published benchmark is higher.
· Reject all vendor benchmarks because they are marketing.
· Choose the model with the largest context window.</t>
        </is>
      </c>
      <c r="H16" s="7" t="inlineStr">
        <is>
          <t>ผู้ให้บริการแสดงคะแนน benchmark (ผลทดสอบเทียบ) ที่สูงของโมเดลเฉพาะทาง และอ้างว่าจะทำงานได้ดีกว่าโมเดลทั่วไปในขั้นตอนงานของคุณ สมรรถนะที่วัด: ความเข้าใจกฎระเบียบและนโยบาย ผู้ใช้ควรแสดงให้เห็นว่าสามารถจัดการข้อแลกเปลี่ยน (trade-offs) ใน ความเข้าใจกฎระเบียบและนโยบาย โดยมีแนวทางปฏิบัติที่ชัดเจน เช่น ความสอดคล้องกับนโยบาย, ข้อบังคับเฉพาะภาคธุรกิจ, การเปิดเผยข้อมูล</t>
        </is>
      </c>
      <c r="I16" s="7" t="inlineStr">
        <is>
          <t>การประเมินในระดับผู้เชี่ยวชาญข้อใดรัดกุมและมีน้ำหนักมากที่สุด</t>
        </is>
      </c>
      <c r="J16" s="7" t="inlineStr">
        <is>
          <t>✔ ทดสอบกับงานจริงด้วยข้อมูลของคุณเอง ครอบคลุมกรณีที่เคยผิดพลาด ข้อจำกัดด้านต้นทุนและความหน่วง การตรวจความปลอดภัย และความเห็นตรงกันของผู้ตรวจ ก่อนเลือกโมเดล
· เลือกโมเดลเฉพาะทางหาก benchmark ที่เผยแพร่สูงกว่า
· ปฏิเสธ benchmark ของผู้ให้บริการทั้งหมด เพราะเป็นเพียงการตลาด
· เลือกโมเดลที่มี context window ใหญ่ที่สุด</t>
        </is>
      </c>
      <c r="K16" s="7" t="inlineStr">
        <is>
          <t>✔ Strong proficient evidence for regulatory and policy fluency: it connects the trend to task fit, evidence, controls, and outcomes. ⇄ ถูกต้อง หลักฐานระดับชำนาญที่ชัดเจนสำหรับ ความเข้าใจกฎระเบียบและนโยบาย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6" s="7" t="inlineStr"/>
      <c r="M16" s="8" t="inlineStr"/>
      <c r="N16" s="8" t="inlineStr"/>
      <c r="O16" s="8" t="inlineStr"/>
      <c r="P16" s="8" t="inlineStr"/>
      <c r="Q16" s="8" t="inlineStr"/>
      <c r="R16" s="8" t="inlineStr"/>
    </row>
    <row r="17" ht="190" customHeight="1">
      <c r="A17" s="7" t="inlineStr">
        <is>
          <t>TREND-D2-OUTPUT-REFINEMENT-ADVANCED-01</t>
        </is>
      </c>
      <c r="B17" s="7" t="inlineStr">
        <is>
          <t>D2</t>
        </is>
      </c>
      <c r="C17" s="7" t="inlineStr">
        <is>
          <t>judgment</t>
        </is>
      </c>
      <c r="D17" s="7" t="inlineStr">
        <is>
          <t>single</t>
        </is>
      </c>
      <c r="E17" s="7" t="inlineStr">
        <is>
          <t>Leadership wants to scale generative AI, agents, and multimodal workflows across functions while governance capacity is limited. Focus competency: Output refinement. The user should show they design scalable controls for output refinement using practical signals such as iteration, rubric review, context setup.</t>
        </is>
      </c>
      <c r="F17" s="7" t="inlineStr">
        <is>
          <t>Which advanced decision best reflects the 2026 AI market shift from experimentation to operating model?</t>
        </is>
      </c>
      <c r="G17" s="7" t="inlineStr">
        <is>
          <t>✔ Create a tiered AI operating model with use-case intake, risk-based controls, eval evidence, incident review, role training, and measurable value gates.
· Create one central approval committee for every AI request.
· Let each team pick tools independently to move faster.
· Delay all adoption until regulation is fully settled.</t>
        </is>
      </c>
      <c r="H17" s="7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 สมรรถนะที่วัด: การปรับปรุงผลลัพธ์ ผู้ใช้ควรแสดงให้เห็นว่าออกแบบมาตรการควบคุมที่ขยายผลได้สำหรับ การปรับปรุงผลลัพธ์ โดยมีแนวทางปฏิบัติที่ชัดเจน เช่น การปรับซ้ำเป็นรอบ, การตรวจตามเกณฑ์การให้คะแนน, การจัดเตรียม context</t>
        </is>
      </c>
      <c r="I17" s="7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J17" s="7" t="inlineStr">
        <is>
          <t>✔ 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
· ตั้งคณะกรรมการอนุมัติกลางชุดเดียวสำหรับทุกคำขอด้าน AI
· ให้แต่ละทีมเลือกเครื่องมือกันเองเพื่อความรวดเร็ว
· ชะลอการนำไปใช้ทั้งหมดจนกว่ากฎระเบียบจะนิ่งสมบูรณ์</t>
        </is>
      </c>
      <c r="K17" s="7" t="inlineStr">
        <is>
          <t>✔ Strong advanced evidence for output refinement: it connects the trend to task fit, evidence, controls, and outcomes. ⇄ ถูกต้อง หลักฐานระดับสูงที่ชัดเจนสำหรับ การปรับปรุงผลลัพธ์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7" s="7" t="inlineStr"/>
      <c r="M17" s="8" t="inlineStr"/>
      <c r="N17" s="8" t="inlineStr"/>
      <c r="O17" s="8" t="inlineStr"/>
      <c r="P17" s="8" t="inlineStr"/>
      <c r="Q17" s="8" t="inlineStr"/>
      <c r="R17" s="8" t="inlineStr"/>
    </row>
    <row r="18" ht="190" customHeight="1">
      <c r="A18" s="7" t="inlineStr">
        <is>
          <t>TREND-D5-USECASE-FIT-ADVANCED-02</t>
        </is>
      </c>
      <c r="B18" s="7" t="inlineStr">
        <is>
          <t>D5</t>
        </is>
      </c>
      <c r="C18" s="7" t="inlineStr">
        <is>
          <t>judgment</t>
        </is>
      </c>
      <c r="D18" s="7" t="inlineStr">
        <is>
          <t>single</t>
        </is>
      </c>
      <c r="E18" s="7" t="inlineStr">
        <is>
          <t>A regional business wants AI systems that respect local language, sector rules, data residency, and vendor dependence concerns. Focus competency: Use-case evaluation. The user should show they design scalable controls for use-case evaluation using practical signals such as problem fit, feasibility, data readiness.</t>
        </is>
      </c>
      <c r="F18" s="7" t="inlineStr">
        <is>
          <t>What is the strongest advanced response?</t>
        </is>
      </c>
      <c r="G18" s="7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H18" s="7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และความกังวลเรื่องการพึ่งพาผู้ให้บริการภายนอก สมรรถนะที่วัด: การประเมินกรณีการใช้งาน ผู้ใช้ควรแสดงให้เห็นว่าออกแบบมาตรการควบคุมที่ขยายผลได้สำหรับ การประเมินกรณีการใช้งาน โดยมีแนวทางปฏิบัติที่ชัดเจน เช่น ความสอดคล้องกับปัญหา, ความเป็นไปได้, ความพร้อมของข้อมูล</t>
        </is>
      </c>
      <c r="I18" s="7" t="inlineStr">
        <is>
          <t>แนวทางปฏิบัติระดับสูงข้อใดรัดกุมและเหมาะสมที่สุด</t>
        </is>
      </c>
      <c r="J18" s="7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แผนการเปลี่ยนผ่านออกจากผู้ให้บริการ (vendor exit path) และภาระผูกพันตามกฎระเบียบท้องถิ่น ก่อนออกแบบการนำไปใช้
· เลือกโมเดลระดับโลกที่มีประสิทธิภาพสูงสุด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K18" s="7" t="inlineStr">
        <is>
          <t>✔ Strong advanced evidence for use-case evaluation: it connects the trend to task fit, evidence, controls, and outcomes. ⇄ ถูกต้อง หลักฐานระดับสูงที่ชัดเจนสำหรับ การประเมินกรณีการใช้งาน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8" s="7" t="inlineStr"/>
      <c r="M18" s="8" t="inlineStr"/>
      <c r="N18" s="8" t="inlineStr"/>
      <c r="O18" s="8" t="inlineStr"/>
      <c r="P18" s="8" t="inlineStr"/>
      <c r="Q18" s="8" t="inlineStr"/>
      <c r="R18" s="8" t="inlineStr"/>
    </row>
    <row r="19" ht="190" customHeight="1">
      <c r="A19" s="7" t="inlineStr">
        <is>
          <t>TREND-D4-SECURITY-GOVERNANCE-ADVANCED-01</t>
        </is>
      </c>
      <c r="B19" s="7" t="inlineStr">
        <is>
          <t>D4</t>
        </is>
      </c>
      <c r="C19" s="7" t="inlineStr">
        <is>
          <t>judgment</t>
        </is>
      </c>
      <c r="D19" s="7" t="inlineStr">
        <is>
          <t>single</t>
        </is>
      </c>
      <c r="E19" s="7" t="inlineStr">
        <is>
          <t>Leadership wants to scale generative AI, agents, and multimodal workflows across functions while governance capacity is limited. Focus competency: Security and governance controls. The user should show they design scalable controls for security and governance controls using practical signals such as least privilege, audit logs, vendor controls.</t>
        </is>
      </c>
      <c r="F19" s="7" t="inlineStr">
        <is>
          <t>Which advanced decision best reflects the 2026 AI market shift from experimentation to operating model?</t>
        </is>
      </c>
      <c r="G19" s="7" t="inlineStr">
        <is>
          <t>✔ Create a tiered AI operating model with use-case intake, risk-based controls, eval evidence, incident review, role training, and measurable value gates.
· Create one central approval committee for every AI request.
· Let each team pick tools independently to move faster.
· Delay all adoption until regulation is fully settled.</t>
        </is>
      </c>
      <c r="H19" s="7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 สมรรถนะที่วัด: มาตรการความปลอดภัยและการกำกับดูแล ผู้ใช้ควรแสดงให้เห็นว่าออกแบบมาตรการควบคุมที่ขยายผลได้สำหรับ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19" s="7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J19" s="7" t="inlineStr">
        <is>
          <t>✔ 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
· ตั้งคณะกรรมการอนุมัติกลางชุดเดียวสำหรับทุกคำขอด้าน AI
· ให้แต่ละทีมเลือกเครื่องมือกันเองเพื่อความรวดเร็ว
· ชะลอการนำไปใช้ทั้งหมดจนกว่ากฎระเบียบจะนิ่งสมบูรณ์</t>
        </is>
      </c>
      <c r="K19" s="7" t="inlineStr">
        <is>
          <t>✔ Strong advanced evidence for security and governance controls: it connects the trend to task fit, evidence, controls, and outcomes. ⇄ ถูกต้อง หลักฐานระดับสูงที่ชัดเจนสำหรับ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19" s="7" t="inlineStr"/>
      <c r="M19" s="8" t="inlineStr"/>
      <c r="N19" s="8" t="inlineStr"/>
      <c r="O19" s="8" t="inlineStr"/>
      <c r="P19" s="8" t="inlineStr"/>
      <c r="Q19" s="8" t="inlineStr"/>
      <c r="R19" s="8" t="inlineStr"/>
    </row>
    <row r="20" ht="190" customHeight="1">
      <c r="A20" s="7" t="inlineStr">
        <is>
          <t>TREND-D4-SECURITY-GOVERNANCE-ADVANCED-02</t>
        </is>
      </c>
      <c r="B20" s="7" t="inlineStr">
        <is>
          <t>D4</t>
        </is>
      </c>
      <c r="C20" s="7" t="inlineStr">
        <is>
          <t>judgment</t>
        </is>
      </c>
      <c r="D20" s="7" t="inlineStr">
        <is>
          <t>single</t>
        </is>
      </c>
      <c r="E20" s="7" t="inlineStr">
        <is>
          <t>A regional business wants AI systems that respect local language, sector rules, data residency, and vendor dependence concerns. Focus competency: Security and governance controls. The user should show they design scalable controls for security and governance controls using practical signals such as least privilege, audit logs, vendor controls.</t>
        </is>
      </c>
      <c r="F20" s="7" t="inlineStr">
        <is>
          <t>What is the strongest advanced response?</t>
        </is>
      </c>
      <c r="G20" s="7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H20" s="7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และความกังวลเรื่องการพึ่งพาผู้ให้บริการภายนอก สมรรถนะที่วัด: มาตรการความปลอดภัยและการกำกับดูแล ผู้ใช้ควรแสดงให้เห็นว่าออกแบบมาตรการควบคุมที่ขยายผลได้สำหรับ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20" s="7" t="inlineStr">
        <is>
          <t>แนวทางปฏิบัติระดับสูงข้อใดรัดกุมและเหมาะสมที่สุด</t>
        </is>
      </c>
      <c r="J20" s="7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แผนการเปลี่ยนผ่านออกจากผู้ให้บริการ (vendor exit path) และภาระผูกพันตามกฎระเบียบท้องถิ่น ก่อนออกแบบการนำไปใช้
· เลือกโมเดลระดับโลกที่มีประสิทธิภาพสูงสุด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K20" s="7" t="inlineStr">
        <is>
          <t>✔ Strong advanced evidence for security and governance controls: it connects the trend to task fit, evidence, controls, and outcomes. ⇄ ถูกต้อง หลักฐานระดับสูงที่ชัดเจนสำหรับ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0" s="7" t="inlineStr"/>
      <c r="M20" s="8" t="inlineStr"/>
      <c r="N20" s="8" t="inlineStr"/>
      <c r="O20" s="8" t="inlineStr"/>
      <c r="P20" s="8" t="inlineStr"/>
      <c r="Q20" s="8" t="inlineStr"/>
      <c r="R20" s="8" t="inlineStr"/>
    </row>
    <row r="21" ht="190" customHeight="1">
      <c r="A21" s="7" t="inlineStr">
        <is>
          <t>TREND-D6-ROLE-CLARITY-APPLIED-01</t>
        </is>
      </c>
      <c r="B21" s="7" t="inlineStr">
        <is>
          <t>D6</t>
        </is>
      </c>
      <c r="C21" s="7" t="inlineStr">
        <is>
          <t>judgment</t>
        </is>
      </c>
      <c r="D21" s="7" t="inlineStr">
        <is>
          <t>single</t>
        </is>
      </c>
      <c r="E21" s="7" t="inlineStr">
        <is>
          <t>A content team wants to use AI to generate campaign copy, short video drafts, and product images from a single brief. Focus competency: Human-AI role clarity. The user should show they use human-ai role clarity using practical signals such as role boundaries, review routines, human accountability.</t>
        </is>
      </c>
      <c r="F21" s="7" t="inlineStr">
        <is>
          <t>What practical setup best tests this capability without over-trusting the output?</t>
        </is>
      </c>
      <c r="G21" s="7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H21" s="7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ความชัดเจนของบทบาทคนกับ AI ผู้ใช้ควรแสดงให้เห็นว่าประยุกต์ใช้งาน ความชัดเจนของบทบาทคนกับ AI โดยมีแนวทางปฏิบัติที่ชัดเจน เช่น ขอบเขตบทบาทหน้าที่, รอบการตรวจทานประจำ, ความรับผิดชอบของบุคลากร</t>
        </is>
      </c>
      <c r="I21" s="7" t="inlineStr">
        <is>
          <t>การจัดกระบวนการทดสอบในทางปฏิบัติข้อใดเหมาะสมที่สุด โดยไม่เชื่อถือผลลัพธ์มากเกินไป</t>
        </is>
      </c>
      <c r="J21" s="7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K21" s="7" t="inlineStr">
        <is>
          <t>✔ Strong applied evidence for human-ai role clarity: it connects the trend to task fit, evidence, controls, and outcomes. ⇄ ถูกต้อง หลักฐานระดับใช้งานที่ชัดเจนสำหรับ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1" s="7" t="inlineStr"/>
      <c r="M21" s="8" t="inlineStr"/>
      <c r="N21" s="8" t="inlineStr"/>
      <c r="O21" s="8" t="inlineStr"/>
      <c r="P21" s="8" t="inlineStr"/>
      <c r="Q21" s="8" t="inlineStr"/>
      <c r="R21" s="8" t="inlineStr"/>
    </row>
  </sheetData>
  <autoFilter ref="A1:R21"/>
  <conditionalFormatting sqref="Q2:Q21">
    <cfRule type="cellIs" priority="1" operator="equal" dxfId="0">
      <formula>"Approve"</formula>
    </cfRule>
    <cfRule type="cellIs" priority="2" operator="equal" dxfId="1">
      <formula>"Rewrite"</formula>
    </cfRule>
  </conditionalFormatting>
  <conditionalFormatting sqref="O2:O21">
    <cfRule type="cellIs" priority="3" operator="equal" dxfId="1">
      <formula>"No"</formula>
    </cfRule>
  </conditionalFormatting>
  <dataValidations count="3">
    <dataValidation sqref="N2:N21" showDropDown="0" showInputMessage="0" showErrorMessage="0" allowBlank="1" type="list">
      <formula1>"Yes,Mostly,No"</formula1>
    </dataValidation>
    <dataValidation sqref="O2:O21" showDropDown="0" showInputMessage="0" showErrorMessage="0" allowBlank="1" type="list">
      <formula1>"Yes,No"</formula1>
    </dataValidation>
    <dataValidation sqref="Q2:Q21" showDropDown="0" showInputMessage="0" showErrorMessage="0" allowBlank="1" type="list">
      <formula1>"Approve,Fix,Rewrite"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80" customWidth="1" min="6" max="6"/>
  </cols>
  <sheetData>
    <row r="1">
      <c r="A1" s="3" t="inlineStr">
        <is>
          <t>Question ID</t>
        </is>
      </c>
      <c r="B1" s="5" t="inlineStr">
        <is>
          <t>First review verdict</t>
        </is>
      </c>
      <c r="C1" s="5" t="inlineStr">
        <is>
          <t>Natural Thai (1-5)</t>
        </is>
      </c>
      <c r="D1" s="5" t="inlineStr">
        <is>
          <t>Scenario changed by reviewer?</t>
        </is>
      </c>
      <c r="E1" s="5" t="inlineStr">
        <is>
          <t>Prompt changed by reviewer?</t>
        </is>
      </c>
      <c r="F1" s="5" t="inlineStr">
        <is>
          <t>First-review comment</t>
        </is>
      </c>
    </row>
    <row r="2">
      <c r="A2" s="7" t="inlineStr">
        <is>
          <t>ADV-D1-CORE-CONCEPTS-01</t>
        </is>
      </c>
      <c r="B2" s="7" t="inlineStr"/>
      <c r="C2" s="7" t="inlineStr"/>
      <c r="D2" s="7" t="inlineStr"/>
      <c r="E2" s="7" t="inlineStr"/>
      <c r="F2" s="7" t="inlineStr"/>
    </row>
    <row r="3">
      <c r="A3" s="7" t="inlineStr">
        <is>
          <t>ADV-D5-TRANSFORMATION-STRATEGY-02</t>
        </is>
      </c>
      <c r="B3" s="7" t="inlineStr"/>
      <c r="C3" s="7" t="inlineStr"/>
      <c r="D3" s="7" t="inlineStr"/>
      <c r="E3" s="7" t="inlineStr"/>
      <c r="F3" s="7" t="inlineStr"/>
    </row>
    <row r="4">
      <c r="A4" s="7" t="inlineStr">
        <is>
          <t>ADV-D2-PROMPT-DESIGN-03</t>
        </is>
      </c>
      <c r="B4" s="7" t="inlineStr"/>
      <c r="C4" s="7" t="inlineStr"/>
      <c r="D4" s="7" t="inlineStr"/>
      <c r="E4" s="7" t="inlineStr"/>
      <c r="F4" s="7" t="inlineStr"/>
    </row>
    <row r="5">
      <c r="A5" s="7" t="inlineStr">
        <is>
          <t>ADV-D1-CAPABILITY-LIMITS-04</t>
        </is>
      </c>
      <c r="B5" s="7" t="inlineStr"/>
      <c r="C5" s="7" t="inlineStr"/>
      <c r="D5" s="7" t="inlineStr"/>
      <c r="E5" s="7" t="inlineStr"/>
      <c r="F5" s="7" t="inlineStr"/>
    </row>
    <row r="6">
      <c r="A6" s="7" t="inlineStr">
        <is>
          <t>ADV-D5-ROI-METRICS-05</t>
        </is>
      </c>
      <c r="B6" s="7" t="inlineStr"/>
      <c r="C6" s="7" t="inlineStr"/>
      <c r="D6" s="7" t="inlineStr"/>
      <c r="E6" s="7" t="inlineStr"/>
      <c r="F6" s="7" t="inlineStr"/>
    </row>
    <row r="7">
      <c r="A7" s="7" t="inlineStr">
        <is>
          <t>ADV-D2-AGENTIC-WORKFLOWS-06</t>
        </is>
      </c>
      <c r="B7" s="7" t="inlineStr"/>
      <c r="C7" s="7" t="inlineStr"/>
      <c r="D7" s="7" t="inlineStr"/>
      <c r="E7" s="7" t="inlineStr"/>
      <c r="F7" s="7" t="inlineStr"/>
    </row>
    <row r="8">
      <c r="A8" s="7" t="inlineStr">
        <is>
          <t>ADV-D6-CHANGE-ENABLEMENT-07</t>
        </is>
      </c>
      <c r="B8" s="7" t="inlineStr"/>
      <c r="C8" s="7" t="inlineStr"/>
      <c r="D8" s="7" t="inlineStr"/>
      <c r="E8" s="7" t="inlineStr"/>
      <c r="F8" s="7" t="inlineStr"/>
    </row>
    <row r="9">
      <c r="A9" s="7" t="inlineStr">
        <is>
          <t>ADV-D5-PORTFOLIO-PRIORITIZATION-08</t>
        </is>
      </c>
      <c r="B9" s="7" t="inlineStr"/>
      <c r="C9" s="7" t="inlineStr"/>
      <c r="D9" s="7" t="inlineStr"/>
      <c r="E9" s="7" t="inlineStr"/>
      <c r="F9" s="7" t="inlineStr"/>
    </row>
    <row r="10">
      <c r="A10" s="7" t="inlineStr">
        <is>
          <t>ADV-D3-SOURCE-VERIFICATION-09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ADV-D4-FAIRNESS-ETHICS-10</t>
        </is>
      </c>
      <c r="B11" s="7" t="inlineStr"/>
      <c r="C11" s="7" t="inlineStr"/>
      <c r="D11" s="7" t="inlineStr"/>
      <c r="E11" s="7" t="inlineStr"/>
      <c r="F11" s="7" t="inlineStr"/>
    </row>
    <row r="12">
      <c r="A12" s="7" t="inlineStr">
        <is>
          <t>TREND-D3-MEDIA-PROVENANCE-AWARENESS-01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TREND-D4-SECURITY-GOVERNANCE-APPLIED-01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>
        <is>
          <t>TREND-D3-DATA-CHART-JUDGMENT-APPLIED-02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TREND-D6-ROLE-CLARITY-PROFICIENT-01</t>
        </is>
      </c>
      <c r="B15" s="7" t="inlineStr"/>
      <c r="C15" s="7" t="inlineStr"/>
      <c r="D15" s="7" t="inlineStr"/>
      <c r="E15" s="7" t="inlineStr"/>
      <c r="F15" s="7" t="inlineStr"/>
    </row>
    <row r="16">
      <c r="A16" s="7" t="inlineStr">
        <is>
          <t>TREND-D4-REGULATORY-POLICY-PROFICIENT-02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TREND-D2-OUTPUT-REFINEMENT-ADVANCED-01</t>
        </is>
      </c>
      <c r="B17" s="7" t="inlineStr"/>
      <c r="C17" s="7" t="inlineStr"/>
      <c r="D17" s="7" t="inlineStr"/>
      <c r="E17" s="7" t="inlineStr"/>
      <c r="F17" s="7" t="inlineStr"/>
    </row>
    <row r="18">
      <c r="A18" s="7" t="inlineStr">
        <is>
          <t>TREND-D5-USECASE-FIT-ADVANCED-02</t>
        </is>
      </c>
      <c r="B18" s="7" t="inlineStr"/>
      <c r="C18" s="7" t="inlineStr"/>
      <c r="D18" s="7" t="inlineStr"/>
      <c r="E18" s="7" t="inlineStr"/>
      <c r="F18" s="7" t="inlineStr"/>
    </row>
    <row r="19">
      <c r="A19" s="7" t="inlineStr">
        <is>
          <t>TREND-D4-SECURITY-GOVERNANCE-ADVANCED-01</t>
        </is>
      </c>
      <c r="B19" s="7" t="inlineStr"/>
      <c r="C19" s="7" t="inlineStr"/>
      <c r="D19" s="7" t="inlineStr"/>
      <c r="E19" s="7" t="inlineStr"/>
      <c r="F19" s="7" t="inlineStr"/>
    </row>
    <row r="20">
      <c r="A20" s="7" t="inlineStr">
        <is>
          <t>TREND-D4-SECURITY-GOVERNANCE-ADVANCED-02</t>
        </is>
      </c>
      <c r="B20" s="7" t="inlineStr"/>
      <c r="C20" s="7" t="inlineStr"/>
      <c r="D20" s="7" t="inlineStr"/>
      <c r="E20" s="7" t="inlineStr"/>
      <c r="F20" s="7" t="inlineStr"/>
    </row>
    <row r="21">
      <c r="A21" s="7" t="inlineStr">
        <is>
          <t>TREND-D6-ROLE-CLARITY-APPLIED-01</t>
        </is>
      </c>
      <c r="B21" s="7" t="inlineStr"/>
      <c r="C21" s="7" t="inlineStr"/>
      <c r="D21" s="7" t="inlineStr"/>
      <c r="E21" s="7" t="inlineStr"/>
      <c r="F2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7" t="inlineStr">
        <is>
          <t>Items</t>
        </is>
      </c>
      <c r="B2" s="7">
        <f>COUNTA('Spot check'!A2:A21)</f>
        <v/>
      </c>
    </row>
    <row r="3">
      <c r="A3" s="7" t="inlineStr">
        <is>
          <t>Reviewed</t>
        </is>
      </c>
      <c r="B3" s="7">
        <f>COUNTA('Spot check'!Q2:Q21)</f>
        <v/>
      </c>
    </row>
    <row r="4">
      <c r="A4" s="7" t="inlineStr">
        <is>
          <t>Approve</t>
        </is>
      </c>
      <c r="B4" s="7">
        <f>COUNTIF('Spot check'!Q2:Q21,"Approve")</f>
        <v/>
      </c>
    </row>
    <row r="5">
      <c r="A5" s="7" t="inlineStr">
        <is>
          <t>Fix</t>
        </is>
      </c>
      <c r="B5" s="7">
        <f>COUNTIF('Spot check'!Q2:Q21,"Fix")</f>
        <v/>
      </c>
    </row>
    <row r="6">
      <c r="A6" s="7" t="inlineStr">
        <is>
          <t>Rewrite</t>
        </is>
      </c>
      <c r="B6" s="7">
        <f>COUNTIF('Spot check'!Q2:Q21,"Rewrite")</f>
        <v/>
      </c>
    </row>
    <row r="7">
      <c r="A7" s="7" t="inlineStr">
        <is>
          <t>Key ambiguous (No)</t>
        </is>
      </c>
      <c r="B7" s="7">
        <f>COUNTIF('Spot check'!O2:O21,"No")</f>
        <v/>
      </c>
    </row>
    <row r="8">
      <c r="A8" s="7" t="inlineStr">
        <is>
          <t>Promote batch 3 to approved?</t>
        </is>
      </c>
      <c r="B8" s="7">
        <f>IF(AND(COUNTIF('Spot check'!Q2:Q21,"Approve")&gt;=18,COUNTIF('Spot check'!O2:O21,"No")=0),"YES","NOT YET")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2026-09-14T10:15:52Z</dcterms:created>
  <dcterms:modified xmlns:dcterms="http://purl.org/dc/terms/" xmlns:xsi="http://www.w3.org/2001/XMLSchema-instance" xsi:type="dcterms:W3CDTF">2026-09-14T10:15:52Z</dcterms:modified>
</cp:coreProperties>
</file>