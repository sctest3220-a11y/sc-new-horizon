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pot check" sheetId="2" state="visible" r:id="rId2"/>
    <sheet xmlns:r="http://schemas.openxmlformats.org/officeDocument/2006/relationships" name="Batch context" sheetId="3" state="visible" r:id="rId3"/>
    <sheet xmlns:r="http://schemas.openxmlformats.org/officeDocument/2006/relationships" name="Decision" sheetId="4" state="visible" r:id="rId4"/>
  </sheets>
  <definedNames>
    <definedName name="_xlnm._FilterDatabase" localSheetId="1" hidden="1">'Spot check'!$A$1:$R$21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color rgb="00FFFFFF"/>
      <sz val="10"/>
    </font>
  </fonts>
  <fills count="7">
    <fill>
      <patternFill/>
    </fill>
    <fill>
      <patternFill patternType="gray125"/>
    </fill>
    <fill>
      <patternFill patternType="solid">
        <fgColor rgb="001F3864"/>
      </patternFill>
    </fill>
    <fill>
      <patternFill patternType="solid">
        <fgColor rgb="002E75B6"/>
      </patternFill>
    </fill>
    <fill>
      <patternFill patternType="solid">
        <fgColor rgb="002F8F6B"/>
      </patternFill>
    </fill>
    <fill>
      <patternFill patternType="solid">
        <fgColor rgb="007B5EA7"/>
      </patternFill>
    </fill>
    <fill>
      <patternFill patternType="solid">
        <fgColor rgb="00FFF9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2" fillId="0"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dxfs count="2">
    <dxf>
      <fill>
        <patternFill patternType="solid">
          <fgColor rgb="00C6E5B3"/>
        </patternFill>
      </fill>
    </dxf>
    <dxf>
      <fill>
        <patternFill patternType="solid">
          <fgColor rgb="00F4B6B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50" customWidth="1" min="1" max="1"/>
  </cols>
  <sheetData>
    <row r="1">
      <c r="A1" s="1" t="inlineStr">
        <is>
          <t>New Horizon — Thai Batch 2 Second-Reviewer Spot Check (Round 2)</t>
        </is>
      </c>
    </row>
    <row r="2">
      <c r="A2" s="2" t="inlineStr">
        <is>
          <t>Generated 2026-09-14 after the round-1 spot check (13 Approve / 7 Fix / 0 Rewrite, no ambiguous keys). The seven Fix items were corrected in the reviewer's wording and the flagged patterns (กติกา, ความสดใหม่, การกระทำที่เกี่ยวกับเงิน, คำวิจารณ์ที่หนักแน่น, literal 'around the model') were swept across all 89 items — 19 items changed. A fresh, non-overlapping 20 of the 89: 8 single-choice, 4 multi-select, 3 matching, 3 free-text, 2 drag-order; all six domains; every one of the 7 items touched only by the sweep is included so the sweep itself is checked.</t>
        </is>
      </c>
    </row>
    <row r="3">
      <c r="A3" s="2" t="inlineStr"/>
    </row>
    <row r="4">
      <c r="A4" s="1" t="inlineStr">
        <is>
          <t>PURPOSE</t>
        </is>
      </c>
    </row>
    <row r="5">
      <c r="A5" s="2" t="inlineStr">
        <is>
          <t>A second native Thai reader independently confirms the first review before batch 2 is promoted from 'reviewed' to 'approved' and the Thai toggle leaves pilot-only status. You are checking the Thai as a user would experience it, not re-translating.</t>
        </is>
      </c>
    </row>
    <row r="6">
      <c r="A6" s="2" t="inlineStr"/>
    </row>
    <row r="7">
      <c r="A7" s="1" t="inlineStr">
        <is>
          <t>HOW</t>
        </is>
      </c>
    </row>
    <row r="8">
      <c r="A8" s="2" t="inlineStr">
        <is>
          <t>Sheet 'Spot check' — one row per question with the Thai exactly as the app shows it (scenario, prompt, choices with ✔ on the key, feedback EN ⇄ TH). Answer the question in Thai first, THEN look at the key. If the Thai led you to a different answer than the English key, mark 'Key still unambiguous?' = No and explain.</t>
        </is>
      </c>
    </row>
    <row r="9">
      <c r="A9" s="2" t="inlineStr">
        <is>
          <t>Fill: Would a Thai colleague understand this on first read? (Yes / Mostly / No) · Key still unambiguous? (Yes / No) · Any wrong or unnatural term? (free text) · Verdict (Approve / Fix / Rewrite) · Comment.</t>
        </is>
      </c>
    </row>
    <row r="10">
      <c r="A10" s="2" t="inlineStr">
        <is>
          <t>Decision rule: if 18 or more of the 20 are Approve and no item has 'Key still unambiguous? = No', batch 2 is promoted to 'approved'. Otherwise the flagged pattern is fixed across all 89 items first, and a fresh 20-item sample is drawn.</t>
        </is>
      </c>
    </row>
    <row r="11">
      <c r="A11" s="2" t="inlineStr"/>
    </row>
    <row r="12">
      <c r="A12" s="2" t="inlineStr">
        <is>
          <t>Sheet 'Batch context' lists the first-review outcome for these items (verdict, naturalness score, whether the scenario or prompt was reworded, and the reviewer's comment).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7" customWidth="1" min="2" max="2"/>
    <col width="14" customWidth="1" min="3" max="3"/>
    <col width="10" customWidth="1" min="4" max="4"/>
    <col width="50" customWidth="1" min="5" max="5"/>
    <col width="32" customWidth="1" min="6" max="6"/>
    <col width="55" customWidth="1" min="7" max="7"/>
    <col width="50" customWidth="1" min="8" max="8"/>
    <col width="32" customWidth="1" min="9" max="9"/>
    <col width="55" customWidth="1" min="10" max="10"/>
    <col width="60" customWidth="1" min="11" max="11"/>
    <col width="50" customWidth="1" min="12" max="12"/>
    <col width="12" customWidth="1" min="13" max="13"/>
    <col width="14" customWidth="1" min="14" max="14"/>
    <col width="14" customWidth="1" min="15" max="15"/>
    <col width="30" customWidth="1" min="16" max="16"/>
    <col width="11" customWidth="1" min="17" max="17"/>
    <col width="45" customWidth="1" min="18" max="18"/>
  </cols>
  <sheetData>
    <row r="1">
      <c r="A1" s="3" t="inlineStr">
        <is>
          <t>Question ID</t>
        </is>
      </c>
      <c r="B1" s="3" t="inlineStr">
        <is>
          <t>Domain</t>
        </is>
      </c>
      <c r="C1" s="3" t="inlineStr">
        <is>
          <t>Type</t>
        </is>
      </c>
      <c r="D1" s="3" t="inlineStr">
        <is>
          <t>Interaction</t>
        </is>
      </c>
      <c r="E1" s="4" t="inlineStr">
        <is>
          <t>EN — Scenario</t>
        </is>
      </c>
      <c r="F1" s="4" t="inlineStr">
        <is>
          <t>EN — Prompt</t>
        </is>
      </c>
      <c r="G1" s="4" t="inlineStr">
        <is>
          <t>EN — Choices (✔ key)</t>
        </is>
      </c>
      <c r="H1" s="5" t="inlineStr">
        <is>
          <t>TH — Scenario</t>
        </is>
      </c>
      <c r="I1" s="5" t="inlineStr">
        <is>
          <t>TH — Prompt</t>
        </is>
      </c>
      <c r="J1" s="5" t="inlineStr">
        <is>
          <t>TH — Choices (✔ key)</t>
        </is>
      </c>
      <c r="K1" s="5" t="inlineStr">
        <is>
          <t>Feedback EN ⇄ TH</t>
        </is>
      </c>
      <c r="L1" s="5" t="inlineStr">
        <is>
          <t>Rubric / rationale EN | TH</t>
        </is>
      </c>
      <c r="M1" s="6" t="inlineStr">
        <is>
          <t>Reviewer</t>
        </is>
      </c>
      <c r="N1" s="6" t="inlineStr">
        <is>
          <t>Understood on first read?</t>
        </is>
      </c>
      <c r="O1" s="6" t="inlineStr">
        <is>
          <t>Key still unambiguous?</t>
        </is>
      </c>
      <c r="P1" s="6" t="inlineStr">
        <is>
          <t>Wrong or unnatural term?</t>
        </is>
      </c>
      <c r="Q1" s="6" t="inlineStr">
        <is>
          <t>Verdict</t>
        </is>
      </c>
      <c r="R1" s="6" t="inlineStr">
        <is>
          <t>Comment</t>
        </is>
      </c>
    </row>
    <row r="2" ht="190" customHeight="1">
      <c r="A2" s="7" t="inlineStr">
        <is>
          <t>DEPTH-D2-PROMPT-033</t>
        </is>
      </c>
      <c r="B2" s="7" t="inlineStr">
        <is>
          <t>D2</t>
        </is>
      </c>
      <c r="C2" s="7" t="inlineStr">
        <is>
          <t>narrative</t>
        </is>
      </c>
      <c r="D2" s="7" t="inlineStr">
        <is>
          <t>text</t>
        </is>
      </c>
      <c r="E2" s="7" t="inlineStr">
        <is>
          <t>A team wants an assistant to improve sales follow-up emails over several review cycles.</t>
        </is>
      </c>
      <c r="F2" s="7" t="inlineStr">
        <is>
          <t>Write a prompt-loop instruction that includes draft, critique, revise, and stop criteria.</t>
        </is>
      </c>
      <c r="G2" s="7" t="inlineStr"/>
      <c r="H2" s="7" t="inlineStr">
        <is>
          <t>ทีมหนึ่งต้องการให้ผู้ช่วย AI ช่วยปรับปรุงอีเมลติดตามงานขายให้ดีขึ้นผ่านการทบทวนหลายรอบ</t>
        </is>
      </c>
      <c r="I2" s="7" t="inlineStr">
        <is>
          <t>เขียนคำสั่ง prompt แบบวนซ้ำ (Prompt loop) ที่ครอบคลุมขั้นตอนการร่าง การวิจารณ์ประเมินผล การแก้ไขปรับปรุง และเกณฑ์การหยุดทำงาน</t>
        </is>
      </c>
      <c r="J2" s="7" t="inlineStr"/>
      <c r="K2" s="7" t="inlineStr"/>
      <c r="L2" s="7" t="inlineStr">
        <is>
          <t>EN: draft: Includes draft step — draft, create, write
critique: Includes critique or evaluation — critique, evaluate, review, score
revise: Includes revision loop — revise, improve, iterate, second version
criteria: Defines quality criteria — criteria, tone, accuracy, evidence, customer
stop: Defines stop/escalation rule — stop, escalate, human, approval
Exemplar: Draft the follow-up using only CRM notes and approved offer language. Critique it against accuracy, customer fit, tone, and missing evidence. Revise once using the critique. Stop and escalate if account risk, legal terms, discount approval, or missing facts appear.
TH: draft: มีขั้นตอนการร่าง — ร่าง, สร้าง, เขียน, draft, generate
critique: มีขั้นตอนการวิจารณ์หรือประเมิน — วิจารณ์, ประเมิน, ตรวจทาน, ให้คะแนน, critique, evaluate, review
revise: มีวงรอบการแก้ไข — แก้ไข, ปรับปรุง, ทำซ้ำ, ฉบับที่สอง, revise, ปรับแก้
criteria: กำหนดเกณฑ์คุณภาพ — เกณฑ์, โทน, ความถูกต้อง, หลักฐาน, ลูกค้า, criteria, มาตรฐาน
stop: กำหนดเกณฑ์การหยุดหรือส่งต่อ — หยุด, ส่งต่อ, โดยคน, มนุษย์, การอนุมัติ, stop, escalate, approval
ตัวอย่างคำตอบ: ร่างอีเมลติดตามงานโดยใช้เฉพาะบันทึกใน CRM และถ้อยคำข้อเสนอที่ได้รับอนุมัติแล้ว จากนั้นให้วิจารณ์ร่างนั้นด้วยเกณฑ์ความถูกต้อง ความเหมาะกับลูกค้า โทนการสื่อสาร และหลักฐานที่ยังขาด แก้ไขอีกหนึ่งรอบตามผลการวิจารณ์ และให้หยุดแล้วส่งต่อให้คนตัดสินใจ หากพบความเสี่ยงของลูกค้า เงื่อนไขทางกฎหมาย การอนุมัติส่วนลด หรือข้อเท็จจริงที่ขาดหายไป</t>
        </is>
      </c>
      <c r="M2" s="8" t="inlineStr"/>
      <c r="N2" s="8" t="inlineStr"/>
      <c r="O2" s="8" t="inlineStr"/>
      <c r="P2" s="8" t="inlineStr"/>
      <c r="Q2" s="8" t="inlineStr"/>
      <c r="R2" s="8" t="inlineStr"/>
    </row>
    <row r="3" ht="190" customHeight="1">
      <c r="A3" s="7" t="inlineStr">
        <is>
          <t>DEPTH-EXP-D2-D6-071</t>
        </is>
      </c>
      <c r="B3" s="7" t="inlineStr">
        <is>
          <t>D2</t>
        </is>
      </c>
      <c r="C3" s="7" t="inlineStr">
        <is>
          <t>drag-order</t>
        </is>
      </c>
      <c r="D3" s="7" t="inlineStr">
        <is>
          <t>rank</t>
        </is>
      </c>
      <c r="E3" s="7" t="inlineStr">
        <is>
          <t>A support team wants AI to help with duplicate-charge tickets while preserving reviewer learning.</t>
        </is>
      </c>
      <c r="F3" s="7" t="inlineStr">
        <is>
          <t>Order the workflow steps.</t>
        </is>
      </c>
      <c r="G3" s="7" t="inlineStr">
        <is>
          <t>#1 Classify ticket risk and identify required evidence.
#2 Have AI draft from ticket, payment log, and policy only.
#3 Human reviewer checks evidence, tone, and exception rules.
#4 Send approved response and record override reason.
#5 Review patterns weekly and update coaching or prompts.</t>
        </is>
      </c>
      <c r="H3" s="7" t="inlineStr">
        <is>
          <t>ทีมบริการลูกค้าต้องการให้ AI ช่วยจัดการเคส (ticket) เรื่องการตัดเงินซ้ำ โดยยังคงรักษาการเรียนรู้และพัฒนาทักษะของเจ้าหน้าที่ผู้ตรวจทานไว้</t>
        </is>
      </c>
      <c r="I3" s="7" t="inlineStr">
        <is>
          <t>เรียงลำดับขั้นตอนการทำงานให้ถูกต้อง</t>
        </is>
      </c>
      <c r="J3" s="7" t="inlineStr">
        <is>
          <t>#1 จัดระดับความเสี่ยงของ ticket และระบุหลักฐานที่ต้องใช้
#2 ให้ AI ร่างคำตอบจาก ticket บันทึกการชำระเงิน และนโยบายเท่านั้น
#3 ให้ผู้ตรวจทานที่เป็นคนตรวจหลักฐาน โทนการสื่อสาร และเงื่อนไขข้อยกเว้น
#4 ส่งคำตอบที่อนุมัติแล้ว และบันทึกเหตุผลของการแก้ไขทับผล AI (override)
#5 ทบทวนรูปแบบปัญหาทุกสัปดาห์ และปรับการโค้ชหรือ prompt</t>
        </is>
      </c>
      <c r="K3" s="7" t="inlineStr"/>
      <c r="L3" s="7" t="inlineStr">
        <is>
          <t>EN: Why this order: Risk classification decides which tickets the AI may touch; the draft uses only approved evidence; the human reviewer checks evidence and exception rules before send; recording the override reason is what feeds the weekly learning review.
TH: เหตุผลของลำดับ: การจัดระดับความเสี่ยงเป็นตัวกำหนดว่า AI แตะ ticket ใดได้บ้าง จากนั้นการร่างคำตอบจึงใช้เฉพาะหลักฐานที่อนุมัติแล้ว ผู้ตรวจทานที่เป็นคนต้องตรวจหลักฐานและเงื่อนไขข้อยกเว้นก่อนส่ง และการบันทึกเหตุผลของการ override คือสิ่งที่ป้อนเข้าสู่การทบทวนเพื่อเรียนรู้รายสัปดาห์</t>
        </is>
      </c>
      <c r="M3" s="8" t="inlineStr"/>
      <c r="N3" s="8" t="inlineStr"/>
      <c r="O3" s="8" t="inlineStr"/>
      <c r="P3" s="8" t="inlineStr"/>
      <c r="Q3" s="8" t="inlineStr"/>
      <c r="R3" s="8" t="inlineStr"/>
    </row>
    <row r="4" ht="190" customHeight="1">
      <c r="A4" s="7" t="inlineStr">
        <is>
          <t>DEPTH-EXP-D3-D6-089</t>
        </is>
      </c>
      <c r="B4" s="7" t="inlineStr">
        <is>
          <t>D3</t>
        </is>
      </c>
      <c r="C4" s="7" t="inlineStr">
        <is>
          <t>report-review</t>
        </is>
      </c>
      <c r="D4" s="7" t="inlineStr">
        <is>
          <t>text</t>
        </is>
      </c>
      <c r="E4" s="7" t="inlineStr">
        <is>
          <t>A team chat is about to repost an urgent disaster image, while an analyst dashboard shows mixed evidence about timing, weather, traffic, and source history.</t>
        </is>
      </c>
      <c r="F4" s="7" t="inlineStr">
        <is>
          <t>Write 2-4 sentences telling the group what to do next and how to improve future sharing.</t>
        </is>
      </c>
      <c r="G4" s="7" t="inlineStr"/>
      <c r="H4" s="7" t="inlineStr">
        <is>
          <t>แชตกลุ่มของทีมกำลังจะแชร์ต่อภาพภัยพิบัติเร่งด่วน ขณะที่แดชบอร์ดของนักวิเคราะห์แสดงหลักฐานที่ขัดแย้งกันเรื่องเวลา สภาพอากาศ การจราจร และประวัติของแหล่งข้อมูล</t>
        </is>
      </c>
      <c r="I4" s="7" t="inlineStr">
        <is>
          <t>เขียนอธิบาย 2–4 ประโยค เพื่อแนะนำทีมว่าควรปฏิบัติอย่างไรในลำดับถัดไป และจะปรับปรุงแนวทางการแชร์ข้อมูลในอนาคตได้อย่างไร</t>
        </is>
      </c>
      <c r="J4" s="7" t="inlineStr"/>
      <c r="K4" s="7" t="inlineStr"/>
      <c r="L4" s="7" t="inlineStr">
        <is>
          <t>EN: provenance: Requires source/date/location verification — source, date, location, original, verify
avoid: Avoids amplifying unverified content — unverified, do not share, avoid, wait, caution
official: Uses official or trusted updates — official, trusted, authority, news, local
norm: Creates a team norm or learning loop — rule, norm, checklist, next time, team
Exemplar: Do not repost it yet. Check the original source, timestamp, location clues, and official local updates, and label it unverified until confirmed. For future urgent posts, use a team checklist: source, date, location, and trusted confirmation before sharing.
TH: provenance: กำหนดให้ตรวจสอบแหล่งข้อมูล วันที่ และสถานที่ — แหล่งข้อมูล, วันที่, สถานที่, ต้นทาง, ต้นฉบับ, ตรวจสอบ, เช็ก, ที่มา, วันเวลา, พิกัด, verify
avoid: หลีกเลี่ยงการขยายเนื้อหาที่ยังไม่ได้รับการตรวจสอบ — ยังไม่ได้ตรวจสอบ, อย่าเพิ่งแชร์, อย่าเพิ่งส่ง, ชะลอ, หลีกเลี่ยง, รอก่อน, รอให้, ระวัง, ห้ามแชร์, unverified, ไม่แชร์
official: อ้างอิงข้อมูลอัปเดตจากทางการหรือแหล่งที่เชื่อถือได้ — ทางการ, เชื่อถือได้, หน่วยงาน, ข่าว, ในพื้นที่, ทางราชการ, official
norm: สร้างแนวปฏิบัติของทีมหรือวงรอบการเรียนรู้ — กติกา, แนวปฏิบัติ, เช็กลิสต์, ครั้งต่อไป, ทีม, checklist, ข้อตกลงร่วม
ตัวอย่างคำตอบ: อย่าเพิ่งแชร์ต่อ ขอให้ตรวจสอบแหล่งข้อมูลต้นทาง เวลาที่บันทึก เบาะแสของสถานที่ และข้อมูลอัปเดตจากหน่วยงานทางการในพื้นที่ก่อน พร้อมกำกับว่ายังไม่ได้ตรวจสอบจนกว่าจะยืนยันได้ สำหรับโพสต์เร่งด่วนครั้งต่อไป ให้ทีมใช้เช็กลิสต์ร่วมกัน ได้แก่ แหล่งข้อมูล วันที่ สถานที่ และการยืนยันจากแหล่งที่เชื่อถือได้ก่อนแชร์</t>
        </is>
      </c>
      <c r="M4" s="8" t="inlineStr"/>
      <c r="N4" s="8" t="inlineStr"/>
      <c r="O4" s="8" t="inlineStr"/>
      <c r="P4" s="8" t="inlineStr"/>
      <c r="Q4" s="8" t="inlineStr"/>
      <c r="R4" s="8" t="inlineStr"/>
    </row>
    <row r="5" ht="190" customHeight="1">
      <c r="A5" s="7" t="inlineStr">
        <is>
          <t>FUNC-EXP-GEN-D5-001</t>
        </is>
      </c>
      <c r="B5" s="7" t="inlineStr">
        <is>
          <t>D5</t>
        </is>
      </c>
      <c r="C5" s="7" t="inlineStr">
        <is>
          <t>multi-select</t>
        </is>
      </c>
      <c r="D5" s="7" t="inlineStr">
        <is>
          <t>multi</t>
        </is>
      </c>
      <c r="E5" s="7" t="inlineStr">
        <is>
          <t>A cross-functional leadership group is choosing between AI pilots in HR policy support, close commentary, campaign optimization, and support refunds.</t>
        </is>
      </c>
      <c r="F5" s="7" t="inlineStr">
        <is>
          <t>Which criteria should function leads use to prioritize a premium AI pilot?</t>
        </is>
      </c>
      <c r="G5" s="7" t="inlineStr">
        <is>
          <t>✔ Clear workflow pain with measurable baseline.
✔ Approved, current, and specific data sources.
✔ Human review before money, policy, hiring, or customer actions.
✔ Success, stop, and expansion criteria before launch.
· A demo that feels impressive despite unclear ownership.</t>
        </is>
      </c>
      <c r="H5" s="7" t="inlineStr">
        <is>
          <t>กลุ่มผู้บริหารจากหลายสายงานกำลังเลือกระหว่างโครงการนำร่อง (pilot) ด้าน AI ในงานสนับสนุนนโยบาย HR คำอธิบายประกอบการปิดงบ การเพิ่มประสิทธิภาพแคมเปญ และการคืนเงินของฝ่ายสนับสนุน</t>
        </is>
      </c>
      <c r="I5" s="7" t="inlineStr">
        <is>
          <t>ข้อใดบ้างคือเกณฑ์ที่หัวหน้าสายงานควรใช้จัดลำดับความสำคัญของ pilot ระดับพรีเมียม</t>
        </is>
      </c>
      <c r="J5" s="7" t="inlineStr">
        <is>
          <t>✔ ปัญหาของขั้นตอนงานที่ชัดเจน พร้อมค่าฐาน (baseline) ที่วัดได้
✔ แหล่งข้อมูลที่ได้รับอนุมัติ เป็นปัจจุบัน และเฉพาะเจาะจง
✔ การตรวจทานโดยคน (Human-in-the-loop) ก่อนการดำเนินการทางการเงิน นโยบาย การจ้างงาน หรือลูกค้า
✔ เกณฑ์ความสำเร็จ เกณฑ์หยุด และเกณฑ์ขยายผล ที่กำหนดไว้ก่อนเริ่มใช้งาน
· การสาธิตที่ดูน่าประทับใจ ทั้งที่ยังไม่ชัดว่าใครเป็นผู้รับผิดชอบ</t>
        </is>
      </c>
      <c r="K5" s="7" t="inlineStr">
        <is>
          <t>✔ Correct. Pilot value needs a measurable before state. ⇄ ถูกต้อง คุณค่าของ pilot ต้องมีสถานะตั้งต้นที่วัดได้
✔ Correct. Grounding quality determines whether outputs can be trusted. ⇄ ถูกต้อง คุณภาพของข้อมูลตั้งต้นเป็นตัวกำหนดว่าผลลัพธ์เชื่อถือได้หรือไม่
✔ Correct. High-impact actions need clear gates. ⇄ ถูกต้อง การกระทำที่มีผลกระทบสูงต้องมีจุดอนุมัติที่ชัดเจน
✔ Correct. Pilots need learning discipline, not vague enthusiasm. ⇄ ถูกต้อง pilot ต้องมีวินัยในการเรียนรู้ ไม่ใช่ความกระตือรือร้นที่คลุมเครือ
· Demo appeal is not a reliable prioritization criterion. ⇄ ความน่าประทับใจของการสาธิตไม่ใช่เกณฑ์จัดลำดับความสำคัญที่เชื่อถือได้</t>
        </is>
      </c>
      <c r="L5" s="7" t="inlineStr"/>
      <c r="M5" s="8" t="inlineStr"/>
      <c r="N5" s="8" t="inlineStr"/>
      <c r="O5" s="8" t="inlineStr"/>
      <c r="P5" s="8" t="inlineStr"/>
      <c r="Q5" s="8" t="inlineStr"/>
      <c r="R5" s="8" t="inlineStr"/>
    </row>
    <row r="6" ht="190" customHeight="1">
      <c r="A6" s="7" t="inlineStr">
        <is>
          <t>FUNC-EXP-PEOPLE-D3-001</t>
        </is>
      </c>
      <c r="B6" s="7" t="inlineStr">
        <is>
          <t>D3</t>
        </is>
      </c>
      <c r="C6" s="7" t="inlineStr">
        <is>
          <t>report-review</t>
        </is>
      </c>
      <c r="D6" s="7" t="inlineStr">
        <is>
          <t>single</t>
        </is>
      </c>
      <c r="E6" s="7" t="inlineStr">
        <is>
          <t>An HR generalist asks AI to answer a manager question about PTO carryover. The AI cites an older draft comment even though a newer approved policy is visible.</t>
        </is>
      </c>
      <c r="F6" s="7" t="inlineStr">
        <is>
          <t>What is the strongest critique of the AI answer?</t>
        </is>
      </c>
      <c r="G6" s="7" t="inlineStr">
        <is>
          <t>✔ It relies on a stale draft while the approved policy gives a different limit.
· It is concise but still needs manager-facing examples.
· It should avoid manager guidance until every edge case is known.
· It should average the old and new carryover limits.</t>
        </is>
      </c>
      <c r="H6" s="7" t="inlineStr">
        <is>
          <t>เจ้าหน้าที่ฝ่ายบุคคล (HR) ให้ AI ช่วยตอบคำถามของหัวหน้างานเรื่องการยกยอดวันลาพักร้อนข้ามปี แต่ AI กลับอ้างอิงความเห็นในร่างนโยบายฉบับเก่า ทั้งที่มีเอกสารนโยบายฉบับอนุมัติล่าสุดแสดงอยู่</t>
        </is>
      </c>
      <c r="I6" s="7" t="inlineStr">
        <is>
          <t>ข้อใดคือจุดบกพร่องที่สำคัญที่สุดของคำตอบจาก AI นี้</t>
        </is>
      </c>
      <c r="J6" s="7" t="inlineStr">
        <is>
          <t>✔ คำตอบอ้างอิงร่างฉบับเก่าที่ล้าสมัย ขณะที่นโยบายฉบับอนุมัติกำหนดเพดานไว้ต่างออกไป
· คำตอบกระชับดี แต่ยังต้องเพิ่มตัวอย่างสำหรับหัวหน้างาน
· ไม่ควรให้คำแนะนำแก่หัวหน้างานจนกว่าจะรู้ครบทุกกรณียกเว้น
· ควรเฉลี่ยเพดานการยกวันลาของฉบับเก่าและฉบับใหม่เข้าด้วยกัน</t>
        </is>
      </c>
      <c r="K6" s="7" t="inlineStr">
        <is>
          <t>✔ Correct. The answer is grounded in the wrong source version. ⇄ ถูกต้อง คำตอบยึดโยงกับแหล่งข้อมูลผิดเวอร์ชัน
· Examples may help, but source freshness is the decisive failure. ⇄ ตัวอย่างอาจช่วยได้ แต่ความสดของแหล่งข้อมูลคือจุดผิดพลาดที่ชี้ขาด
· Managers can receive guidance when it is current and bounded. ⇄ หัวหน้างานรับคำแนะนำได้ หากคำแนะนำนั้นเป็นฉบับปัจจุบันและระบุขอบเขตชัดเจน
· Averaging conflicting policy versions invents a rule. ⇄ การเฉลี่ยนโยบายสองเวอร์ชันที่ขัดแย้งกันคือการสร้างข้อกำหนดขึ้นใหม่เอง</t>
        </is>
      </c>
      <c r="L6" s="7" t="inlineStr"/>
      <c r="M6" s="8" t="inlineStr"/>
      <c r="N6" s="8" t="inlineStr"/>
      <c r="O6" s="8" t="inlineStr"/>
      <c r="P6" s="8" t="inlineStr"/>
      <c r="Q6" s="8" t="inlineStr"/>
      <c r="R6" s="8" t="inlineStr"/>
    </row>
    <row r="7" ht="190" customHeight="1">
      <c r="A7" s="7" t="inlineStr">
        <is>
          <t>FUNC-MKT-SALES-D6-003</t>
        </is>
      </c>
      <c r="B7" s="7" t="inlineStr">
        <is>
          <t>D6</t>
        </is>
      </c>
      <c r="C7" s="7" t="inlineStr">
        <is>
          <t>matching</t>
        </is>
      </c>
      <c r="D7" s="7" t="inlineStr">
        <is>
          <t>match</t>
        </is>
      </c>
      <c r="E7" s="7" t="inlineStr">
        <is>
          <t>Marketing and sales are using AI to summarize leads, draft outreach, and prioritize follow-up. The handoff is creating disagreement about lead quality.</t>
        </is>
      </c>
      <c r="F7" s="7" t="inlineStr">
        <is>
          <t>Match each risk to the best practice.</t>
        </is>
      </c>
      <c r="G7" s="7" t="inlineStr">
        <is>
          <t>✔ AI labels weak leads as high priority → Agree on quality criteria before scoring  [Agree on quality criteria before scoring | Send every lead immediately | Hide CRM feedback from marketing]
✔ AI drafts outreach without account context → Require rep review and customer-specific evidence  [Require rep review and customer-specific evidence | Use the same template for all accounts | Remove human edits]
✔ Sales feedback never updates campaign rules → Create a feedback loop from outcomes to targeting  [Create a feedback loop from outcomes to targeting | Stop measuring outcomes | Let AI set targets alone]</t>
        </is>
      </c>
      <c r="H7" s="7" t="inlineStr">
        <is>
          <t>ฝ่ายการตลาดและฝ่ายขายใช้ AI สรุปข้อมูลลูกค้าเป้าหมาย ร่างข้อความติดต่อ และจัดลำดับความสำคัญในการติดตามผล การส่งต่องานระหว่างสองฝ่ายทำให้เกิดความเห็นไม่ตรงกันเรื่องคุณภาพลูกค้าเป้าหมาย</t>
        </is>
      </c>
      <c r="I7" s="7" t="inlineStr">
        <is>
          <t>จับคู่ความเสี่ยงแต่ละข้อกับแนวปฏิบัติที่ดีที่สุด</t>
        </is>
      </c>
      <c r="J7" s="7" t="inlineStr">
        <is>
          <t>✔ AI ติดป้ายลูกค้าเป้าหมายที่คุณภาพต่ำว่าเป็นลำดับความสำคัญสูง → ตกลงเกณฑ์คุณภาพร่วมกันก่อนเริ่มให้คะแนน  [ตกลงเกณฑ์คุณภาพร่วมกันก่อนเริ่มให้คะแนน | ส่งลูกค้าเป้าหมายทุกรายต่อทันที | ปิดบังข้อมูลสะท้อนกลับจาก CRM ไม่ให้ฝ่ายการตลาดเห็น]
✔ AI ร่างข้อความติดต่อโดยไม่มีบริบทของลูกค้ารายนั้น → กำหนดให้พนักงานขายตรวจทานและใส่หลักฐานเฉพาะของลูกค้ารายนั้น  [กำหนดให้พนักงานขายตรวจทานและใส่หลักฐานเฉพาะของลูกค้ารายนั้น | ใช้เทมเพลตเดียวกันกับลูกค้าทุกราย | ตัดการแก้ไขโดยคนออกทั้งหมด]
✔ ข้อมูลสะท้อนกลับจากฝ่ายขายไม่เคยถูกนำไปปรับเกณฑ์ของแคมเปญ → สร้างวงรอบนำผลลัพธ์จริงกลับมาปรับการกำหนดกลุ่มเป้าหมาย  [สร้างวงรอบนำผลลัพธ์จริงกลับมาปรับการกำหนดกลุ่มเป้าหมาย | หยุดวัดผลลัพธ์ | ปล่อยให้ AI กำหนดเป้าหมายเองทั้งหมด]</t>
        </is>
      </c>
      <c r="K7" s="7" t="inlineStr"/>
      <c r="L7" s="7" t="inlineStr"/>
      <c r="M7" s="8" t="inlineStr"/>
      <c r="N7" s="8" t="inlineStr"/>
      <c r="O7" s="8" t="inlineStr"/>
      <c r="P7" s="8" t="inlineStr"/>
      <c r="Q7" s="8" t="inlineStr"/>
      <c r="R7" s="8" t="inlineStr"/>
    </row>
    <row r="8" ht="190" customHeight="1">
      <c r="A8" s="7" t="inlineStr">
        <is>
          <t>FUNC-SALES-D5-003</t>
        </is>
      </c>
      <c r="B8" s="7" t="inlineStr">
        <is>
          <t>D5</t>
        </is>
      </c>
      <c r="C8" s="7" t="inlineStr">
        <is>
          <t>multi-select</t>
        </is>
      </c>
      <c r="D8" s="7" t="inlineStr">
        <is>
          <t>multi</t>
        </is>
      </c>
      <c r="E8" s="7" t="inlineStr">
        <is>
          <t>A sales director is deciding whether to use AI forecast summaries in the weekly revenue meeting.</t>
        </is>
      </c>
      <c r="F8" s="7" t="inlineStr">
        <is>
          <t>Which evidence should be added before leadership uses the AI forecast?</t>
        </is>
      </c>
      <c r="G8" s="7" t="inlineStr">
        <is>
          <t>✔ Probability rationale using recency, stage, risk, and next step.
✔ Clear separation of committed, likely, and speculative revenue.
✔ Customer risk notes such as legal hold or data review.
✔ Human owner for forecast override and CRM update.
· More confident wording in the AI summary.</t>
        </is>
      </c>
      <c r="H8" s="7" t="inlineStr">
        <is>
          <t>ผู้อำนวยการฝ่ายขายกำลังตัดสินใจว่าจะใช้บทสรุปการคาดการณ์จาก AI ในการประชุมรายได้ประจำสัปดาห์หรือไม่</t>
        </is>
      </c>
      <c r="I8" s="7" t="inlineStr">
        <is>
          <t>ข้อใดบ้างคือหลักฐานที่ควรเพิ่มเข้าไป ก่อนที่ผู้บริหารจะนำการคาดการณ์จาก AI ไปใช้</t>
        </is>
      </c>
      <c r="J8" s="7" t="inlineStr">
        <is>
          <t>✔ เหตุผลของค่าความน่าจะเป็น โดยอิงความเป็นปัจจุบันของข้อมูล ขั้นของดีล ความเสี่ยง และขั้นตอนถัดไป
✔ การแยกรายได้ที่ยืนยันแล้ว รายได้ที่มีแนวโน้ม และรายได้ที่ยังไม่แน่ ออกจากกันอย่างชัดเจน
✔ บันทึกความเสี่ยงของลูกค้า เช่น การอายัดข้อมูลตามคำสั่งทางกฎหมาย หรือการตรวจสอบข้อมูล
✔ ผู้รับผิดชอบที่เป็นคน สำหรับการแก้ไขทับผล AI (override) และการอัปเดต CRM
· ถ้อยคำในบทสรุปของ AI ที่ฟังดูมั่นใจมากขึ้น</t>
        </is>
      </c>
      <c r="K8" s="7" t="inlineStr">
        <is>
          <t>✔ Correct. Forecasts need explainable probability, not just stage labels. ⇄ ถูกต้อง การคาดการณ์ต้องอธิบายค่าความน่าจะเป็นได้ ไม่ใช่มีเพียงชื่อขั้นของดีล
✔ Correct. Scenario separation prevents overpromising. ⇄ ถูกต้อง การแยกสถานการณ์ช่วยป้องกันการให้สัญญาเกินจริง
✔ Correct. Risk notes change forecast confidence. ⇄ ถูกต้อง บันทึกความเสี่ยงเปลี่ยนระดับความมั่นใจในการคาดการณ์
✔ Correct. Revenue calls need accountability. ⇄ ถูกต้อง การตัดสินใจเรื่องรายได้ต้องมีผู้รับผิดชอบ
· Confidence wording does not make forecast evidence stronger. ⇄ ถ้อยคำที่ฟังดูมั่นใจไม่ได้ทำให้หลักฐานของการคาดการณ์หนักแน่นขึ้น</t>
        </is>
      </c>
      <c r="L8" s="7" t="inlineStr"/>
      <c r="M8" s="8" t="inlineStr"/>
      <c r="N8" s="8" t="inlineStr"/>
      <c r="O8" s="8" t="inlineStr"/>
      <c r="P8" s="8" t="inlineStr"/>
      <c r="Q8" s="8" t="inlineStr"/>
      <c r="R8" s="8" t="inlineStr"/>
    </row>
    <row r="9" ht="190" customHeight="1">
      <c r="A9" s="7" t="inlineStr">
        <is>
          <t>DEPTH-D6-COLLAB-055</t>
        </is>
      </c>
      <c r="B9" s="7" t="inlineStr">
        <is>
          <t>D6</t>
        </is>
      </c>
      <c r="C9" s="7" t="inlineStr">
        <is>
          <t>report-review</t>
        </is>
      </c>
      <c r="D9" s="7" t="inlineStr">
        <is>
          <t>single</t>
        </is>
      </c>
      <c r="E9" s="7" t="inlineStr">
        <is>
          <t>AI drafts a reply for a sensitive customer complaint.</t>
        </is>
      </c>
      <c r="F9" s="7" t="inlineStr">
        <is>
          <t>Who owns the final message?</t>
        </is>
      </c>
      <c r="G9" s="7" t="inlineStr">
        <is>
          <t>✔ The human reviewer who sends it.
· The AI model because it wrote the first draft.
· No one if the draft is automated.
· The customer because they asked the question.</t>
        </is>
      </c>
      <c r="H9" s="7" t="inlineStr">
        <is>
          <t>AI ช่วยร่างข้อความตอบกลับสำหรับข้อร้องเรียนที่มีความละเอียดอ่อนของลูกค้า</t>
        </is>
      </c>
      <c r="I9" s="7" t="inlineStr">
        <is>
          <t>ใครคือผู้รับผิดชอบข้อความฉบับสุดท้ายที่ส่งถึงลูกค้า</t>
        </is>
      </c>
      <c r="J9" s="7" t="inlineStr">
        <is>
          <t>✔ ผู้ตรวจทานที่เป็นคนและเป็นผู้กดส่ง
· โมเดล AI เพราะเป็นผู้เขียนร่างแรก
· ไม่มีใครรับผิดชอบ ถ้าร่างนั้นมาจากระบบอัตโนมัติ
· ลูกค้า เพราะเป็นฝ่ายตั้งคำถามมาก่อน</t>
        </is>
      </c>
      <c r="K9" s="7" t="inlineStr">
        <is>
          <t>✔ Correct. AI can assist, but the sender owns the action. ⇄ ถูกต้อง AI ช่วยได้ แต่ผู้ส่งเป็นเจ้าของการกระทำนั้น
· AI is not accountable for the customer action. ⇄ AI ไม่สามารถรับผิดชอบต่อการกระทำที่มีผลกับลูกค้าได้
· Automation still needs accountability. ⇄ ระบบอัตโนมัติก็ยังต้องมีผู้รับผิดชอบ
· The organization owns its response. ⇄ องค์กรเป็นเจ้าของคำตอบที่ส่งออกไป</t>
        </is>
      </c>
      <c r="L9" s="7" t="inlineStr"/>
      <c r="M9" s="8" t="inlineStr"/>
      <c r="N9" s="8" t="inlineStr"/>
      <c r="O9" s="8" t="inlineStr"/>
      <c r="P9" s="8" t="inlineStr"/>
      <c r="Q9" s="8" t="inlineStr"/>
      <c r="R9" s="8" t="inlineStr"/>
    </row>
    <row r="10" ht="190" customHeight="1">
      <c r="A10" s="7" t="inlineStr">
        <is>
          <t>DEPTH-D6-CHANGE-058</t>
        </is>
      </c>
      <c r="B10" s="7" t="inlineStr">
        <is>
          <t>D6</t>
        </is>
      </c>
      <c r="C10" s="7" t="inlineStr">
        <is>
          <t>report-review</t>
        </is>
      </c>
      <c r="D10" s="7" t="inlineStr">
        <is>
          <t>single</t>
        </is>
      </c>
      <c r="E10" s="7" t="inlineStr">
        <is>
          <t>A company gives everyone access to an AI tool.</t>
        </is>
      </c>
      <c r="F10" s="7" t="inlineStr">
        <is>
          <t>What is missing if they want real adoption?</t>
        </is>
      </c>
      <c r="G10" s="7" t="inlineStr">
        <is>
          <t>✔ Role-specific examples, coaching, support, and feedback loops.
· Only a launch email with the login link.
· A rule that everyone must use AI daily.
· No guidance so users can discover everything alone.</t>
        </is>
      </c>
      <c r="H10" s="7" t="inlineStr">
        <is>
          <t>บริษัทเปิดให้พนักงานทุกคนเข้าถึงเครื่องมือ AI ตัวใหม่</t>
        </is>
      </c>
      <c r="I10" s="7" t="inlineStr">
        <is>
          <t>หากต้องการให้พนักงานนำไปใช้งานได้จริง องค์กรยังขาดสิ่งใด</t>
        </is>
      </c>
      <c r="J10" s="7" t="inlineStr">
        <is>
          <t>✔ ตัวอย่างเฉพาะบทบาท การโค้ช การสนับสนุน และวงรอบรับฟังความเห็น
· มีแค่อีเมลประกาศเปิดตัวพร้อมลิงก์เข้าใช้งาน
· ออกกฎว่าทุกคนต้องใช้ AI ทุกวัน
· ไม่ต้องมีคำแนะนำ เพื่อให้ผู้ใช้ค้นพบทุกอย่างด้วยตัวเอง</t>
        </is>
      </c>
      <c r="K10" s="7" t="inlineStr">
        <is>
          <t>✔ Correct. Adoption needs enablement. ⇄ ถูกต้อง การใช้งานจริงต้องมีการสนับสนุนให้ทำได้
· Awareness alone is weak. ⇄ การรับรู้เพียงอย่างเดียวยังอ่อนเกินไป
· Mandates can increase usage without capability. ⇄ การบังคับอาจเพิ่มยอดการใช้งานโดยที่ความสามารถไม่ได้เพิ่มตาม
· Discovery works better with examples and guardrails. ⇄ การค้นพบด้วยตัวเองได้ผลดีกว่าเมื่อมีตัวอย่างและแนวป้องกัน (guardrail)</t>
        </is>
      </c>
      <c r="L10" s="7" t="inlineStr"/>
      <c r="M10" s="8" t="inlineStr"/>
      <c r="N10" s="8" t="inlineStr"/>
      <c r="O10" s="8" t="inlineStr"/>
      <c r="P10" s="8" t="inlineStr"/>
      <c r="Q10" s="8" t="inlineStr"/>
      <c r="R10" s="8" t="inlineStr"/>
    </row>
    <row r="11" ht="190" customHeight="1">
      <c r="A11" s="7" t="inlineStr">
        <is>
          <t>FUNC-CS-D3-001</t>
        </is>
      </c>
      <c r="B11" s="7" t="inlineStr">
        <is>
          <t>D3</t>
        </is>
      </c>
      <c r="C11" s="7" t="inlineStr">
        <is>
          <t>report-review</t>
        </is>
      </c>
      <c r="D11" s="7" t="inlineStr">
        <is>
          <t>single</t>
        </is>
      </c>
      <c r="E11" s="7" t="inlineStr">
        <is>
          <t>A customer-service AI drafts a standard delay reply for a duplicate-charge ticket.</t>
        </is>
      </c>
      <c r="F11" s="7" t="inlineStr">
        <is>
          <t>What is the strongest critique of the AI draft?</t>
        </is>
      </c>
      <c r="G11" s="7" t="inlineStr">
        <is>
          <t>✔ It ignores duplicate-capture evidence and dispute risk.
· It uses a greeting that is too short.
· It should mention every internal system field.
· It should ask the customer to wait without review.</t>
        </is>
      </c>
      <c r="H11" s="7" t="inlineStr">
        <is>
          <t>ระบบ AI ของฝ่ายบริการลูกค้าร่างข้อความตอบกลับอัตโนมัติแบบมาตรฐาน เพื่อแจ้งความล่าช้าให้แก่ลูกค้าที่ถูกตัดเงินซ้ำ</t>
        </is>
      </c>
      <c r="I11" s="7" t="inlineStr">
        <is>
          <t>ข้อใดคือจุดบกพร่องที่ร้ายแรงที่สุดของร่างข้อความจาก AI นี้</t>
        </is>
      </c>
      <c r="J11" s="7" t="inlineStr">
        <is>
          <t>✔ ร่างนี้มองข้ามหลักฐานการตัดเงินซ้ำและความเสี่ยงที่ลูกค้าจะโต้แย้งรายการ
· ร่างนี้ใช้คำทักทายที่สั้นเกินไป
· ร่างนี้ควรระบุฟิลด์ข้อมูลภายในระบบให้ครบทุกช่อง
· ร่างนี้ควรขอให้ลูกค้ารอไปก่อนโดยไม่ต้องมีการตรวจทาน</t>
        </is>
      </c>
      <c r="K11" s="7" t="inlineStr">
        <is>
          <t>✔ Correct. The artifact shows payment evidence and escalation risk that the draft misses. ⇄ ถูกต้อง เอกสารประกอบแสดงทั้งหลักฐานการชำระเงินและความเสี่ยงที่เรื่องจะบานปลาย ซึ่งร่างนี้มองข้ามไป
· Tone matters, but the main failure is missing evidence and urgency. ⇄ น้ำเสียงก็สำคัญ แต่ข้อบกพร่องหลักคือการขาดหลักฐานและความเร่งด่วน
· Customers need a clear action, not raw internal data. ⇄ ลูกค้าต้องการแนวทางที่ชัดเจน ไม่ใช่ข้อมูลดิบภายใน
· That repeats the flawed response and increases harm. ⇄ นั่นคือการทำซ้ำคำตอบที่ผิดพลาดและยิ่งเพิ่มความเสียหาย</t>
        </is>
      </c>
      <c r="L11" s="7" t="inlineStr"/>
      <c r="M11" s="8" t="inlineStr"/>
      <c r="N11" s="8" t="inlineStr"/>
      <c r="O11" s="8" t="inlineStr"/>
      <c r="P11" s="8" t="inlineStr"/>
      <c r="Q11" s="8" t="inlineStr"/>
      <c r="R11" s="8" t="inlineStr"/>
    </row>
    <row r="12" ht="190" customHeight="1">
      <c r="A12" s="7" t="inlineStr">
        <is>
          <t>DEPTH-D3-VERIFY-037</t>
        </is>
      </c>
      <c r="B12" s="7" t="inlineStr">
        <is>
          <t>D3</t>
        </is>
      </c>
      <c r="C12" s="7" t="inlineStr">
        <is>
          <t>report-review</t>
        </is>
      </c>
      <c r="D12" s="7" t="inlineStr">
        <is>
          <t>single</t>
        </is>
      </c>
      <c r="E12" s="7" t="inlineStr">
        <is>
          <t>A chatbot summarizes a policy paragraph.</t>
        </is>
      </c>
      <c r="F12" s="7" t="inlineStr">
        <is>
          <t>What should you check first?</t>
        </is>
      </c>
      <c r="G12" s="7" t="inlineStr">
        <is>
          <t>✔ Whether each claim appears in or follows from the source.
· Whether the answer uses formal language.
· Whether the chatbot says it is confident.
· Whether the answer is short enough.</t>
        </is>
      </c>
      <c r="H12" s="7" t="inlineStr">
        <is>
          <t>แชตบอตสรุปย่อหน้าหนึ่งของเอกสารนโยบาย</t>
        </is>
      </c>
      <c r="I12" s="7" t="inlineStr">
        <is>
          <t>คุณควรตรวจสอบสิ่งใดเป็นอันดับแรก</t>
        </is>
      </c>
      <c r="J12" s="7" t="inlineStr">
        <is>
          <t>✔ ข้อความที่กล่าวอ้างแต่ละข้อปรากฏอยู่ในเอกสารแหล่งข้อมูล หรือสรุปมาจากแหล่งข้อมูลนั้นจริงหรือไม่
· คำตอบใช้ภาษาที่เป็นทางการหรือไม่
· แชตบอตบอกว่าตัวเองมั่นใจหรือไม่
· คำตอบสั้นพอหรือไม่</t>
        </is>
      </c>
      <c r="K12" s="7" t="inlineStr">
        <is>
          <t>✔ Correct. Claim-source alignment is the first check. ⇄ ถูกต้อง การเทียบข้อความที่อ้างกับแหล่งข้อมูลคือการตรวจสอบอันดับแรก
· Style is not proof. ⇄ รูปแบบภาษาไม่ใช่หลักฐาน
· Confidence is not verification. ⇄ ความมั่นใจไม่ใช่การตรวจสอบ
· Concision does not prove accuracy. ⇄ ความกระชับไม่ได้พิสูจน์ความถูกต้อง</t>
        </is>
      </c>
      <c r="L12" s="7" t="inlineStr"/>
      <c r="M12" s="8" t="inlineStr"/>
      <c r="N12" s="8" t="inlineStr"/>
      <c r="O12" s="8" t="inlineStr"/>
      <c r="P12" s="8" t="inlineStr"/>
      <c r="Q12" s="8" t="inlineStr"/>
      <c r="R12" s="8" t="inlineStr"/>
    </row>
    <row r="13" ht="190" customHeight="1">
      <c r="A13" s="7" t="inlineStr">
        <is>
          <t>DEPTH-D1-CONCEPTS-025</t>
        </is>
      </c>
      <c r="B13" s="7" t="inlineStr">
        <is>
          <t>D1</t>
        </is>
      </c>
      <c r="C13" s="7" t="inlineStr">
        <is>
          <t>report-review</t>
        </is>
      </c>
      <c r="D13" s="7" t="inlineStr">
        <is>
          <t>single</t>
        </is>
      </c>
      <c r="E13" s="7" t="inlineStr">
        <is>
          <t>A new user says, “The AI sounds certain, so it must know the truth.”</t>
        </is>
      </c>
      <c r="F13" s="7" t="inlineStr">
        <is>
          <t>Which explanation is most accurate?</t>
        </is>
      </c>
      <c r="G13" s="7" t="inlineStr">
        <is>
          <t>✔ LLMs generate likely text patterns and still need evidence checks.
· LLMs store only approved facts from the internet.
· LLMs cannot answer unless every fact is verified.
· A confident tone is enough for low-risk decisions.</t>
        </is>
      </c>
      <c r="H13" s="7" t="inlineStr">
        <is>
          <t>ผู้ใช้งานใหม่คนหนึ่งกล่าวว่า “AI ตอบด้วยน้ำเสียงมั่นใจ แสดงว่าข้อมูลต้องถูกต้องแน่นอน”</t>
        </is>
      </c>
      <c r="I13" s="7" t="inlineStr">
        <is>
          <t>ข้อใดอธิบายการทำงานของ AI ได้ถูกต้องที่สุด</t>
        </is>
      </c>
      <c r="J13" s="7" t="inlineStr">
        <is>
          <t>✔ LLM สร้างข้อความจากการคาดเดารูปแบบภาษาที่น่าจะเป็น จึงจำเป็นต้องตรวจสอบกับหลักฐานอ้างอิงเสมอ
· LLM เก็บเฉพาะข้อเท็จจริงที่ผ่านการรับรองจากอินเทอร์เน็ตเท่านั้น
· LLM จะตอบไม่ได้เลยจนกว่าทุกข้อเท็จจริงจะถูกตรวจสอบแล้ว
· น้ำเสียงที่มั่นใจก็เพียงพอแล้วสำหรับการตัดสินใจที่มีความเสี่ยงต่ำ</t>
        </is>
      </c>
      <c r="K13" s="7" t="inlineStr">
        <is>
          <t>✔ Correct. This is the core literacy point. ⇄ ถูกต้อง นี่คือหัวใจสำคัญของการรู้เท่าทัน AI — โมเดลสร้างคำตามความน่าจะเป็น ไม่ใช่การดึงข้อเท็จจริงที่ตรวจสอบแล้ว
· No. They can generate unsupported claims. ⇄ ไม่ใช่ โมเดลสร้างข้อความที่ไม่มีหลักฐานรองรับได้
· They can answer without verification, which creates risk. ⇄ โมเดลตอบได้โดยไม่ต้องมีการตรวจสอบ ซึ่งเป็นที่มาของความเสี่ยง
· Tone is not evidence. ⇄ น้ำเสียงไม่ใช่หลักฐาน</t>
        </is>
      </c>
      <c r="L13" s="7" t="inlineStr"/>
      <c r="M13" s="8" t="inlineStr"/>
      <c r="N13" s="8" t="inlineStr"/>
      <c r="O13" s="8" t="inlineStr"/>
      <c r="P13" s="8" t="inlineStr"/>
      <c r="Q13" s="8" t="inlineStr"/>
      <c r="R13" s="8" t="inlineStr"/>
    </row>
    <row r="14" ht="190" customHeight="1">
      <c r="A14" s="7" t="inlineStr">
        <is>
          <t>DEPTH-D5-STRATEGY-052</t>
        </is>
      </c>
      <c r="B14" s="7" t="inlineStr">
        <is>
          <t>D5</t>
        </is>
      </c>
      <c r="C14" s="7" t="inlineStr">
        <is>
          <t>report-review</t>
        </is>
      </c>
      <c r="D14" s="7" t="inlineStr">
        <is>
          <t>single</t>
        </is>
      </c>
      <c r="E14" s="7" t="inlineStr">
        <is>
          <t>An executive asks whether every new model release should trigger a project.</t>
        </is>
      </c>
      <c r="F14" s="7" t="inlineStr">
        <is>
          <t>What is the best answer?</t>
        </is>
      </c>
      <c r="G14" s="7" t="inlineStr">
        <is>
          <t>✔ No. First map the capability to a business problem and evidence of value.
· Yes. Newer models always create immediate ROI.
· Only competitors should decide the roadmap.
· Ignore all trends until regulation is perfect.</t>
        </is>
      </c>
      <c r="H14" s="7" t="inlineStr">
        <is>
          <t>ผู้บริหารถามว่า เมื่อมีโมเดล AI รุ่นใหม่ออกมาทุกครั้ง องค์กรควรเปิดโครงการใหม่ตามด้วยหรือไม่</t>
        </is>
      </c>
      <c r="I14" s="7" t="inlineStr">
        <is>
          <t>ข้อใดคือคำตอบที่เหมาะสมที่สุด</t>
        </is>
      </c>
      <c r="J14" s="7" t="inlineStr">
        <is>
          <t>✔ ไม่ควร ต้องเชื่อมความสามารถนั้นเข้ากับปัญหาทางธุรกิจและหลักฐานของคุณค่าก่อน
· ควร เพราะโมเดลใหม่สร้าง ROI ได้ทันทีเสมอ
· ให้คู่แข่งเป็นผู้กำหนดแผนงานของเราเท่านั้น
· ไม่ต้องสนใจเทรนด์ใด ๆ จนกว่ากฎระเบียบจะสมบูรณ์</t>
        </is>
      </c>
      <c r="K14" s="7" t="inlineStr">
        <is>
          <t>✔ Correct. Trend literacy needs business fit. ⇄ ถูกต้อง การรู้เท่าทันเทรนด์ต้องมาพร้อมความสอดคล้องกับธุรกิจ
· New capability is not automatic value. ⇄ ความสามารถใหม่ไม่ได้แปลว่าเกิดคุณค่าโดยอัตโนมัติ
· Competitor moves are signals, not strategy. ⇄ ความเคลื่อนไหวของคู่แข่งเป็นสัญญาณ ไม่ใช่กลยุทธ์
· Too passive. Trends need calibrated review. ⇄ ตั้งรับเกินไป เทรนด์ต้องมีการทบทวนอย่างมีหลักเกณฑ์</t>
        </is>
      </c>
      <c r="L14" s="7" t="inlineStr"/>
      <c r="M14" s="8" t="inlineStr"/>
      <c r="N14" s="8" t="inlineStr"/>
      <c r="O14" s="8" t="inlineStr"/>
      <c r="P14" s="8" t="inlineStr"/>
      <c r="Q14" s="8" t="inlineStr"/>
      <c r="R14" s="8" t="inlineStr"/>
    </row>
    <row r="15" ht="190" customHeight="1">
      <c r="A15" s="7" t="inlineStr">
        <is>
          <t>DEPTH-D3-MEDIA-040</t>
        </is>
      </c>
      <c r="B15" s="7" t="inlineStr">
        <is>
          <t>D3</t>
        </is>
      </c>
      <c r="C15" s="7" t="inlineStr">
        <is>
          <t>media</t>
        </is>
      </c>
      <c r="D15" s="7" t="inlineStr">
        <is>
          <t>single</t>
        </is>
      </c>
      <c r="E15" s="7" t="inlineStr">
        <is>
          <t>A friend wants to share a dramatic disaster image.</t>
        </is>
      </c>
      <c r="F15" s="7" t="inlineStr">
        <is>
          <t>What is the safest first response?</t>
        </is>
      </c>
      <c r="G15" s="7" t="inlineStr">
        <is>
          <t>✔ Check original source, date, location, and caption before sharing.
· Share quickly because urgent posts are always helpful.
· Assume every disaster image is AI-generated.
· Only check whether the image looks dramatic.</t>
        </is>
      </c>
      <c r="H15" s="7" t="inlineStr">
        <is>
          <t>เพื่อนคนหนึ่งต้องการแชร์ภาพภัยพิบัติที่ดูสะเทือนอารมณ์และรุนแรง</t>
        </is>
      </c>
      <c r="I15" s="7" t="inlineStr">
        <is>
          <t>ข้อใดคือแนวทางปฏิบัติแรกที่ปลอดภัยที่สุด</t>
        </is>
      </c>
      <c r="J15" s="7" t="inlineStr">
        <is>
          <t>✔ ตรวจสอบแหล่งข้อมูลต้นทาง วันที่ สถานที่ และคำบรรยายภาพก่อนแชร์
· รีบแชร์ทันที เพราะโพสต์เร่งด่วนย่อมเป็นประโยชน์เสมอ
· สันนิษฐานไว้ก่อนว่าภาพภัยพิบัติทุกภาพสร้างขึ้นด้วย AI
· ดูเพียงว่าภาพนั้นดูรุนแรงสะเทือนใจหรือไม่</t>
        </is>
      </c>
      <c r="K15" s="7" t="inlineStr">
        <is>
          <t>✔ Correct. Provenance and context matter. ⇄ ถูกต้อง ที่มาของสื่อ (provenance) และบริบทเป็นเรื่องสำคัญ
· Urgency can spread misinformation. ⇄ ความเร่งด่วนทำให้ข้อมูลบิดเบือนแพร่กระจายได้
· That overstates the evidence. ⇄ เป็นการสรุปเกินกว่าหลักฐานที่มี
· Visual impact is not proof. ⇄ ความรุนแรงของภาพไม่ใช่ข้อพิสูจน์</t>
        </is>
      </c>
      <c r="L15" s="7" t="inlineStr"/>
      <c r="M15" s="8" t="inlineStr"/>
      <c r="N15" s="8" t="inlineStr"/>
      <c r="O15" s="8" t="inlineStr"/>
      <c r="P15" s="8" t="inlineStr"/>
      <c r="Q15" s="8" t="inlineStr"/>
      <c r="R15" s="8" t="inlineStr"/>
    </row>
    <row r="16" ht="190" customHeight="1">
      <c r="A16" s="7" t="inlineStr">
        <is>
          <t>DEPTH-EXP-D1-CONCEPTS-090</t>
        </is>
      </c>
      <c r="B16" s="7" t="inlineStr">
        <is>
          <t>D1</t>
        </is>
      </c>
      <c r="C16" s="7" t="inlineStr">
        <is>
          <t>report-review</t>
        </is>
      </c>
      <c r="D16" s="7" t="inlineStr">
        <is>
          <t>multi</t>
        </is>
      </c>
      <c r="E16" s="7" t="inlineStr">
        <is>
          <t>A workshop participant says a lower temperature, longer prompt, and confident citation style guarantee that an AI answer is true.</t>
        </is>
      </c>
      <c r="F16" s="7" t="inlineStr">
        <is>
          <t>Which corrections should the facilitator make?</t>
        </is>
      </c>
      <c r="G16" s="7" t="inlineStr">
        <is>
          <t>✔ Truth requires support from reliable sources or validated evidence.
✔ Lower temperature may reduce variation but does not guarantee correctness.
✔ Citation style must be checked against the actual source.
✔ Users should compare important claims with source material before acting.
· A confident answer is enough when the prompt is detailed.</t>
        </is>
      </c>
      <c r="H16" s="7" t="inlineStr">
        <is>
          <t>ผู้เข้าอบรมระบุว่า การตั้งค่า temperature ให้ต่ำ, เขียน prompt ให้ยาว และจัดรูปแบบการอ้างอิงให้น่าเชื่อถือ จะช่วยรับประกันว่าคำตอบของ AI ถูกต้องแน่นอน</t>
        </is>
      </c>
      <c r="I16" s="7" t="inlineStr">
        <is>
          <t>ประเด็นใดบ้างที่วิทยากรควรชี้แจงเพื่อแก้ไขความเข้าใจผิด</t>
        </is>
      </c>
      <c r="J16" s="7" t="inlineStr">
        <is>
          <t>✔ ความจริงต้องมีแหล่งข้อมูลที่เชื่อถือได้หรือหลักฐานที่ผ่านการตรวจสอบรองรับ
✔ temperature ที่ต่ำลงอาจลดความแปรผันของคำตอบ แต่ไม่รับประกันความถูกต้อง
✔ รูปแบบการอ้างอิงต้องถูกตรวจสอบเทียบกับแหล่งข้อมูลจริง
✔ ผู้ใช้ควรเทียบข้อความสำคัญกับเอกสารต้นทางก่อนนำไปใช้
· คำตอบที่ให้มาอย่างมั่นใจก็เพียงพอแล้วเมื่อ prompt มีรายละเอียดครบ</t>
        </is>
      </c>
      <c r="K16" s="7" t="inlineStr">
        <is>
          <t>✔ Correct. Grounding and verification are separate from style. ⇄ ถูกต้อง การยึดโยงกับข้อมูลจริงและการตรวจสอบเป็นคนละเรื่องกับรูปแบบการเขียน
✔ Correct. Sampling settings are not fact checks. ⇄ ถูกต้อง ค่าการสุ่มคำตอบไม่ใช่การตรวจสอบข้อเท็จจริง
✔ Correct. A citation-looking answer can still mismatch evidence. ⇄ ถูกต้อง คำตอบที่ดูเหมือนมีการอ้างอิงก็ยังไม่ตรงกับหลักฐานได้
✔ Correct. Verification is the practical behavior. ⇄ ถูกต้อง การตรวจสอบคือพฤติกรรมที่ใช้ได้จริง
· Confidence is not evidence. ⇄ ความมั่นใจไม่ใช่หลักฐาน</t>
        </is>
      </c>
      <c r="L16" s="7" t="inlineStr"/>
      <c r="M16" s="8" t="inlineStr"/>
      <c r="N16" s="8" t="inlineStr"/>
      <c r="O16" s="8" t="inlineStr"/>
      <c r="P16" s="8" t="inlineStr"/>
      <c r="Q16" s="8" t="inlineStr"/>
      <c r="R16" s="8" t="inlineStr"/>
    </row>
    <row r="17" ht="190" customHeight="1">
      <c r="A17" s="7" t="inlineStr">
        <is>
          <t>DEPTH-D4-GOV-047</t>
        </is>
      </c>
      <c r="B17" s="7" t="inlineStr">
        <is>
          <t>D4</t>
        </is>
      </c>
      <c r="C17" s="7" t="inlineStr">
        <is>
          <t>report-review</t>
        </is>
      </c>
      <c r="D17" s="7" t="inlineStr">
        <is>
          <t>multi</t>
        </is>
      </c>
      <c r="E17" s="7" t="inlineStr">
        <is>
          <t>An AI workflow produced a bad customer action.</t>
        </is>
      </c>
      <c r="F17" s="7" t="inlineStr">
        <is>
          <t>Which incident-response evidence should be captured?</t>
        </is>
      </c>
      <c r="G17" s="7" t="inlineStr">
        <is>
          <t>✔ Prompt, output, tool calls, and affected user/action.
✔ Source evidence used or missing.
✔ Decision owner, reviewer, and approver trail.
✔ Containment, correction, and recurrence-prevention step.
· Remove logs so users do not worry.</t>
        </is>
      </c>
      <c r="H17" s="7" t="inlineStr">
        <is>
          <t>workflow ที่ใช้ AI ทำให้เกิดการดำเนินการที่ผิดพลาดกับลูกค้า</t>
        </is>
      </c>
      <c r="I17" s="7" t="inlineStr">
        <is>
          <t>ข้อใดคือหลักฐานที่จำเป็นต้องเก็บไว้สำหรับการรับมือเหตุการณ์</t>
        </is>
      </c>
      <c r="J17" s="7" t="inlineStr">
        <is>
          <t>✔ prompt ผลลัพธ์ที่ได้ การเรียกใช้เครื่องมือ และผู้ใช้หรือการกระทำที่ได้รับผลกระทบ
✔ หลักฐานจากแหล่งข้อมูลที่ถูกใช้หรือที่ขาดหายไป
✔ ร่องรอยของผู้ตัดสินใจ ผู้ตรวจทาน และผู้อนุมัติ
✔ การจำกัดความเสียหาย การแก้ไข และมาตรการป้องกันการเกิดซ้ำ
· ลบ log ทิ้งเพื่อไม่ให้ผู้ใช้กังวล</t>
        </is>
      </c>
      <c r="K17" s="7" t="inlineStr">
        <is>
          <t>✔ Correct. Incident facts must be preserved. ⇄ ถูกต้อง ข้อเท็จจริงของเหตุการณ์ผิดปกติ (incident) ต้องถูกเก็บรักษาไว้
✔ Correct. Evidence gaps explain failure. ⇄ ถูกต้อง ช่องว่างของหลักฐานคือคำอธิบายของความล้มเหลว
✔ Correct. Accountability matters. ⇄ ถูกต้อง ความรับผิดชอบเป็นเรื่องสำคัญ
✔ Correct. Response must improve the system. ⇄ ถูกต้อง การรับมือต้องทำให้ระบบดีขึ้น
· Deleting logs undermines governance. ⇄ การลบ log ทำลายการกำกับดูแล (governance)</t>
        </is>
      </c>
      <c r="L17" s="7" t="inlineStr"/>
      <c r="M17" s="8" t="inlineStr"/>
      <c r="N17" s="8" t="inlineStr"/>
      <c r="O17" s="8" t="inlineStr"/>
      <c r="P17" s="8" t="inlineStr"/>
      <c r="Q17" s="8" t="inlineStr"/>
      <c r="R17" s="8" t="inlineStr"/>
    </row>
    <row r="18" ht="190" customHeight="1">
      <c r="A18" s="7" t="inlineStr">
        <is>
          <t>MATCH-MODEL-CARD-063</t>
        </is>
      </c>
      <c r="B18" s="7" t="inlineStr">
        <is>
          <t>D3</t>
        </is>
      </c>
      <c r="C18" s="7" t="inlineStr">
        <is>
          <t>matching</t>
        </is>
      </c>
      <c r="D18" s="7" t="inlineStr">
        <is>
          <t>match</t>
        </is>
      </c>
      <c r="E18" s="7" t="inlineStr">
        <is>
          <t>A technical user reviews a model card before using an open model.</t>
        </is>
      </c>
      <c r="F18" s="7" t="inlineStr">
        <is>
          <t>Match the model-card section to the decision it informs.</t>
        </is>
      </c>
      <c r="G18" s="7" t="inlineStr">
        <is>
          <t>✔ Evaluation / benchmark results → Whether the model was tested on relevant tasks  [Whether the model was tested on relevant tasks | Who owns customer refunds | What color the UI should be | Whether staff like AI]
✔ License → Whether the model can be used commercially  [Whether the model can be used commercially | Whether the model is always accurate | Whether the prompt is short | Whether the app has memory]
✔ Intended use → Whether the planned deployment matches the model scope  [Whether the planned deployment matches the model scope | Whether the image is dramatic | Whether adoption doubled | Whether reviewers are fast]
✔ Limitations → What guardrails and human review are needed  [What guardrails and human review are needed | What font size to use | What sales region to target | What chatbot name to pick]</t>
        </is>
      </c>
      <c r="H18" s="7" t="inlineStr">
        <is>
          <t>ผู้ใช้สายเทคนิคกำลังตรวจสอบ model card ก่อนตัดสินใจนำโมเดลแบบเปิด (Open-source model) ไปใช้งาน</t>
        </is>
      </c>
      <c r="I18" s="7" t="inlineStr">
        <is>
          <t>จับคู่แต่ละส่วนของ model card กับการตัดสินใจที่ส่วนนั้นช่วยสนับสนุน</t>
        </is>
      </c>
      <c r="J18" s="7" t="inlineStr">
        <is>
          <t>✔ ผลการประเมิน / benchmark (ผลทดสอบเทียบ) → โมเดลถูกทดสอบกับงานที่เกี่ยวข้องหรือไม่  [โมเดลถูกทดสอบกับงานที่เกี่ยวข้องหรือไม่ | ใครรับผิดชอบการคืนเงินลูกค้า | หน้าจอผู้ใช้ควรเป็นสีอะไร | พนักงานชอบ AI หรือไม่]
✔ สัญญาอนุญาตใช้งาน → โมเดลนำไปใช้เชิงพาณิชย์ได้หรือไม่  [โมเดลนำไปใช้เชิงพาณิชย์ได้หรือไม่ | โมเดลแม่นยำเสมอหรือไม่ | prompt สั้นหรือไม่ | แอปมี memory หรือไม่]
✔ การใช้งานที่ตั้งใจไว้ → แผนการนำไปใช้งานตรงกับขอบเขตของโมเดลหรือไม่  [แผนการนำไปใช้งานตรงกับขอบเขตของโมเดลหรือไม่ | ภาพประกอบดูดราม่าหรือไม่ | การใช้งานเพิ่มขึ้นเป็นสองเท่าหรือไม่ | ผู้ตรวจทานทำงานเร็วหรือไม่]
✔ ข้อจำกัด → ต้องมีแนวป้องกัน (guardrail) และการตรวจทานโดยคน (Human-in-the-loop) แบบใดบ้าง  [ต้องมีแนวป้องกัน (guardrail) และการตรวจทานโดยคน (Human-in-the-loop) แบบใดบ้าง | ควรใช้ขนาดตัวอักษรเท่าใด | ควรเจาะภูมิภาคการขายใด | ควรตั้งชื่อแชตบอตว่าอะไร]</t>
        </is>
      </c>
      <c r="K18" s="7" t="inlineStr"/>
      <c r="L18" s="7" t="inlineStr"/>
      <c r="M18" s="8" t="inlineStr"/>
      <c r="N18" s="8" t="inlineStr"/>
      <c r="O18" s="8" t="inlineStr"/>
      <c r="P18" s="8" t="inlineStr"/>
      <c r="Q18" s="8" t="inlineStr"/>
      <c r="R18" s="8" t="inlineStr"/>
    </row>
    <row r="19" ht="190" customHeight="1">
      <c r="A19" s="7" t="inlineStr">
        <is>
          <t>DEPTH-D4-RISK-044</t>
        </is>
      </c>
      <c r="B19" s="7" t="inlineStr">
        <is>
          <t>D4</t>
        </is>
      </c>
      <c r="C19" s="7" t="inlineStr">
        <is>
          <t>matching</t>
        </is>
      </c>
      <c r="D19" s="7" t="inlineStr">
        <is>
          <t>match</t>
        </is>
      </c>
      <c r="E19" s="7" t="inlineStr">
        <is>
          <t>An AI assistant has broad access in a workspace.</t>
        </is>
      </c>
      <c r="F19" s="7" t="inlineStr">
        <is>
          <t>Match each risk to the control.</t>
        </is>
      </c>
      <c r="G19" s="7" t="inlineStr">
        <is>
          <t>✔ Assistant can read all folders → Least-privilege access  [Least-privilege access | Brighter UI | Longer prompt | More outputs]
✔ Assistant can export customer data → Approval gate and data boundary  [Approval gate and data boundary | No logging | Public sharing | Disable help text]
✔ No record of who approved action → Audit log with approver trail  [Audit log with approver trail | Faster model | Tone guide | More examples]
✔ Prompt contains API key → Secret detection and blocking  [Secret detection and blocking | Share in email | Use bigger context | Ignore if internal]</t>
        </is>
      </c>
      <c r="H19" s="7" t="inlineStr">
        <is>
          <t>ผู้ช่วย AI มีสิทธิ์เข้าถึงข้อมูลในระบบ workspace อย่างกว้างขวางเกินไป</t>
        </is>
      </c>
      <c r="I19" s="7" t="inlineStr">
        <is>
          <t>จับคู่ความเสี่ยงแต่ละข้อกับมาตรการควบคุมที่เหมาะสม</t>
        </is>
      </c>
      <c r="J19" s="7" t="inlineStr">
        <is>
          <t>✔ ผู้ช่วยอ่านได้ทุกโฟลเดอร์ → สิทธิ์เท่าที่จำเป็น (least privilege)  [สิทธิ์เท่าที่จำเป็น (least privilege) | หน้าจอที่สว่างขึ้น | prompt ที่ยาวขึ้น | ผลลัพธ์ที่มากขึ้น]
✔ ผู้ช่วยส่งออกข้อมูลลูกค้าได้ → จุดอนุมัติและขอบเขตของข้อมูล  [จุดอนุมัติและขอบเขตของข้อมูล | ไม่ต้องบันทึกล็อก | เปิดให้แชร์แบบสาธารณะ | ปิดข้อความช่วยเหลือ]
✔ ไม่มีบันทึกว่าใครเป็นผู้อนุมัติการกระทำนั้น → บันทึกตรวจสอบ (audit log) พร้อมร่องรอยผู้อนุมัติ  [บันทึกตรวจสอบ (audit log) พร้อมร่องรอยผู้อนุมัติ | โมเดลที่ทำงานเร็วขึ้น | คู่มือน้ำเสียงการสื่อสาร | ตัวอย่างเพิ่มเติม]
✔ prompt มี API key อยู่ด้วย → การตรวจจับและสกัดกั้นข้อมูลลับ  [การตรวจจับและสกัดกั้นข้อมูลลับ | ส่งต่อกันทางอีเมล | ใช้ context window ที่ใหญ่ขึ้น | ไม่ต้องสนใจถ้าใช้กันภายใน]</t>
        </is>
      </c>
      <c r="K19" s="7" t="inlineStr"/>
      <c r="L19" s="7" t="inlineStr"/>
      <c r="M19" s="8" t="inlineStr"/>
      <c r="N19" s="8" t="inlineStr"/>
      <c r="O19" s="8" t="inlineStr"/>
      <c r="P19" s="8" t="inlineStr"/>
      <c r="Q19" s="8" t="inlineStr"/>
      <c r="R19" s="8" t="inlineStr"/>
    </row>
    <row r="20" ht="190" customHeight="1">
      <c r="A20" s="7" t="inlineStr">
        <is>
          <t>DEPTH-D4-GOV-048</t>
        </is>
      </c>
      <c r="B20" s="7" t="inlineStr">
        <is>
          <t>D4</t>
        </is>
      </c>
      <c r="C20" s="7" t="inlineStr">
        <is>
          <t>narrative</t>
        </is>
      </c>
      <c r="D20" s="7" t="inlineStr">
        <is>
          <t>text</t>
        </is>
      </c>
      <c r="E20" s="7" t="inlineStr">
        <is>
          <t>A company has several AI pilots with different risk levels.</t>
        </is>
      </c>
      <c r="F20" s="7" t="inlineStr">
        <is>
          <t>Write a short governance cadence for reviewing these pilots.</t>
        </is>
      </c>
      <c r="G20" s="7" t="inlineStr"/>
      <c r="H20" s="7" t="inlineStr">
        <is>
          <t>บริษัทแห่งหนึ่งมีโครงการนำร่อง (pilot) ด้าน AI หลายโครงการที่มีระดับความเสี่ยงแตกต่างกัน</t>
        </is>
      </c>
      <c r="I20" s="7" t="inlineStr">
        <is>
          <t>เขียนกำหนดรอบเวลาและแนวทางการกำกับดูแล (Governance cadence) แบบสั้น ๆ สำหรับการทบทวนโครงการนำร่องเหล่านี้</t>
        </is>
      </c>
      <c r="J20" s="7" t="inlineStr"/>
      <c r="K20" s="7" t="inlineStr"/>
      <c r="L20" s="7" t="inlineStr">
        <is>
          <t>EN: tier: Uses risk tiers — tier, risk, impact, classify
owner: Names accountable owners — owner, accountable, committee, sponsor
evidence: Defines evidence reviewed — metric, incident, audit, quality, evidence
cadence: Defines cadence — weekly, monthly, quarterly, cadence
action: Includes stop/scale/remediate decisions — stop, scale, remediate, approve, pause
Exemplar: Review high-risk pilots monthly and low-risk pilots quarterly. Each pilot needs an owner, risk tier, usage and quality evidence, incidents, audit samples, user impact, and open mitigations. The forum should decide whether to continue, pause, remediate, or scale.
TH: tier: แบ่งระดับชั้นความเสี่ยง — ระดับชั้น, ความเสี่ยง, ผลกระทบ, จัดกลุ่ม, tier, risk
owner: ระบุผู้รับผิดชอบที่ชัดเจน — เจ้าของงาน, รับผิดชอบ, คณะทำงาน, ผู้สนับสนุนโครงการ, owner, ผู้ดูแล
evidence: กำหนดหลักฐานที่ต้องทบทวน — ตัวชี้วัด, เหตุการณ์ผิดปกติ, audit, คุณภาพ, หลักฐาน, incident, log
cadence: กำหนดจังหวะการทบทวน — รายสัปดาห์, รายเดือน, รายไตรมาส, จังหวะ, ประจำเดือน, ทุกเดือน, ทุกสัปดาห์
action: มีการตัดสินใจหยุด ขยายผล หรือแก้ไข — หยุด, ขยายผล, แก้ไข, อนุมัติ, พักไว้, scale, pause, stop
ตัวอย่างคำตอบ: ทบทวน pilot ความเสี่ยงสูงทุกเดือน และ pilot ความเสี่ยงต่ำทุกไตรมาส แต่ละ pilot ต้องมีเจ้าของงาน ระดับชั้นความเสี่ยง หลักฐานด้านการใช้งานและคุณภาพ เหตุการณ์ผิดปกติ ตัวอย่างจากการตรวจสอบ (audit) ผลกระทบต่อผู้ใช้ และมาตรการลดความเสี่ยงที่ยังค้างอยู่ เวทีทบทวนควรตัดสินใจว่าจะเดินหน้าต่อ พักไว้ แก้ไข หรือขยายผล</t>
        </is>
      </c>
      <c r="M20" s="8" t="inlineStr"/>
      <c r="N20" s="8" t="inlineStr"/>
      <c r="O20" s="8" t="inlineStr"/>
      <c r="P20" s="8" t="inlineStr"/>
      <c r="Q20" s="8" t="inlineStr"/>
      <c r="R20" s="8" t="inlineStr"/>
    </row>
    <row r="21" ht="190" customHeight="1">
      <c r="A21" s="7" t="inlineStr">
        <is>
          <t>DEPTH-D6-COLLAB-057</t>
        </is>
      </c>
      <c r="B21" s="7" t="inlineStr">
        <is>
          <t>D6</t>
        </is>
      </c>
      <c r="C21" s="7" t="inlineStr">
        <is>
          <t>drag-order</t>
        </is>
      </c>
      <c r="D21" s="7" t="inlineStr">
        <is>
          <t>rank</t>
        </is>
      </c>
      <c r="E21" s="7" t="inlineStr">
        <is>
          <t>A team wants to improve AI-assisted work every week.</t>
        </is>
      </c>
      <c r="F21" s="7" t="inlineStr">
        <is>
          <t>Order the review loop.</t>
        </is>
      </c>
      <c r="G21" s="7" t="inlineStr">
        <is>
          <t>#1 Sample AI outputs and human overrides.
#2 Classify error patterns and risk level.
#3 Coach users and update prompt/workflow guidance.
#4 Adjust controls for high-risk patterns.
#5 Measure whether errors and overrides improve.</t>
        </is>
      </c>
      <c r="H21" s="7" t="inlineStr">
        <is>
          <t>ทีมหนึ่งต้องการยกระดับงานที่ใช้ AI ช่วยให้ดีขึ้นทุกสัปดาห์</t>
        </is>
      </c>
      <c r="I21" s="7" t="inlineStr">
        <is>
          <t>เรียงลำดับวงรอบการทบทวนและปรับปรุงการทำงานร่วมกันระหว่างคนกับ AI (Review loop) ประจำสัปดาห์</t>
        </is>
      </c>
      <c r="J21" s="7" t="inlineStr">
        <is>
          <t>#1 สุ่มตัวอย่างผลลัพธ์ของ AI และกรณีที่คนแก้ไขทับผล AI (override)
#2 จัดกลุ่มรูปแบบข้อผิดพลาดและระดับความเสี่ยง
#3 โค้ชผู้ใช้และปรับคำแนะนำเรื่อง prompt และขั้นตอนงาน
#4 ปรับมาตรการควบคุมสำหรับรูปแบบที่มีความเสี่ยงสูง
#5 วัดว่าข้อผิดพลาดและการ override ลดลงหรือไม่</t>
        </is>
      </c>
      <c r="K21" s="7" t="inlineStr"/>
      <c r="L21" s="7" t="inlineStr">
        <is>
          <t>EN: Why this order: Sampling real outputs and overrides supplies the evidence; classifying error patterns shows what to fix and how risky it is; coaching addresses the human side before controls tighten the system side; measuring closes the weekly loop.
TH: เหตุผลของลำดับ: การสุ่มผลลัพธ์จริงและกรณีที่คนแก้ทับผลให้หลักฐานตั้งต้น การจัดกลุ่มรูปแบบข้อผิดพลาดบอกว่าต้องแก้อะไรและเสี่ยงแค่ไหน การโค้ชจัดการฝั่งคนก่อนที่มาตรการควบคุมจะรัดกุมขึ้นในฝั่งระบบ และการวัดผลคือการปิดวงรอบประจำสัปดาห์</t>
        </is>
      </c>
      <c r="M21" s="8" t="inlineStr"/>
      <c r="N21" s="8" t="inlineStr"/>
      <c r="O21" s="8" t="inlineStr"/>
      <c r="P21" s="8" t="inlineStr"/>
      <c r="Q21" s="8" t="inlineStr"/>
      <c r="R21" s="8" t="inlineStr"/>
    </row>
  </sheetData>
  <autoFilter ref="A1:R21"/>
  <conditionalFormatting sqref="Q2:Q21">
    <cfRule type="cellIs" priority="1" operator="equal" dxfId="0">
      <formula>"Approve"</formula>
    </cfRule>
    <cfRule type="cellIs" priority="2" operator="equal" dxfId="1">
      <formula>"Rewrite"</formula>
    </cfRule>
  </conditionalFormatting>
  <conditionalFormatting sqref="O2:O21">
    <cfRule type="cellIs" priority="3" operator="equal" dxfId="1">
      <formula>"No"</formula>
    </cfRule>
  </conditionalFormatting>
  <dataValidations count="3">
    <dataValidation sqref="N2:N21" showDropDown="0" showInputMessage="0" showErrorMessage="0" allowBlank="1" type="list">
      <formula1>"Yes,Mostly,No"</formula1>
    </dataValidation>
    <dataValidation sqref="O2:O21" showDropDown="0" showInputMessage="0" showErrorMessage="0" allowBlank="1" type="list">
      <formula1>"Yes,No"</formula1>
    </dataValidation>
    <dataValidation sqref="Q2:Q21" showDropDown="0" showInputMessage="0" showErrorMessage="0" allowBlank="1" type="list">
      <formula1>"Approve,Fix,Rewrite"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24" customWidth="1" min="1" max="1"/>
    <col width="16" customWidth="1" min="2" max="2"/>
    <col width="12" customWidth="1" min="3" max="3"/>
    <col width="14" customWidth="1" min="4" max="4"/>
    <col width="14" customWidth="1" min="5" max="5"/>
    <col width="80" customWidth="1" min="6" max="6"/>
  </cols>
  <sheetData>
    <row r="1">
      <c r="A1" s="3" t="inlineStr">
        <is>
          <t>Question ID</t>
        </is>
      </c>
      <c r="B1" s="5" t="inlineStr">
        <is>
          <t>First review verdict</t>
        </is>
      </c>
      <c r="C1" s="5" t="inlineStr">
        <is>
          <t>Natural Thai (1-5)</t>
        </is>
      </c>
      <c r="D1" s="5" t="inlineStr">
        <is>
          <t>Scenario changed by reviewer?</t>
        </is>
      </c>
      <c r="E1" s="5" t="inlineStr">
        <is>
          <t>Prompt changed by reviewer?</t>
        </is>
      </c>
      <c r="F1" s="5" t="inlineStr">
        <is>
          <t>First-review comment</t>
        </is>
      </c>
    </row>
    <row r="2">
      <c r="A2" s="7" t="inlineStr">
        <is>
          <t>DEPTH-D2-PROMPT-033</t>
        </is>
      </c>
      <c r="B2" s="7" t="inlineStr">
        <is>
          <t>Fix in cell</t>
        </is>
      </c>
      <c r="C2" s="7" t="n">
        <v>5</v>
      </c>
      <c r="D2" s="7" t="inlineStr">
        <is>
          <t>Yes</t>
        </is>
      </c>
      <c r="E2" s="7" t="inlineStr">
        <is>
          <t>Yes</t>
        </is>
      </c>
      <c r="F2" s="7" t="inlineStr">
        <is>
          <t>เพิ่มคำว่า Prompt loop และปรับสำนวนให้ชัดเจน</t>
        </is>
      </c>
    </row>
    <row r="3">
      <c r="A3" s="7" t="inlineStr">
        <is>
          <t>DEPTH-EXP-D2-D6-071</t>
        </is>
      </c>
      <c r="B3" s="7" t="inlineStr">
        <is>
          <t>Fix in cell</t>
        </is>
      </c>
      <c r="C3" s="7" t="n">
        <v>5</v>
      </c>
      <c r="D3" s="7" t="inlineStr">
        <is>
          <t>Yes</t>
        </is>
      </c>
      <c r="E3" s="7" t="inlineStr">
        <is>
          <t>Yes</t>
        </is>
      </c>
      <c r="F3" s="7" t="inlineStr">
        <is>
          <t>ปรับคำว่า 'ทีมซัพพอร์ต' เป็น 'ทีมบริการลูกค้า' เพื่อให้เป็นทางการและสอดคล้องกัน</t>
        </is>
      </c>
    </row>
    <row r="4">
      <c r="A4" s="7" t="inlineStr">
        <is>
          <t>DEPTH-EXP-D3-D6-089</t>
        </is>
      </c>
      <c r="B4" s="7" t="inlineStr">
        <is>
          <t>Fix in cell</t>
        </is>
      </c>
      <c r="C4" s="7" t="n">
        <v>5</v>
      </c>
      <c r="D4" s="7" t="inlineStr">
        <is>
          <t>Yes</t>
        </is>
      </c>
      <c r="E4" s="7" t="inlineStr">
        <is>
          <t>Yes</t>
        </is>
      </c>
      <c r="F4" s="7" t="inlineStr">
        <is>
          <t>ปรับโจทย์ข้อเขียนให้เป็นทางการและชัดเจนขึ้น</t>
        </is>
      </c>
    </row>
    <row r="5">
      <c r="A5" s="7" t="inlineStr">
        <is>
          <t>FUNC-EXP-GEN-D5-001</t>
        </is>
      </c>
      <c r="B5" s="7" t="inlineStr">
        <is>
          <t>Approve</t>
        </is>
      </c>
      <c r="C5" s="7" t="n">
        <v>5</v>
      </c>
      <c r="D5" s="7" t="inlineStr">
        <is>
          <t>Yes</t>
        </is>
      </c>
      <c r="E5" s="7" t="inlineStr">
        <is>
          <t>Yes</t>
        </is>
      </c>
      <c r="F5" s="7" t="inlineStr">
        <is>
          <t>เกณฑ์การคัดเลือกโครงการนำร่องข้ามสายงานถูกต้องและชัดเจนมาก</t>
        </is>
      </c>
    </row>
    <row r="6">
      <c r="A6" s="7" t="inlineStr">
        <is>
          <t>FUNC-EXP-PEOPLE-D3-001</t>
        </is>
      </c>
      <c r="B6" s="7" t="inlineStr">
        <is>
          <t>Fix in cell</t>
        </is>
      </c>
      <c r="C6" s="7" t="n">
        <v>5</v>
      </c>
      <c r="D6" s="7" t="inlineStr">
        <is>
          <t>Yes</t>
        </is>
      </c>
      <c r="E6" s="7" t="inlineStr">
        <is>
          <t>Yes</t>
        </is>
      </c>
      <c r="F6" s="7" t="inlineStr">
        <is>
          <t>ปรับข้อความให้อ่านลื่นไหล สละสลวยขึ้น</t>
        </is>
      </c>
    </row>
    <row r="7">
      <c r="A7" s="7" t="inlineStr">
        <is>
          <t>FUNC-MKT-SALES-D6-003</t>
        </is>
      </c>
      <c r="B7" s="7" t="inlineStr">
        <is>
          <t>Approve</t>
        </is>
      </c>
      <c r="C7" s="7" t="n">
        <v>5</v>
      </c>
      <c r="D7" s="7" t="inlineStr">
        <is>
          <t>Yes</t>
        </is>
      </c>
      <c r="E7" s="7" t="inlineStr">
        <is>
          <t>Yes</t>
        </is>
      </c>
      <c r="F7" s="7" t="inlineStr">
        <is>
          <t>การประสานงานระหว่างฝ่ายขายกับการตลาดในการใช้ AI แปลได้สมบูรณ์</t>
        </is>
      </c>
    </row>
    <row r="8">
      <c r="A8" s="7" t="inlineStr">
        <is>
          <t>FUNC-SALES-D5-003</t>
        </is>
      </c>
      <c r="B8" s="7" t="inlineStr">
        <is>
          <t>Approve</t>
        </is>
      </c>
      <c r="C8" s="7" t="n">
        <v>5</v>
      </c>
      <c r="D8" s="7" t="inlineStr">
        <is>
          <t>Yes</t>
        </is>
      </c>
      <c r="E8" s="7" t="inlineStr">
        <is>
          <t>Yes</t>
        </is>
      </c>
      <c r="F8" s="7" t="inlineStr">
        <is>
          <t>การแยกประเภทรายได้ (Committed / Likely / Speculative) แปลได้ถูกต้องตามศัพท์การเงินและการขาย</t>
        </is>
      </c>
    </row>
    <row r="9">
      <c r="A9" s="7" t="inlineStr">
        <is>
          <t>DEPTH-D6-COLLAB-055</t>
        </is>
      </c>
      <c r="B9" s="7" t="inlineStr">
        <is>
          <t>Fix in cell</t>
        </is>
      </c>
      <c r="C9" s="7" t="n">
        <v>5</v>
      </c>
      <c r="D9" s="7" t="inlineStr">
        <is>
          <t>Yes</t>
        </is>
      </c>
      <c r="E9" s="7" t="inlineStr">
        <is>
          <t>Yes</t>
        </is>
      </c>
      <c r="F9" s="7" t="inlineStr">
        <is>
          <t>ปรับจาก 'ที่มีความอ่อนไหว' เป็น 'ที่มีความละเอียดอ่อน' ตรงกับลักษณะงานบริการลูกค้า</t>
        </is>
      </c>
    </row>
    <row r="10">
      <c r="A10" s="7" t="inlineStr">
        <is>
          <t>DEPTH-D6-CHANGE-058</t>
        </is>
      </c>
      <c r="B10" s="7" t="inlineStr">
        <is>
          <t>Fix in cell</t>
        </is>
      </c>
      <c r="C10" s="7" t="n">
        <v>5</v>
      </c>
      <c r="D10" s="7" t="inlineStr">
        <is>
          <t>Yes</t>
        </is>
      </c>
      <c r="E10" s="7" t="inlineStr">
        <is>
          <t>Yes</t>
        </is>
      </c>
      <c r="F10" s="7" t="inlineStr">
        <is>
          <t>ปรับคำถามให้สละสลวย ชัดเจนยิ่งขึ้น</t>
        </is>
      </c>
    </row>
    <row r="11">
      <c r="A11" s="7" t="inlineStr">
        <is>
          <t>FUNC-CS-D3-001</t>
        </is>
      </c>
      <c r="B11" s="7" t="inlineStr">
        <is>
          <t>Fix in cell</t>
        </is>
      </c>
      <c r="C11" s="7" t="n">
        <v>5</v>
      </c>
      <c r="D11" s="7" t="inlineStr">
        <is>
          <t>Yes</t>
        </is>
      </c>
      <c r="E11" s="7" t="inlineStr">
        <is>
          <t>Yes</t>
        </is>
      </c>
      <c r="F11" s="7" t="inlineStr">
        <is>
          <t>ปรับสำนวนคำถามให้เป็นธรรมชาติ 'จุดบกพร่องที่ร้ายแรงที่สุด'</t>
        </is>
      </c>
    </row>
    <row r="12">
      <c r="A12" s="7" t="inlineStr">
        <is>
          <t>DEPTH-D3-VERIFY-037</t>
        </is>
      </c>
      <c r="B12" s="7" t="inlineStr">
        <is>
          <t>Fix in cell</t>
        </is>
      </c>
      <c r="C12" s="7" t="n">
        <v>5</v>
      </c>
      <c r="D12" s="7" t="inlineStr">
        <is>
          <t>Yes</t>
        </is>
      </c>
      <c r="E12" s="7" t="inlineStr">
        <is>
          <t>Yes</t>
        </is>
      </c>
      <c r="F12" s="7" t="inlineStr">
        <is>
          <t>ปรับรูปประโยคเป็นภาษาไทยธรรมชาติ 'คุณควรตรวจสอบสิ่งใดเป็นอันดับแรก'</t>
        </is>
      </c>
    </row>
    <row r="13">
      <c r="A13" s="7" t="inlineStr">
        <is>
          <t>DEPTH-D1-CONCEPTS-025</t>
        </is>
      </c>
      <c r="B13" s="7" t="inlineStr">
        <is>
          <t>Fix in cell</t>
        </is>
      </c>
      <c r="C13" s="7" t="n">
        <v>5</v>
      </c>
      <c r="D13" s="7" t="inlineStr">
        <is>
          <t>Yes</t>
        </is>
      </c>
      <c r="E13" s="7" t="inlineStr">
        <is>
          <t>Yes</t>
        </is>
      </c>
      <c r="F13" s="7" t="inlineStr">
        <is>
          <t>ปรับตัดคำว่า 'มัน' และเปลี่ยนเป็น 'ข้อมูลต้องถูกต้องแน่นอน' เพื่อให้เป็นธรรมชาติและตรงกับบริบทคนทำงาน</t>
        </is>
      </c>
    </row>
    <row r="14">
      <c r="A14" s="7" t="inlineStr">
        <is>
          <t>DEPTH-D5-STRATEGY-052</t>
        </is>
      </c>
      <c r="B14" s="7" t="inlineStr">
        <is>
          <t>Fix in cell</t>
        </is>
      </c>
      <c r="C14" s="7" t="n">
        <v>5</v>
      </c>
      <c r="D14" s="7" t="inlineStr">
        <is>
          <t>Yes</t>
        </is>
      </c>
      <c r="E14" s="7" t="inlineStr">
        <is>
          <t>Yes</t>
        </is>
      </c>
      <c r="F14" s="7" t="inlineStr">
        <is>
          <t>ปรับสำนวนให้เข้ากับบริบทการบริหารจัดการในองค์กรไทย</t>
        </is>
      </c>
    </row>
    <row r="15">
      <c r="A15" s="7" t="inlineStr">
        <is>
          <t>DEPTH-D3-MEDIA-040</t>
        </is>
      </c>
      <c r="B15" s="7" t="inlineStr">
        <is>
          <t>Fix in cell</t>
        </is>
      </c>
      <c r="C15" s="7" t="n">
        <v>5</v>
      </c>
      <c r="D15" s="7" t="inlineStr">
        <is>
          <t>Yes</t>
        </is>
      </c>
      <c r="E15" s="7" t="inlineStr">
        <is>
          <t>Yes</t>
        </is>
      </c>
      <c r="F15" s="7" t="inlineStr">
        <is>
          <t>ปรับเป็น 'แนวทางปฏิบัติแรกที่ปลอดภัยที่สุด' ให้อ่านกระชับและเป็นมืออาชีพ</t>
        </is>
      </c>
    </row>
    <row r="16">
      <c r="A16" s="7" t="inlineStr">
        <is>
          <t>DEPTH-EXP-D1-CONCEPTS-090</t>
        </is>
      </c>
      <c r="B16" s="7" t="inlineStr">
        <is>
          <t>Fix in cell</t>
        </is>
      </c>
      <c r="C16" s="7" t="n">
        <v>5</v>
      </c>
      <c r="D16" s="7" t="inlineStr">
        <is>
          <t>Yes</t>
        </is>
      </c>
      <c r="E16" s="7" t="inlineStr">
        <is>
          <t>Yes</t>
        </is>
      </c>
      <c r="F16" s="7" t="inlineStr">
        <is>
          <t>แบ่งวรรคตอนให้อ่านเงื่อนไขได้ง่ายและชัดเจนขึ้น</t>
        </is>
      </c>
    </row>
    <row r="17">
      <c r="A17" s="7" t="inlineStr">
        <is>
          <t>DEPTH-D4-GOV-047</t>
        </is>
      </c>
      <c r="B17" s="7" t="inlineStr">
        <is>
          <t>Approve</t>
        </is>
      </c>
      <c r="C17" s="7" t="n">
        <v>5</v>
      </c>
      <c r="D17" s="7" t="inlineStr">
        <is>
          <t>Yes</t>
        </is>
      </c>
      <c r="E17" s="7" t="inlineStr">
        <is>
          <t>Yes</t>
        </is>
      </c>
      <c r="F17" s="7" t="inlineStr">
        <is>
          <t>ภาษาไทยชัดเจน ครอบคลุมขั้นตอน Incident Response ครบถ้วน</t>
        </is>
      </c>
    </row>
    <row r="18">
      <c r="A18" s="7" t="inlineStr">
        <is>
          <t>MATCH-MODEL-CARD-063</t>
        </is>
      </c>
      <c r="B18" s="7" t="inlineStr">
        <is>
          <t>Fix in cell</t>
        </is>
      </c>
      <c r="C18" s="7" t="n">
        <v>5</v>
      </c>
      <c r="D18" s="7" t="inlineStr">
        <is>
          <t>Yes</t>
        </is>
      </c>
      <c r="E18" s="7" t="inlineStr">
        <is>
          <t>Yes</t>
        </is>
      </c>
      <c r="F18" s="7" t="inlineStr">
        <is>
          <t>เติมคำว่า Open-source model ในวงเล็บเพื่อความเข้าใจที่ชัดเจน</t>
        </is>
      </c>
    </row>
    <row r="19">
      <c r="A19" s="7" t="inlineStr">
        <is>
          <t>DEPTH-D4-RISK-044</t>
        </is>
      </c>
      <c r="B19" s="7" t="inlineStr">
        <is>
          <t>Fix in cell</t>
        </is>
      </c>
      <c r="C19" s="7" t="n">
        <v>5</v>
      </c>
      <c r="D19" s="7" t="inlineStr">
        <is>
          <t>Yes</t>
        </is>
      </c>
      <c r="E19" s="7" t="inlineStr">
        <is>
          <t>Yes</t>
        </is>
      </c>
      <c r="F19" s="7" t="inlineStr">
        <is>
          <t>เปลี่ยน 'พื้นที่ทำงาน' เป็น 'ระบบ workspace' เพื่อป้องกันความสับสนกับสถานที่ทำงานจริง</t>
        </is>
      </c>
    </row>
    <row r="20">
      <c r="A20" s="7" t="inlineStr">
        <is>
          <t>DEPTH-D4-GOV-048</t>
        </is>
      </c>
      <c r="B20" s="7" t="inlineStr">
        <is>
          <t>Fix in cell</t>
        </is>
      </c>
      <c r="C20" s="7" t="n">
        <v>5</v>
      </c>
      <c r="D20" s="7" t="inlineStr">
        <is>
          <t>Yes</t>
        </is>
      </c>
      <c r="E20" s="7" t="inlineStr">
        <is>
          <t>Yes</t>
        </is>
      </c>
      <c r="F20" s="7" t="inlineStr">
        <is>
          <t>ปรับคำว่า 'จังหวะการกำกับดูแล' เป็น 'รอบเวลาและแนวทางการกำกับดูแล (Governance cadence)' สื่อความหมายทางธุรกิจได้ชัดเจนกว่า</t>
        </is>
      </c>
    </row>
    <row r="21">
      <c r="A21" s="7" t="inlineStr">
        <is>
          <t>DEPTH-D6-COLLAB-057</t>
        </is>
      </c>
      <c r="B21" s="7" t="inlineStr">
        <is>
          <t>Fix in cell</t>
        </is>
      </c>
      <c r="C21" s="7" t="n">
        <v>5</v>
      </c>
      <c r="D21" s="7" t="inlineStr">
        <is>
          <t>Yes</t>
        </is>
      </c>
      <c r="E21" s="7" t="inlineStr">
        <is>
          <t>Yes</t>
        </is>
      </c>
      <c r="F21" s="7" t="inlineStr">
        <is>
          <t>ปรับคำถามให้กระชับ ชัดเจนตรงประเด็น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2" customWidth="1" min="1" max="1"/>
    <col width="14" customWidth="1" min="2" max="2"/>
  </cols>
  <sheetData>
    <row r="1">
      <c r="A1" s="3" t="inlineStr">
        <is>
          <t>Metric</t>
        </is>
      </c>
      <c r="B1" s="3" t="inlineStr">
        <is>
          <t>Value</t>
        </is>
      </c>
    </row>
    <row r="2">
      <c r="A2" s="7" t="inlineStr">
        <is>
          <t>Items</t>
        </is>
      </c>
      <c r="B2" s="7">
        <f>COUNTA('Spot check'!A2:A21)</f>
        <v/>
      </c>
    </row>
    <row r="3">
      <c r="A3" s="7" t="inlineStr">
        <is>
          <t>Reviewed</t>
        </is>
      </c>
      <c r="B3" s="7">
        <f>COUNTA('Spot check'!Q2:Q21)</f>
        <v/>
      </c>
    </row>
    <row r="4">
      <c r="A4" s="7" t="inlineStr">
        <is>
          <t>Approve</t>
        </is>
      </c>
      <c r="B4" s="7">
        <f>COUNTIF('Spot check'!Q2:Q21,"Approve")</f>
        <v/>
      </c>
    </row>
    <row r="5">
      <c r="A5" s="7" t="inlineStr">
        <is>
          <t>Fix</t>
        </is>
      </c>
      <c r="B5" s="7">
        <f>COUNTIF('Spot check'!Q2:Q21,"Fix")</f>
        <v/>
      </c>
    </row>
    <row r="6">
      <c r="A6" s="7" t="inlineStr">
        <is>
          <t>Rewrite</t>
        </is>
      </c>
      <c r="B6" s="7">
        <f>COUNTIF('Spot check'!Q2:Q21,"Rewrite")</f>
        <v/>
      </c>
    </row>
    <row r="7">
      <c r="A7" s="7" t="inlineStr">
        <is>
          <t>Key ambiguous (No)</t>
        </is>
      </c>
      <c r="B7" s="7">
        <f>COUNTIF('Spot check'!O2:O21,"No")</f>
        <v/>
      </c>
    </row>
    <row r="8">
      <c r="A8" s="7" t="inlineStr">
        <is>
          <t>Promote batch 2 to approved?</t>
        </is>
      </c>
      <c r="B8" s="7">
        <f>IF(AND(COUNTIF('Spot check'!Q2:Q21,"Approve")&gt;=18,COUNTIF('Spot check'!O2:O21,"No")=0),"YES","NOT YET")</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2026-09-14T07:51:12Z</dcterms:created>
  <dcterms:modified xmlns:dcterms="http://purl.org/dc/terms/" xmlns:xsi="http://www.w3.org/2001/XMLSchema-instance" xsi:type="dcterms:W3CDTF">2026-09-14T07:51:13Z</dcterms:modified>
</cp:coreProperties>
</file>