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pot check" sheetId="2" state="visible" r:id="rId2"/>
    <sheet xmlns:r="http://schemas.openxmlformats.org/officeDocument/2006/relationships" name="Batch context" sheetId="3" state="visible" r:id="rId3"/>
    <sheet xmlns:r="http://schemas.openxmlformats.org/officeDocument/2006/relationships" name="Decision" sheetId="4" state="visible" r:id="rId4"/>
  </sheets>
  <definedNames>
    <definedName name="_xlnm._FilterDatabase" localSheetId="1" hidden="1">'Spot check'!$A$1:$R$21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F8F6B"/>
      </patternFill>
    </fill>
    <fill>
      <patternFill patternType="solid">
        <fgColor rgb="007B5EA7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5B3"/>
        </patternFill>
      </fill>
    </dxf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New Horizon — Thai Batch 2 Second-Reviewer Spot Check</t>
        </is>
      </c>
    </row>
    <row r="2">
      <c r="A2" s="2" t="inlineStr">
        <is>
          <t>Generated 2026-09-14 after the batch-2 native review (89 Medium-priority items: 49 Approve, 40 Fix in cell, 0 Rewrite, 0 ambiguous keys; 22 scenarios and 36 prompts reworded; 3 choices; all 83 rubric keyword lists expanded; 3 glossary renderings changed and swept). A stratified 20 of the 89 'reviewed' items: 8 single-choice, 3 multi-select, 2 matching, 3 free-text, 2 drag-order, 2 multi-part; all six domains; 11 of the 20 were 'Fix in cell' in the first review.</t>
        </is>
      </c>
    </row>
    <row r="3">
      <c r="A3" s="2" t="inlineStr"/>
    </row>
    <row r="4">
      <c r="A4" s="1" t="inlineStr">
        <is>
          <t>PURPOSE</t>
        </is>
      </c>
    </row>
    <row r="5">
      <c r="A5" s="2" t="inlineStr">
        <is>
          <t>A second native Thai reader independently confirms the first review before batch 2 is promoted from 'reviewed' to 'approved' and the Thai toggle leaves pilot-only status. You are checking the Thai as a user would experience it, not re-translating.</t>
        </is>
      </c>
    </row>
    <row r="6">
      <c r="A6" s="2" t="inlineStr"/>
    </row>
    <row r="7">
      <c r="A7" s="1" t="inlineStr">
        <is>
          <t>HOW</t>
        </is>
      </c>
    </row>
    <row r="8">
      <c r="A8" s="2" t="inlineStr">
        <is>
          <t>Sheet 'Spot check' — one row per question with the Thai exactly as the app shows it (scenario, prompt, choices with ✔ on the key, feedback EN ⇄ TH). Answer the question in Thai first, THEN look at the key. If the Thai led you to a different answer than the English key, mark 'Key still unambiguous?' = No and explain.</t>
        </is>
      </c>
    </row>
    <row r="9">
      <c r="A9" s="2" t="inlineStr">
        <is>
          <t>Fill: Would a Thai colleague understand this on first read? (Yes / Mostly / No) · Key still unambiguous? (Yes / No) · Any wrong or unnatural term? (free text) · Verdict (Approve / Fix / Rewrite) · Comment.</t>
        </is>
      </c>
    </row>
    <row r="10">
      <c r="A10" s="2" t="inlineStr">
        <is>
          <t>Decision rule: if 18 or more of the 20 are Approve and no item has 'Key still unambiguous? = No', batch 2 is promoted to 'approved'. Otherwise the flagged pattern is fixed across all 89 items first, and a fresh 20-item sample is drawn.</t>
        </is>
      </c>
    </row>
    <row r="11">
      <c r="A11" s="2" t="inlineStr"/>
    </row>
    <row r="12">
      <c r="A12" s="2" t="inlineStr">
        <is>
          <t>Sheet 'Batch context' lists the first-review outcome for these items (verdict, naturalness score, whether the scenario or prompt was reworded, and the reviewer's comment).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14" customWidth="1" min="3" max="3"/>
    <col width="10" customWidth="1" min="4" max="4"/>
    <col width="50" customWidth="1" min="5" max="5"/>
    <col width="32" customWidth="1" min="6" max="6"/>
    <col width="55" customWidth="1" min="7" max="7"/>
    <col width="50" customWidth="1" min="8" max="8"/>
    <col width="32" customWidth="1" min="9" max="9"/>
    <col width="55" customWidth="1" min="10" max="10"/>
    <col width="60" customWidth="1" min="11" max="11"/>
    <col width="50" customWidth="1" min="12" max="12"/>
    <col width="12" customWidth="1" min="13" max="13"/>
    <col width="14" customWidth="1" min="14" max="14"/>
    <col width="14" customWidth="1" min="15" max="15"/>
    <col width="30" customWidth="1" min="16" max="16"/>
    <col width="11" customWidth="1" min="17" max="17"/>
    <col width="45" customWidth="1" min="18" max="18"/>
  </cols>
  <sheetData>
    <row r="1">
      <c r="A1" s="3" t="inlineStr">
        <is>
          <t>Question ID</t>
        </is>
      </c>
      <c r="B1" s="3" t="inlineStr">
        <is>
          <t>Domain</t>
        </is>
      </c>
      <c r="C1" s="3" t="inlineStr">
        <is>
          <t>Type</t>
        </is>
      </c>
      <c r="D1" s="3" t="inlineStr">
        <is>
          <t>Interaction</t>
        </is>
      </c>
      <c r="E1" s="4" t="inlineStr">
        <is>
          <t>EN — Scenario</t>
        </is>
      </c>
      <c r="F1" s="4" t="inlineStr">
        <is>
          <t>EN — Prompt</t>
        </is>
      </c>
      <c r="G1" s="4" t="inlineStr">
        <is>
          <t>EN — Choices (✔ key)</t>
        </is>
      </c>
      <c r="H1" s="5" t="inlineStr">
        <is>
          <t>TH — Scenario</t>
        </is>
      </c>
      <c r="I1" s="5" t="inlineStr">
        <is>
          <t>TH — Prompt</t>
        </is>
      </c>
      <c r="J1" s="5" t="inlineStr">
        <is>
          <t>TH — Choices (✔ key)</t>
        </is>
      </c>
      <c r="K1" s="5" t="inlineStr">
        <is>
          <t>Feedback EN ⇄ TH</t>
        </is>
      </c>
      <c r="L1" s="5" t="inlineStr">
        <is>
          <t>Rubric / rationale EN | TH</t>
        </is>
      </c>
      <c r="M1" s="6" t="inlineStr">
        <is>
          <t>Reviewer</t>
        </is>
      </c>
      <c r="N1" s="6" t="inlineStr">
        <is>
          <t>Understood on first read?</t>
        </is>
      </c>
      <c r="O1" s="6" t="inlineStr">
        <is>
          <t>Key still unambiguous?</t>
        </is>
      </c>
      <c r="P1" s="6" t="inlineStr">
        <is>
          <t>Wrong or unnatural term?</t>
        </is>
      </c>
      <c r="Q1" s="6" t="inlineStr">
        <is>
          <t>Verdict</t>
        </is>
      </c>
      <c r="R1" s="6" t="inlineStr">
        <is>
          <t>Comment</t>
        </is>
      </c>
    </row>
    <row r="2" ht="190" customHeight="1">
      <c r="A2" s="7" t="inlineStr">
        <is>
          <t>DEPTH-D4-GOV-046</t>
        </is>
      </c>
      <c r="B2" s="7" t="inlineStr">
        <is>
          <t>D4</t>
        </is>
      </c>
      <c r="C2" s="7" t="inlineStr">
        <is>
          <t>report-review</t>
        </is>
      </c>
      <c r="D2" s="7" t="inlineStr">
        <is>
          <t>single</t>
        </is>
      </c>
      <c r="E2" s="7" t="inlineStr">
        <is>
          <t>A team asks what “human in the loop” should mean.</t>
        </is>
      </c>
      <c r="F2" s="7" t="inlineStr">
        <is>
          <t>Which answer is best?</t>
        </is>
      </c>
      <c r="G2" s="7" t="inlineStr">
        <is>
          <t>✔ A named person reviews defined high-risk outputs before action.
· Everyone generally knows AI is involved.
· AI reviews itself before acting.
· Human review only after harm is reported.</t>
        </is>
      </c>
      <c r="H2" s="7" t="inlineStr">
        <is>
          <t>ทีมงานถามว่าแนวคิด “Human-in-the-loop (การตรวจทานโดยคน)” ในการทำงานจริงควรหมายถึงอะไร</t>
        </is>
      </c>
      <c r="I2" s="7" t="inlineStr">
        <is>
          <t>ข้อใดคือคำตอบที่ดีที่สุด</t>
        </is>
      </c>
      <c r="J2" s="7" t="inlineStr">
        <is>
          <t>✔ มีผู้รับผิดชอบที่ระบุชื่อชัดเจนตรวจทานผลลัพธ์ความเสี่ยงสูงที่กำหนดไว้ ก่อนนำไปใช้
· ทุกคนรับรู้กว้าง ๆ ว่ามี AI เข้ามาเกี่ยวข้อง
· AI ตรวจทานผลงานของตัวเองก่อนลงมือทำ
· ให้คนตรวจทานเฉพาะหลังมีการแจ้งความเสียหายแล้ว</t>
        </is>
      </c>
      <c r="K2" s="7" t="inlineStr">
        <is>
          <t>✔ Correct. Review must be assigned and meaningful. ⇄ ถูกต้อง การตรวจทานต้องมีผู้รับผิดชอบและมีความหมายจริง
· Too vague for accountability. ⇄ คลุมเครือเกินกว่าจะสร้างความรับผิดชอบได้
· Self-review is not enough for high-impact actions. ⇄ การตรวจทานตัวเองไม่เพียงพอสำหรับการกระทำที่มีผลกระทบสูง
· Some review must happen before action. ⇄ ต้องมีการตรวจทานบางส่วนเกิดขึ้นก่อนลงมือทำ</t>
        </is>
      </c>
      <c r="L2" s="7" t="inlineStr"/>
      <c r="M2" s="8" t="inlineStr"/>
      <c r="N2" s="8" t="inlineStr"/>
      <c r="O2" s="8" t="inlineStr"/>
      <c r="P2" s="8" t="inlineStr"/>
      <c r="Q2" s="8" t="inlineStr"/>
      <c r="R2" s="8" t="inlineStr"/>
    </row>
    <row r="3" ht="190" customHeight="1">
      <c r="A3" s="7" t="inlineStr">
        <is>
          <t>DEPTH-D4-RISK-043</t>
        </is>
      </c>
      <c r="B3" s="7" t="inlineStr">
        <is>
          <t>D4</t>
        </is>
      </c>
      <c r="C3" s="7" t="inlineStr">
        <is>
          <t>report-review</t>
        </is>
      </c>
      <c r="D3" s="7" t="inlineStr">
        <is>
          <t>single</t>
        </is>
      </c>
      <c r="E3" s="7" t="inlineStr">
        <is>
          <t>A user wants to paste a medical-style record into a public AI chatbot.</t>
        </is>
      </c>
      <c r="F3" s="7" t="inlineStr">
        <is>
          <t>What is the safest first step?</t>
        </is>
      </c>
      <c r="G3" s="7" t="inlineStr">
        <is>
          <t>✔ Remove unnecessary personal/sensitive data and use an approved tool.
· Paste everything because more context always improves accuracy.
· Only change the patient name.
· Ask the AI to promise confidentiality.</t>
        </is>
      </c>
      <c r="H3" s="7" t="inlineStr">
        <is>
          <t>ผู้ใช้ต้องการนำข้อมูลประวัติการรักษาทางการแพทย์ไปวางลงในแชตบอต AI ทั่วไป</t>
        </is>
      </c>
      <c r="I3" s="7" t="inlineStr">
        <is>
          <t>ข้อใดคือขั้นตอนแรกที่ปลอดภัยที่สุด</t>
        </is>
      </c>
      <c r="J3" s="7" t="inlineStr">
        <is>
          <t>✔ ลบข้อมูลส่วนบุคคลและข้อมูลอ่อนไหวที่ไม่จำเป็นออก แล้วใช้เครื่องมือที่องค์กรอนุมัติ
· วางข้อมูลทั้งหมดเพราะยิ่งมีบริบทมาก ความแม่นยำยิ่งดีขึ้นเสมอ
· เปลี่ยนแค่ชื่อผู้ป่วยเท่านั้น
· สั่งให้ AI สัญญาว่าจะเก็บข้อมูลเป็นความลับ</t>
        </is>
      </c>
      <c r="K3" s="7" t="inlineStr">
        <is>
          <t>✔ Correct. Minimize data and follow policy. ⇄ ถูกต้อง ใช้ข้อมูลเท่าที่จำเป็นและทำตามนโยบาย
· More context can create privacy risk. ⇄ บริบทที่มากเกินไปสร้างความเสี่ยงด้านความเป็นส่วนตัว
· Other details may still identify someone. ⇄ รายละเอียดอื่นยังระบุตัวบุคคลได้อยู่
· A promise in the prompt is not a control. ⇄ คำสัญญาใน prompt ไม่ใช่มาตรการควบคุม</t>
        </is>
      </c>
      <c r="L3" s="7" t="inlineStr"/>
      <c r="M3" s="8" t="inlineStr"/>
      <c r="N3" s="8" t="inlineStr"/>
      <c r="O3" s="8" t="inlineStr"/>
      <c r="P3" s="8" t="inlineStr"/>
      <c r="Q3" s="8" t="inlineStr"/>
      <c r="R3" s="8" t="inlineStr"/>
    </row>
    <row r="4" ht="190" customHeight="1">
      <c r="A4" s="7" t="inlineStr">
        <is>
          <t>DEPTH-D1-SYSTEMS-028</t>
        </is>
      </c>
      <c r="B4" s="7" t="inlineStr">
        <is>
          <t>D1</t>
        </is>
      </c>
      <c r="C4" s="7" t="inlineStr">
        <is>
          <t>report-review</t>
        </is>
      </c>
      <c r="D4" s="7" t="inlineStr">
        <is>
          <t>single</t>
        </is>
      </c>
      <c r="E4" s="7" t="inlineStr">
        <is>
          <t>A user asks why the same model is safer in one app than another.</t>
        </is>
      </c>
      <c r="F4" s="7" t="inlineStr">
        <is>
          <t>What is the best answer?</t>
        </is>
      </c>
      <c r="G4" s="7" t="inlineStr">
        <is>
          <t>✔ Apps can add tools, memory, policies, and permissions around the model.
· The model name always fully defines the product risk.
· Safety depends only on the user interface color.
· A chatbot cannot connect to external systems.</t>
        </is>
      </c>
      <c r="H4" s="7" t="inlineStr">
        <is>
          <t>ผู้ใช้ถามว่า เพราะเหตุใดโมเดล AI ตัวเดียวกัน จึงมีความปลอดภัยในแอปพลิเคชันหนึ่ง มากกว่าอีกแอปพลิเคชันหนึ่ง</t>
        </is>
      </c>
      <c r="I4" s="7" t="inlineStr">
        <is>
          <t>ข้อใดคือคำอธิบายที่ดีที่สุด</t>
        </is>
      </c>
      <c r="J4" s="7" t="inlineStr">
        <is>
          <t>✔ แอปพลิเคชันสามารถเสริมเครื่องมือ หน่วยความจำ นโยบาย และการกำหนดสิทธิ์เพื่อควบคุมการใช้งานโมเดลได้
· ชื่อโมเดลเป็นตัวกำหนดความเสี่ยงของผลิตภัณฑ์ได้ทั้งหมดเสมอ
· ความปลอดภัยขึ้นอยู่กับสีของหน้าจอผู้ใช้เท่านั้น
· แชตบอตไม่สามารถเชื่อมต่อกับระบบภายนอกได้</t>
        </is>
      </c>
      <c r="K4" s="7" t="inlineStr">
        <is>
          <t>✔ Correct. System context changes behavior and risk. ⇄ ถูกต้อง บริบทของระบบเปลี่ยนทั้งพฤติกรรมและความเสี่ยง
· Too narrow. Apps and connectors matter. ⇄ แคบเกินไป แอปและตัวเชื่อมต่อก็มีผลเช่นกัน
· Visual design is not the main system control. ⇄ การออกแบบภาพไม่ใช่กลไกควบคุมหลักของระบบ
· Many AI apps can use tools and connectors. ⇄ แอป AI จำนวนมากใช้เครื่องมือและตัวเชื่อมต่อได้</t>
        </is>
      </c>
      <c r="L4" s="7" t="inlineStr"/>
      <c r="M4" s="8" t="inlineStr"/>
      <c r="N4" s="8" t="inlineStr"/>
      <c r="O4" s="8" t="inlineStr"/>
      <c r="P4" s="8" t="inlineStr"/>
      <c r="Q4" s="8" t="inlineStr"/>
      <c r="R4" s="8" t="inlineStr"/>
    </row>
    <row r="5" ht="190" customHeight="1">
      <c r="A5" s="7" t="inlineStr">
        <is>
          <t>DEPTH-D2-PROMPT-031</t>
        </is>
      </c>
      <c r="B5" s="7" t="inlineStr">
        <is>
          <t>D2</t>
        </is>
      </c>
      <c r="C5" s="7" t="inlineStr">
        <is>
          <t>report-review</t>
        </is>
      </c>
      <c r="D5" s="7" t="inlineStr">
        <is>
          <t>single</t>
        </is>
      </c>
      <c r="E5" s="7" t="inlineStr">
        <is>
          <t>A user writes: “Make this email better.”</t>
        </is>
      </c>
      <c r="F5" s="7" t="inlineStr">
        <is>
          <t>Which missing detail would most improve the prompt?</t>
        </is>
      </c>
      <c r="G5" s="7" t="inlineStr">
        <is>
          <t>✔ Who the email is for and what outcome is needed.
· A request for the longest possible answer.
· A command to sound confident no matter what.
· No extra detail because AI should infer everything.</t>
        </is>
      </c>
      <c r="H5" s="7" t="inlineStr">
        <is>
          <t>ผู้ใช้เขียนคำสั่งว่า “ช่วยทำให้อีเมลนี้ดีขึ้น”</t>
        </is>
      </c>
      <c r="I5" s="7" t="inlineStr">
        <is>
          <t>รายละเอียดสำคัญข้อใดที่ขาดไป ซึ่งจะช่วยปรับปรุง prompt นี้ให้มีประสิทธิภาพสูงสุด</t>
        </is>
      </c>
      <c r="J5" s="7" t="inlineStr">
        <is>
          <t>✔ อีเมลนี้ส่งถึงใคร และต้องการผลลัพธ์แบบใด
· ขอให้เขียนคำตอบยาวที่สุดเท่าที่จะทำได้
· สั่งให้เขียนด้วยน้ำเสียงมั่นใจไม่ว่าจะอย่างไรก็ตาม
· ไม่ต้องเพิ่มรายละเอียดใด เพราะ AI ควรอนุมานเองทั้งหมด</t>
        </is>
      </c>
      <c r="K5" s="7" t="inlineStr">
        <is>
          <t>✔ Correct. Audience and goal shape the answer. ⇄ ถูกต้อง ผู้รับและเป้าหมายเป็นตัวกำหนดรูปร่างของคำตอบ
· Length is not the main issue. ⇄ ความยาวไม่ใช่ประเด็นหลักของ prompt นี้
· Confidence without constraints is risky. ⇄ ความมั่นใจโดยไม่มีเงื่อนไขกำกับเป็นเรื่องเสี่ยง
· Inference can create errors. ⇄ การอนุมานเองอาจทำให้เกิดข้อผิดพลาด</t>
        </is>
      </c>
      <c r="L5" s="7" t="inlineStr"/>
      <c r="M5" s="8" t="inlineStr"/>
      <c r="N5" s="8" t="inlineStr"/>
      <c r="O5" s="8" t="inlineStr"/>
      <c r="P5" s="8" t="inlineStr"/>
      <c r="Q5" s="8" t="inlineStr"/>
      <c r="R5" s="8" t="inlineStr"/>
    </row>
    <row r="6" ht="190" customHeight="1">
      <c r="A6" s="7" t="inlineStr">
        <is>
          <t>FUNC-SALES-D3-001</t>
        </is>
      </c>
      <c r="B6" s="7" t="inlineStr">
        <is>
          <t>D3</t>
        </is>
      </c>
      <c r="C6" s="7" t="inlineStr">
        <is>
          <t>report-review</t>
        </is>
      </c>
      <c r="D6" s="7" t="inlineStr">
        <is>
          <t>single</t>
        </is>
      </c>
      <c r="E6" s="7" t="inlineStr">
        <is>
          <t>An AI forecast assistant says Blue Harbor should be counted in this quarter because the CRM stage says verbal yes.</t>
        </is>
      </c>
      <c r="F6" s="7" t="inlineStr">
        <is>
          <t>What should the sales user challenge first?</t>
        </is>
      </c>
      <c r="G6" s="7" t="inlineStr">
        <is>
          <t>✔ The legal hold and 31-day gap make the close claim weak.
· The account name is too formal for a sales report.
· All verbal-yes deals should be excluded forever.
· The forecast is strong because the deal value is high.</t>
        </is>
      </c>
      <c r="H6" s="7" t="inlineStr">
        <is>
          <t>ผู้ช่วย AI ด้านการคาดการณ์ระบุว่าควรนับดีล Blue Harbor เข้าไตรมาสนี้ เพราะสถานะใน CRM ระบุว่าลูกค้าตอบรับด้วยวาจาแล้ว</t>
        </is>
      </c>
      <c r="I6" s="7" t="inlineStr">
        <is>
          <t>พนักงานขายควรตั้งคำถามกับสิ่งใดเป็นอันดับแรก</t>
        </is>
      </c>
      <c r="J6" s="7" t="inlineStr">
        <is>
          <t>✔ การประเมินว่าดีลนี้จะปิดการขายได้มีความน่าเชื่อถือต่ำมาก เนื่องจากมีข้อพิพาททางกฎหมายค้างอยู่และขาดการติดต่อเกิน 31 วัน
· ชื่อบัญชีลูกค้าดูเป็นทางการเกินไปสำหรับรายงานการขาย
· ควรตัดดีลที่ตอบรับด้วยวาจาออกทั้งหมดตลอดไป
· การคาดการณ์นี้หนักแน่น เพราะมูลค่าดีลสูง</t>
        </is>
      </c>
      <c r="K6" s="7" t="inlineStr">
        <is>
          <t>✔ Correct. Stage alone is not enough when recency and legal risk contradict it. ⇄ ถูกต้อง สถานะในระบบเพียงอย่างเดียวไม่เพียงพอ หากมีข้อมูลความเสี่ยงทางกฎหมายและขาดการติดต่อเป็นเวลานานมาหักล้าง
· Naming style is not the forecast risk. ⇄ รูปแบบการตั้งชื่อไม่ใช่ความเสี่ยงของการคาดการณ์
· Too broad. The issue is evidence quality for this deal. ⇄ กว้างเกินไป ประเด็นอยู่ที่คุณภาพของหลักฐานสำหรับดีลนี้
· High value increases materiality, not certainty. ⇄ มูลค่าที่สูงเพิ่มนัยสำคัญ ไม่ได้เพิ่มความแน่นอน</t>
        </is>
      </c>
      <c r="L6" s="7" t="inlineStr"/>
      <c r="M6" s="8" t="inlineStr"/>
      <c r="N6" s="8" t="inlineStr"/>
      <c r="O6" s="8" t="inlineStr"/>
      <c r="P6" s="8" t="inlineStr"/>
      <c r="Q6" s="8" t="inlineStr"/>
      <c r="R6" s="8" t="inlineStr"/>
    </row>
    <row r="7" ht="190" customHeight="1">
      <c r="A7" s="7" t="inlineStr">
        <is>
          <t>FUNC-FIN-D3-001</t>
        </is>
      </c>
      <c r="B7" s="7" t="inlineStr">
        <is>
          <t>D3</t>
        </is>
      </c>
      <c r="C7" s="7" t="inlineStr">
        <is>
          <t>report-review</t>
        </is>
      </c>
      <c r="D7" s="7" t="inlineStr">
        <is>
          <t>single</t>
        </is>
      </c>
      <c r="E7" s="7" t="inlineStr">
        <is>
          <t>An AI finance summary says marketing overspend is the main reason margin missed target.</t>
        </is>
      </c>
      <c r="F7" s="7" t="inlineStr">
        <is>
          <t>What is the strongest critique of the AI summary?</t>
        </is>
      </c>
      <c r="G7" s="7" t="inlineStr">
        <is>
          <t>✔ It isolates marketing while larger compute and revenue variances are visible.
· It should focus only on the line with the clearest narrative.
· It should count vendor credits as recurring savings.
· It should hide uncertainty until the next close cycle.</t>
        </is>
      </c>
      <c r="H7" s="7" t="inlineStr">
        <is>
          <t>บทสรุปการเงินจาก AI ระบุว่าการใช้จ่ายเกินงบของฝ่ายการตลาดคือสาเหตุหลักที่อัตรากำไรต่ำกว่าเป้า</t>
        </is>
      </c>
      <c r="I7" s="7" t="inlineStr">
        <is>
          <t>ข้อใดคือข้อท้วงติงที่มีน้ำหนักมากที่สุดต่อบทสรุปของ AI</t>
        </is>
      </c>
      <c r="J7" s="7" t="inlineStr">
        <is>
          <t>✔ บทสรุปนี้เจาะจงเฉพาะฝ่ายการตลาด ทั้งที่ผลต่าง (variance) ด้านค่าประมวลผลและรายได้มีขนาดใหญ่กว่าและเห็นได้ชัด
· บทสรุปนี้ควรมุ่งเฉพาะรายการที่เล่าเป็นเรื่องราวได้ชัดเจนที่สุด
· บทสรุปนี้ควรนับเครดิตจากผู้ขายเป็นการประหยัดที่เกิดซ้ำทุกงวด
· บทสรุปนี้ควรปิดบังความไม่แน่นอนไว้ก่อน จนถึงรอบปิดงบถัดไป</t>
        </is>
      </c>
      <c r="K7" s="7" t="inlineStr">
        <is>
          <t>✔ Correct. The evidence points to multiple material drivers. ⇄ ถูกต้อง หลักฐานชี้ว่ามีปัจจัยที่มีนัยสำคัญหลายตัว
· A clean narrative can still be materially incomplete. ⇄ เรื่องเล่าที่ดูเรียบร้อยก็ยังอาจขาดสาระสำคัญไปได้
· The report says the credit is one-time. ⇄ รายงานระบุว่าเครดิตนั้นเกิดขึ้นครั้งเดียว
· Finance users should surface uncertainty and missing baselines. ⇄ ผู้ใช้งานด้านการเงินควรเปิดเผยความไม่แน่นอนและค่าฐานที่ยังขาดอยู่</t>
        </is>
      </c>
      <c r="L7" s="7" t="inlineStr"/>
      <c r="M7" s="8" t="inlineStr"/>
      <c r="N7" s="8" t="inlineStr"/>
      <c r="O7" s="8" t="inlineStr"/>
      <c r="P7" s="8" t="inlineStr"/>
      <c r="Q7" s="8" t="inlineStr"/>
      <c r="R7" s="8" t="inlineStr"/>
    </row>
    <row r="8" ht="190" customHeight="1">
      <c r="A8" s="7" t="inlineStr">
        <is>
          <t>DEPTH-D5-VALUE-049</t>
        </is>
      </c>
      <c r="B8" s="7" t="inlineStr">
        <is>
          <t>D5</t>
        </is>
      </c>
      <c r="C8" s="7" t="inlineStr">
        <is>
          <t>report-review</t>
        </is>
      </c>
      <c r="D8" s="7" t="inlineStr">
        <is>
          <t>single</t>
        </is>
      </c>
      <c r="E8" s="7" t="inlineStr">
        <is>
          <t>A team says their AI pilot is successful because people like the demo.</t>
        </is>
      </c>
      <c r="F8" s="7" t="inlineStr">
        <is>
          <t>What is the most important missing evidence?</t>
        </is>
      </c>
      <c r="G8" s="7" t="inlineStr">
        <is>
          <t>✔ Baseline and outcome metric for the workflow.
· A more futuristic demo video.
· A promise that AI will save time eventually.
· A list of all possible AI tools.</t>
        </is>
      </c>
      <c r="H8" s="7" t="inlineStr">
        <is>
          <t>ทีมหนึ่งบอกว่าโครงการนำร่อง (pilot) ด้าน AI ของตนประสบความสำเร็จ เพราะผู้คนชอบการสาธิต</t>
        </is>
      </c>
      <c r="I8" s="7" t="inlineStr">
        <is>
          <t>ข้อใดคือหลักฐานที่ขาดไปและสำคัญที่สุด</t>
        </is>
      </c>
      <c r="J8" s="7" t="inlineStr">
        <is>
          <t>✔ ค่าฐาน (baseline) และตัวชี้วัดผลลัพธ์ของขั้นตอนงานนั้น
· วิดีโอสาธิตที่ดูล้ำสมัยกว่าเดิม
· คำสัญญาว่า AI จะช่วยประหยัดเวลาได้ในอนาคต
· รายการเครื่องมือ AI ทั้งหมดที่มีให้เลือกใช้</t>
        </is>
      </c>
      <c r="K8" s="7" t="inlineStr">
        <is>
          <t>✔ Correct. Value needs comparison. ⇄ ถูกต้อง การพิสูจน์คุณค่าต้องมีการเปรียบเทียบ
· Demo appeal is not value evidence. ⇄ ความน่าประทับใจของการสาธิตไม่ใช่หลักฐานเชิงคุณค่า
· Promises need measurement. ⇄ คำสัญญาต้องมีการวัดผลรองรับ
· Tool inventory is not enough. ⇄ บัญชีรายการเครื่องมือยังไม่เพียงพอ</t>
        </is>
      </c>
      <c r="L8" s="7" t="inlineStr"/>
      <c r="M8" s="8" t="inlineStr"/>
      <c r="N8" s="8" t="inlineStr"/>
      <c r="O8" s="8" t="inlineStr"/>
      <c r="P8" s="8" t="inlineStr"/>
      <c r="Q8" s="8" t="inlineStr"/>
      <c r="R8" s="8" t="inlineStr"/>
    </row>
    <row r="9" ht="190" customHeight="1">
      <c r="A9" s="7" t="inlineStr">
        <is>
          <t>DEPTH-D2-WORKFLOW-034</t>
        </is>
      </c>
      <c r="B9" s="7" t="inlineStr">
        <is>
          <t>D2</t>
        </is>
      </c>
      <c r="C9" s="7" t="inlineStr">
        <is>
          <t>report-review</t>
        </is>
      </c>
      <c r="D9" s="7" t="inlineStr">
        <is>
          <t>single</t>
        </is>
      </c>
      <c r="E9" s="7" t="inlineStr">
        <is>
          <t>A user wants AI to help with a monthly report.</t>
        </is>
      </c>
      <c r="F9" s="7" t="inlineStr">
        <is>
          <t>Which workflow is safest?</t>
        </is>
      </c>
      <c r="G9" s="7" t="inlineStr">
        <is>
          <t>✔ Data source -&gt; AI draft -&gt; human verifies -&gt; final report.
· AI invents data -&gt; final report.
· Human skips review because AI is fast.
· Only ask for a prettier chart.</t>
        </is>
      </c>
      <c r="H9" s="7" t="inlineStr">
        <is>
          <t>ผู้ใช้ต้องการให้ AI ช่วยทำรายงานประจำเดือน</t>
        </is>
      </c>
      <c r="I9" s="7" t="inlineStr">
        <is>
          <t>ข้อใดคือขั้นตอนงาน (workflow) ที่ปลอดภัยที่สุด</t>
        </is>
      </c>
      <c r="J9" s="7" t="inlineStr">
        <is>
          <t>✔ แหล่งข้อมูล -&gt; AI ร่างให้ -&gt; คนตรวจสอบ -&gt; รายงานฉบับสมบูรณ์
· AI กุตัวเลขขึ้นเอง -&gt; รายงานฉบับสมบูรณ์
· คนข้ามการตรวจทานเพราะ AI ทำงานเร็ว
· ขอแค่ให้กราฟสวยขึ้นเท่านั้น</t>
        </is>
      </c>
      <c r="K9" s="7" t="inlineStr">
        <is>
          <t>✔ Correct. This includes source and review. ⇄ ถูกต้อง ลำดับนี้มีทั้งแหล่งข้อมูลและการตรวจทานโดยคน (Human-in-the-loop)
· Unsafe and unsupported. ⇄ ไม่ปลอดภัย และไม่มีหลักฐานรองรับ
· Review is important for report accuracy. ⇄ การตรวจทานเป็นสิ่งสำคัญต่อความถูกต้องของรายงาน
· Presentation is not the whole workflow. ⇄ การนำเสนอไม่ใช่ทั้งหมดของขั้นตอนงาน</t>
        </is>
      </c>
      <c r="L9" s="7" t="inlineStr"/>
      <c r="M9" s="8" t="inlineStr"/>
      <c r="N9" s="8" t="inlineStr"/>
      <c r="O9" s="8" t="inlineStr"/>
      <c r="P9" s="8" t="inlineStr"/>
      <c r="Q9" s="8" t="inlineStr"/>
      <c r="R9" s="8" t="inlineStr"/>
    </row>
    <row r="10" ht="190" customHeight="1">
      <c r="A10" s="7" t="inlineStr">
        <is>
          <t>DEPTH-D6-COLLAB-056</t>
        </is>
      </c>
      <c r="B10" s="7" t="inlineStr">
        <is>
          <t>D6</t>
        </is>
      </c>
      <c r="C10" s="7" t="inlineStr">
        <is>
          <t>report-review</t>
        </is>
      </c>
      <c r="D10" s="7" t="inlineStr">
        <is>
          <t>multi</t>
        </is>
      </c>
      <c r="E10" s="7" t="inlineStr">
        <is>
          <t>An AI hiring screen ranks a candidate low, but interview notes show strong evidence.</t>
        </is>
      </c>
      <c r="F10" s="7" t="inlineStr">
        <is>
          <t>Which collaboration behaviors are healthy?</t>
        </is>
      </c>
      <c r="G10" s="7" t="inlineStr">
        <is>
          <t>✔ Challenge the AI ranking with evidence.
✔ Compare AI summary against interview notes and criteria.
✔ Document override reason for learning and audit.
✔ Use the same hiring rubric for all candidates.
· Obey the AI ranking to avoid slowing down.</t>
        </is>
      </c>
      <c r="H10" s="7" t="inlineStr">
        <is>
          <t>ระบบคัดกรองผู้สมัครงานด้วย AI จัดอันดับผู้สมัครรายหนึ่งไว้ต่ำ แต่บันทึกการสัมภาษณ์แสดงหลักฐานที่หนักแน่น</t>
        </is>
      </c>
      <c r="I10" s="7" t="inlineStr">
        <is>
          <t>พฤติกรรมการทำงานร่วมกันระหว่างคนกับ AI ข้อใดบ้างที่ถูกต้องและเหมาะสม</t>
        </is>
      </c>
      <c r="J10" s="7" t="inlineStr">
        <is>
          <t>✔ ตั้งคำถามกับอันดับที่ AI ให้ไว้ โดยใช้หลักฐานประกอบ
✔ เทียบบทสรุปของ AI กับบันทึกการสัมภาษณ์และเกณฑ์ที่กำหนดไว้
✔ บันทึกเหตุผลของการแก้ไขทับผล AI (override) ไว้เพื่อการเรียนรู้และการตรวจสอบ
✔ ใช้เกณฑ์การให้คะแนนการจ้างงานชุดเดียวกันกับผู้สมัครทุกคน
· ทำตามอันดับของ AI เพื่อไม่ให้งานช้าลง</t>
        </is>
      </c>
      <c r="K10" s="7" t="inlineStr">
        <is>
          <t>✔ Correct. Teams need challenge culture. ⇄ ถูกต้อง ทีมต้องมีวัฒนธรรมที่กล้าตั้งคำถาม
✔ Correct. Review evidence, not vibes. ⇄ ถูกต้อง ตรวจจากหลักฐาน ไม่ใช่จากความรู้สึก
✔ Correct. Overrides improve the system. ⇄ ถูกต้อง การ override ที่บันทึกไว้ช่วยพัฒนาระบบให้ดีขึ้น
✔ Correct. Consistency protects fairness. ⇄ ถูกต้อง ความสม่ำเสมอช่วยรักษาความเป็นธรรม
· Speed should not override evidence and fairness. ⇄ ความเร็วไม่ควรอยู่เหนือหลักฐานและความเป็นธรรม</t>
        </is>
      </c>
      <c r="L10" s="7" t="inlineStr"/>
      <c r="M10" s="8" t="inlineStr"/>
      <c r="N10" s="8" t="inlineStr"/>
      <c r="O10" s="8" t="inlineStr"/>
      <c r="P10" s="8" t="inlineStr"/>
      <c r="Q10" s="8" t="inlineStr"/>
      <c r="R10" s="8" t="inlineStr"/>
    </row>
    <row r="11" ht="190" customHeight="1">
      <c r="A11" s="7" t="inlineStr">
        <is>
          <t>DEPTH-EXP-D3-MEDIA-073</t>
        </is>
      </c>
      <c r="B11" s="7" t="inlineStr">
        <is>
          <t>D3</t>
        </is>
      </c>
      <c r="C11" s="7" t="inlineStr">
        <is>
          <t>fraud-detection</t>
        </is>
      </c>
      <c r="D11" s="7" t="inlineStr">
        <is>
          <t>multi</t>
        </is>
      </c>
      <c r="E11" s="7" t="inlineStr">
        <is>
          <t>A delivery message asks for a customs fee through a shortened link while the recipient is expecting a package.</t>
        </is>
      </c>
      <c r="F11" s="7" t="inlineStr">
        <is>
          <t>Which red flags should be selected before taking action?</t>
        </is>
      </c>
      <c r="G11" s="7" t="inlineStr">
        <is>
          <t>✔ Shortened or mismatched tracking domain.
✔ Urgent countdown or threat of failed delivery.
✔ Request for full card details for a tiny fee.
✔ Need to verify through the carrier app or official site.
· No risk because a package is expected.</t>
        </is>
      </c>
      <c r="H11" s="7" t="inlineStr">
        <is>
          <t>ข้อความ SMS แจ้งพัสดุขอให้ชำระค่าภาษีศุลกากรผ่านลิงก์ย่อ ในขณะที่ผู้รับกำลังรอรับพัสดุอยู่พอดี</t>
        </is>
      </c>
      <c r="I11" s="7" t="inlineStr">
        <is>
          <t>ข้อใดคือสัญญาณเตือนความผิดปกติ (Red flags) และข้อควรปฏิบัติที่ต้องระวังก่อนดำเนินการ</t>
        </is>
      </c>
      <c r="J11" s="7" t="inlineStr">
        <is>
          <t>✔ ลิงก์ย่อหรือโดเมนติดตามพัสดุที่ไม่ตรงกับผู้ให้บริการจริง
✔ การนับถอยหลังเร่งด่วนหรือขู่ว่าการจัดส่งจะล้มเหลว
✔ ขอข้อมูลบัตรเครดิตทั้งหมดเพื่อจ่ายค่าธรรมเนียมเพียงเล็กน้อย
✔ ต้องตรวจสอบผ่านแอปของผู้ให้บริการขนส่งหรือเว็บไซต์ทางการ
· ไม่มีความเสี่ยง เพราะกำลังรอพัสดุอยู่พอดี</t>
        </is>
      </c>
      <c r="K11" s="7" t="inlineStr">
        <is>
          <t>✔ Correct. Domain mismatch is a major fraud signal. ⇄ ถูกต้อง โดเมนที่ไม่ตรงกันเป็นสัญญาณฉ้อโกงที่สำคัญ
✔ Correct. Pressure is a common manipulation tactic. ⇄ ถูกต้อง การกดดันเป็นกลวิธีหลอกล่อที่พบบ่อย
✔ Correct. Payment collection should be treated carefully. ⇄ ถูกต้อง การเรียกเก็บเงินต้องได้รับการพิจารณาอย่างระมัดระวัง
✔ Correct. Official-channel verification is the safer path. ⇄ ถูกต้อง การตรวจสอบผ่านช่องทางทางการเป็นเส้นทางที่ปลอดภัยกว่า
· Attackers often exploit plausible timing. ⇄ ผู้โจมตีมักฉวยจังหวะเวลาที่ดูสมเหตุสมผลแบบนี้</t>
        </is>
      </c>
      <c r="L11" s="7" t="inlineStr"/>
      <c r="M11" s="8" t="inlineStr"/>
      <c r="N11" s="8" t="inlineStr"/>
      <c r="O11" s="8" t="inlineStr"/>
      <c r="P11" s="8" t="inlineStr"/>
      <c r="Q11" s="8" t="inlineStr"/>
      <c r="R11" s="8" t="inlineStr"/>
    </row>
    <row r="12" ht="190" customHeight="1">
      <c r="A12" s="7" t="inlineStr">
        <is>
          <t>FUNC-CS-D5-003</t>
        </is>
      </c>
      <c r="B12" s="7" t="inlineStr">
        <is>
          <t>D5</t>
        </is>
      </c>
      <c r="C12" s="7" t="inlineStr">
        <is>
          <t>multi-select</t>
        </is>
      </c>
      <c r="D12" s="7" t="inlineStr">
        <is>
          <t>multi</t>
        </is>
      </c>
      <c r="E12" s="7" t="inlineStr">
        <is>
          <t>A customer-service manager wants to prove whether AI-assisted replies improve the support workflow.</t>
        </is>
      </c>
      <c r="F12" s="7" t="inlineStr">
        <is>
          <t>Which metrics should be tracked before expanding AI reply assistance?</t>
        </is>
      </c>
      <c r="G12" s="7" t="inlineStr">
        <is>
          <t>✔ First-contact resolution and reopened-ticket rate.
✔ SLA breach, escalation, and dispute rates.
✔ Human edit rate and evidence-check completion.
✔ Customer satisfaction after AI-assisted replies.
· Number of AI replies sent per hour only.</t>
        </is>
      </c>
      <c r="H12" s="7" t="inlineStr">
        <is>
          <t>ผู้จัดการฝ่ายบริการลูกค้าต้องการพิสูจน์ว่าการตอบลูกค้าโดยมี AI ช่วยนั้นทำให้ขั้นตอนงานบริการดีขึ้นจริงหรือไม่</t>
        </is>
      </c>
      <c r="I12" s="7" t="inlineStr">
        <is>
          <t>ตัวชี้วัดใดบ้างที่ควรติดตามก่อนขยายการใช้ AI ช่วยตอบลูกค้า</t>
        </is>
      </c>
      <c r="J12" s="7" t="inlineStr">
        <is>
          <t>✔ อัตราการแก้ปัญหาจบในครั้งเดียว และอัตราการเปิด ticket (เคสลูกค้า) ซ้ำ
✔ อัตราการผิด SLA อัตราการส่งต่อเคสให้หัวหน้างาน (escalation) และอัตราข้อพิพาท
✔ อัตราที่คนต้องแก้ไขคำตอบ และความครบถ้วนของการตรวจสอบหลักฐาน
✔ ความพึงพอใจของลูกค้าหลังได้รับคำตอบที่ AI ช่วยร่าง
· จำนวนคำตอบที่ AI ส่งออกต่อชั่วโมงเพียงอย่างเดียว</t>
        </is>
      </c>
      <c r="K12" s="7" t="inlineStr">
        <is>
          <t>✔ Correct. Resolution quality matters more than reply volume. ⇄ ถูกต้อง คุณภาพของการแก้ปัญหาสำคัญกว่าปริมาณการตอบ
✔ Correct. These reveal operational and customer harm. ⇄ ถูกต้อง ตัวเลขเหล่านี้เผยความเสียหายทั้งด้านปฏิบัติการและด้านลูกค้า
✔ Correct. Review behavior shows whether AI is used responsibly. ⇄ ถูกต้อง พฤติกรรมการตรวจทานบ่งบอกว่าใช้ AI อย่างรับผิดชอบหรือไม่
✔ Correct. Customers should experience better outcomes, not just faster text. ⇄ ถูกต้อง ลูกค้าควรได้ผลลัพธ์ที่ดีขึ้น ไม่ใช่แค่ได้ข้อความเร็วขึ้น
· Speed alone can hide repeat contacts, wrong answers, and customer harm. ⇄ ความเร็วอย่างเดียวอาจกลบการติดต่อซ้ำ คำตอบที่ผิด และความเสียหายต่อลูกค้า</t>
        </is>
      </c>
      <c r="L12" s="7" t="inlineStr"/>
      <c r="M12" s="8" t="inlineStr"/>
      <c r="N12" s="8" t="inlineStr"/>
      <c r="O12" s="8" t="inlineStr"/>
      <c r="P12" s="8" t="inlineStr"/>
      <c r="Q12" s="8" t="inlineStr"/>
      <c r="R12" s="8" t="inlineStr"/>
    </row>
    <row r="13" ht="190" customHeight="1">
      <c r="A13" s="7" t="inlineStr">
        <is>
          <t>DEPTH-D2-PROMPT-032</t>
        </is>
      </c>
      <c r="B13" s="7" t="inlineStr">
        <is>
          <t>D2</t>
        </is>
      </c>
      <c r="C13" s="7" t="inlineStr">
        <is>
          <t>matching</t>
        </is>
      </c>
      <c r="D13" s="7" t="inlineStr">
        <is>
          <t>match</t>
        </is>
      </c>
      <c r="E13" s="7" t="inlineStr">
        <is>
          <t>A product manager is creating a prompt template for customer-note summaries.</t>
        </is>
      </c>
      <c r="F13" s="7" t="inlineStr">
        <is>
          <t>Match each prompt component to its purpose.</t>
        </is>
      </c>
      <c r="G13" s="7" t="inlineStr">
        <is>
          <t>✔ Act as a product researcher → Role  [Role | Source rule | Output format | Review check]
✔ Use only the notes below; mark missing evidence → Source rule  [Source rule | Role | Tone | Model size]
✔ Return findings, caveats, and next interviews → Output format  [Output format | Memory | RAG index | Watermark]
✔ Flag any claim not grounded in a note → Review check  [Review check | Temperature | Persona | Token]</t>
        </is>
      </c>
      <c r="H13" s="7" t="inlineStr">
        <is>
          <t>ผู้จัดการผลิตภัณฑ์กำลังสร้างเทมเพลต prompt สำหรับสรุปบันทึกการคุยกับลูกค้า</t>
        </is>
      </c>
      <c r="I13" s="7" t="inlineStr">
        <is>
          <t>จับคู่ส่วนประกอบของ prompt แต่ละข้อกับวัตถุประสงค์การใช้งาน</t>
        </is>
      </c>
      <c r="J13" s="7" t="inlineStr">
        <is>
          <t>✔ ทำหน้าที่เป็นนักวิจัยผลิตภัณฑ์ → การกำหนดบทบาท  [การกำหนดบทบาท | ข้อกำหนดเรื่องแหล่งข้อมูล | รูปแบบผลลัพธ์ | จุดตรวจทาน]
✔ ใช้เฉพาะบันทึกด้านล่างนี้ และระบุจุดที่ขาดหลักฐาน → ข้อกำหนดเรื่องแหล่งข้อมูล  [ข้อกำหนดเรื่องแหล่งข้อมูล | การกำหนดบทบาท | โทนการสื่อสาร | ขนาดของโมเดล]
✔ ส่งผลลัพธ์เป็นข้อค้นพบ ข้อควรระวัง และการสัมภาษณ์ครั้งถัดไป → รูปแบบผลลัพธ์  [รูปแบบผลลัพธ์ | หน่วยความจำ | ดัชนี RAG | ลายน้ำ]
✔ ทำเครื่องหมายทุกข้อความที่ไม่มีบันทึกรองรับ → จุดตรวจทาน  [จุดตรวจทาน | temperature | บุคลิกที่กำหนดให้ AI | token]</t>
        </is>
      </c>
      <c r="K13" s="7" t="inlineStr"/>
      <c r="L13" s="7" t="inlineStr"/>
      <c r="M13" s="8" t="inlineStr"/>
      <c r="N13" s="8" t="inlineStr"/>
      <c r="O13" s="8" t="inlineStr"/>
      <c r="P13" s="8" t="inlineStr"/>
      <c r="Q13" s="8" t="inlineStr"/>
      <c r="R13" s="8" t="inlineStr"/>
    </row>
    <row r="14" ht="190" customHeight="1">
      <c r="A14" s="7" t="inlineStr">
        <is>
          <t>FUNC-EXP-TECH-D4-001</t>
        </is>
      </c>
      <c r="B14" s="7" t="inlineStr">
        <is>
          <t>D4</t>
        </is>
      </c>
      <c r="C14" s="7" t="inlineStr">
        <is>
          <t>matching</t>
        </is>
      </c>
      <c r="D14" s="7" t="inlineStr">
        <is>
          <t>match</t>
        </is>
      </c>
      <c r="E14" s="7" t="inlineStr">
        <is>
          <t>A technical/data owner reviews an operations agent run that read billing and CRM records, attempted a refund, and tried to send a denial draft.</t>
        </is>
      </c>
      <c r="F14" s="7" t="inlineStr">
        <is>
          <t>Match the workflow issue to the right control.</t>
        </is>
      </c>
      <c r="G14" s="7" t="inlineStr">
        <is>
          <t>✔ Agent attempts a large refund → Approval gate for monetary actions  [Approval gate for monetary actions | Creative prompt library | Weekly brand review | Model confidence badge]
✔ Agent drafts denial despite duplicate capture evidence → Policy and evidence check before outbound reply  [Policy and evidence check before outbound reply | Unrestricted email send permission | Longer customer greeting | Lead source enrichment]
✔ Agent reads invoice events for the active ticket → Ticket-scoped least-privilege access  [Ticket-scoped least-privilege access | Company-wide file crawl | Disable audit logging | Replace CRM notes]</t>
        </is>
      </c>
      <c r="H14" s="7" t="inlineStr">
        <is>
          <t>ผู้ดูแลด้านเทคนิคและข้อมูลกำลังตรวจสอบการทำงานของเอเจนต์ฝ่ายปฏิบัติการ ซึ่งอ่านข้อมูลการเรียกเก็บเงินและ CRM พยายามคืนเงิน และพยายามส่งร่างคำตอบปฏิเสธออกไป</t>
        </is>
      </c>
      <c r="I14" s="7" t="inlineStr">
        <is>
          <t>จับคู่ปัญหาในขั้นตอนงานกับมาตรการควบคุมที่ถูกต้อง</t>
        </is>
      </c>
      <c r="J14" s="7" t="inlineStr">
        <is>
          <t>✔ เอเจนต์พยายามคืนเงินจำนวนมาก → จุดอนุมัติสำหรับการดำเนินการทางการเงิน  [จุดอนุมัติสำหรับการดำเนินการทางการเงิน | คลัง prompt สำหรับงานครีเอทีฟ | การทบทวนแบรนด์รายสัปดาห์ | ป้ายแสดงความมั่นใจของโมเดล]
✔ เอเจนต์ร่างคำตอบปฏิเสธ ทั้งที่มีหลักฐานการตัดเงินซ้ำซ้อน → ตรวจนโยบายและหลักฐานก่อนส่งคำตอบออกไปภายนอก  [ตรวจนโยบายและหลักฐานก่อนส่งคำตอบออกไปภายนอก | ให้สิทธิ์ส่งอีเมลได้โดยไม่จำกัด | เขียนคำทักทายลูกค้าให้ยาวขึ้น | เพิ่มข้อมูลแหล่งที่มาของลูกค้าเป้าหมาย]
✔ เอเจนต์อ่านรายการใบแจ้งหนี้ของ ticket ที่กำลังดำเนินการอยู่ → ให้สิทธิ์เท่าที่จำเป็น (least privilege) จำกัดขอบเขตเฉพาะ ticket นั้น  [ให้สิทธิ์เท่าที่จำเป็น (least privilege) จำกัดขอบเขตเฉพาะ ticket นั้น | ไล่อ่านไฟล์ทั้งบริษัท | ปิดการบันทึกตรวจสอบ | เขียนทับบันทึกใน CRM]</t>
        </is>
      </c>
      <c r="K14" s="7" t="inlineStr"/>
      <c r="L14" s="7" t="inlineStr"/>
      <c r="M14" s="8" t="inlineStr"/>
      <c r="N14" s="8" t="inlineStr"/>
      <c r="O14" s="8" t="inlineStr"/>
      <c r="P14" s="8" t="inlineStr"/>
      <c r="Q14" s="8" t="inlineStr"/>
      <c r="R14" s="8" t="inlineStr"/>
    </row>
    <row r="15" ht="190" customHeight="1">
      <c r="A15" s="7" t="inlineStr">
        <is>
          <t>DEPTH-D3-MEDIA-042</t>
        </is>
      </c>
      <c r="B15" s="7" t="inlineStr">
        <is>
          <t>D3</t>
        </is>
      </c>
      <c r="C15" s="7" t="inlineStr">
        <is>
          <t>narrative</t>
        </is>
      </c>
      <c r="D15" s="7" t="inlineStr">
        <is>
          <t>text</t>
        </is>
      </c>
      <c r="E15" s="7" t="inlineStr">
        <is>
          <t>A forwarded chat message is spreading with a claim about a current emergency.</t>
        </is>
      </c>
      <c r="F15" s="7" t="inlineStr">
        <is>
          <t>Write a short verification note before your team shares or acts on the image.</t>
        </is>
      </c>
      <c r="G15" s="7" t="inlineStr"/>
      <c r="H15" s="7" t="inlineStr">
        <is>
          <t>มีข้อความและรูปภาพถูกส่งต่อในแชตกำลังแพร่กระจาย พร้อมข้อกล่าวอ้างเกี่ยวกับเหตุฉุกเฉินที่กำลังเกิดขึ้น</t>
        </is>
      </c>
      <c r="I15" s="7" t="inlineStr">
        <is>
          <t>เขียนบันทึกการตรวจสอบสั้น ๆ เพื่อเตือนทีมก่อนที่จะมีการแชร์ภาพนี้ต่อหรือดำเนินการใด ๆ ตามภาพ</t>
        </is>
      </c>
      <c r="J15" s="7" t="inlineStr"/>
      <c r="K15" s="7" t="inlineStr"/>
      <c r="L15" s="7" t="inlineStr">
        <is>
          <t>EN: source: Finds original source — original, source, first, creator
date: Checks date/time — date, time, timestamp, today
location: Checks location — location, place, map, landmark, area
image: Uses image/provenance tools — reverse, metadata, provenance, search
caution: Communicates uncertainty — unverified, uncertain, do not share, confirm
Exemplar: This image should be treated as unverified. I would find the earliest source, check timestamp and location clues, compare with official local updates, and run reverse image/provenance checks. Until confirmed, share only as unverified or do not share.
TH: source: ค้นหาแหล่งข้อมูลต้นทาง — ต้นฉบับ, แหล่งข้อมูล, ผู้โพสต์แรก, ผู้สร้างเนื้อหา, ต้นทาง, source
date: ตรวจสอบวันและเวลา — วันที่, เวลา, เวลาที่บันทึก, วันนี้, timestamp, วันเวลา
location: ตรวจสอบสถานที่ — สถานที่, ตำแหน่ง, แผนที่, จุดสังเกต, พื้นที่, พิกัด, location
image: ใช้เครื่องมือตรวจสอบภาพและที่มาของสื่อ (provenance) — ค้นหาภาพย้อนกลับ, metadata, ที่มาของสื่อ, ค้นหา, reverse search, provenance
caution: สื่อสารความไม่แน่นอน — ยังไม่ได้ตรวจสอบ, ไม่แน่นอน, อย่าเพิ่งแชร์, ยืนยัน, unverified, ชะลอ
ตัวอย่างคำตอบ: ภาพนี้ควรถือว่ายังไม่ได้ตรวจสอบ สิ่งที่ต้องทำคือหาแหล่งข้อมูลต้นทางที่เก่าที่สุด ตรวจเวลาที่บันทึกและเบาะแสของสถานที่ เทียบกับข้อมูลอัปเดตจากหน่วยงานทางการในพื้นที่ และใช้การค้นหาภาพย้อนกลับพร้อมตรวจที่มาของสื่อ (provenance) จนกว่าจะยืนยันได้ ให้แชร์โดยกำกับว่ายังไม่ได้ตรวจสอบ หรือไม่แชร์เลย</t>
        </is>
      </c>
      <c r="M15" s="8" t="inlineStr"/>
      <c r="N15" s="8" t="inlineStr"/>
      <c r="O15" s="8" t="inlineStr"/>
      <c r="P15" s="8" t="inlineStr"/>
      <c r="Q15" s="8" t="inlineStr"/>
      <c r="R15" s="8" t="inlineStr"/>
    </row>
    <row r="16" ht="190" customHeight="1">
      <c r="A16" s="7" t="inlineStr">
        <is>
          <t>FUNC-OPS-D6-001</t>
        </is>
      </c>
      <c r="B16" s="7" t="inlineStr">
        <is>
          <t>D6</t>
        </is>
      </c>
      <c r="C16" s="7" t="inlineStr">
        <is>
          <t>narrative</t>
        </is>
      </c>
      <c r="D16" s="7" t="inlineStr">
        <is>
          <t>text</t>
        </is>
      </c>
      <c r="E16" s="7" t="inlineStr">
        <is>
          <t>A support agent receives an AI draft that denies a refund. The raw ticket includes a payment retry, duplicate capture, and refund policy exception.</t>
        </is>
      </c>
      <c r="F16" s="7" t="inlineStr">
        <is>
          <t>Write 2-4 sentences explaining what the support agent should do next.</t>
        </is>
      </c>
      <c r="G16" s="7" t="inlineStr"/>
      <c r="H16" s="7" t="inlineStr">
        <is>
          <t>เจ้าหน้าที่บริการลูกค้าได้รับร่างคำตอบจาก AI ที่ปฏิเสธการคืนเงิน ทั้งที่ข้อมูลเคส (ticket) มีทั้งการลองตัดเงินซ้ำ การตัดเงินซ้ำซ้อน และเข้าข้อยกเว้นของนโยบายการคืนเงิน</t>
        </is>
      </c>
      <c r="I16" s="7" t="inlineStr">
        <is>
          <t>เขียนอธิบาย 2–4 ประโยคว่า เจ้าหน้าที่บริการลูกค้าควรดำเนินการอย่างไรต่อไป</t>
        </is>
      </c>
      <c r="J16" s="7" t="inlineStr"/>
      <c r="K16" s="7" t="inlineStr"/>
      <c r="L16" s="7" t="inlineStr">
        <is>
          <t>EN: log: Uses the system log as evidence — log, duplicate, capture, payment, retry
policy: Applies the refund policy exception — policy, refund, exception, duplicate
tone: Keeps customer communication clear and accountable — apologize, sorry, case, clear, explain
verify: Requires verification before final action — verify, confirm, check, payment
Exemplar: The agent should not send the denial. The system log shows a duplicate payment capture, and the policy says duplicate charges should be refunded after verification. Verify the payment, apologize, give a case ID, and explain the next step to the customer.
TH: log: ใช้ log ของระบบเป็นหลักฐาน — log, บันทึกระบบ, ตัดเงินซ้ำ, การชำระเงิน, ลองตัดเงินใหม่, billing log, ตัดซ้ำ
policy: นำข้อยกเว้นของนโยบายการคืนเงินมาใช้ — นโยบาย, การคืนเงิน, ข้อยกเว้น, ตัดเงินซ้ำ, policy, exception
tone: สื่อสารกับลูกค้าอย่างชัดเจนและรับผิดชอบ — ขออภัย, เสียใจ, เลขที่เคส, ชัดเจน, อธิบาย, ขอโทษ, แจ้งลูกค้า
verify: กำหนดให้มีการตรวจสอบก่อนดำเนินการขั้นสุดท้าย — ตรวจสอบ, ยืนยัน, เช็ก, การชำระเงิน, verify, check
ตัวอย่างคำตอบ: เจ้าหน้าที่ไม่ควรส่งคำตอบที่ปฏิเสธการคืนเงินออกไป log ของระบบแสดงว่ามีการตัดเงินซ้ำซ้อนจริง และนโยบายระบุว่ากรณีเรียกเก็บเงินซ้ำต้องคืนเงินหลังตรวจสอบแล้ว ให้ตรวจสอบรายการชำระเงิน กล่าวขออภัย แจ้งเลขที่เคส และอธิบายขั้นตอนถัดไปให้ลูกค้าทราบ</t>
        </is>
      </c>
      <c r="M16" s="8" t="inlineStr"/>
      <c r="N16" s="8" t="inlineStr"/>
      <c r="O16" s="8" t="inlineStr"/>
      <c r="P16" s="8" t="inlineStr"/>
      <c r="Q16" s="8" t="inlineStr"/>
      <c r="R16" s="8" t="inlineStr"/>
    </row>
    <row r="17" ht="190" customHeight="1">
      <c r="A17" s="7" t="inlineStr">
        <is>
          <t>DEPTH-EXP-D5-VALUE-079</t>
        </is>
      </c>
      <c r="B17" s="7" t="inlineStr">
        <is>
          <t>D5</t>
        </is>
      </c>
      <c r="C17" s="7" t="inlineStr">
        <is>
          <t>report-review</t>
        </is>
      </c>
      <c r="D17" s="7" t="inlineStr">
        <is>
          <t>text</t>
        </is>
      </c>
      <c r="E17" s="7" t="inlineStr">
        <is>
          <t>A sales team wants to buy an AI forecasting assistant because one forecast predicts a larger quarter.</t>
        </is>
      </c>
      <c r="F17" s="7" t="inlineStr">
        <is>
          <t>Write 2-4 sentences explaining what evidence would make this a fundable pilot.</t>
        </is>
      </c>
      <c r="G17" s="7" t="inlineStr"/>
      <c r="H17" s="7" t="inlineStr">
        <is>
          <t>ทีมขายต้องการซื้อผู้ช่วย AI สำหรับการคาดการณ์ยอดขาย เพราะผลคาดการณ์ครั้งหนึ่งชี้ว่ายอดขายในไตรมาสนี้จะเติบโตขึ้น</t>
        </is>
      </c>
      <c r="I17" s="7" t="inlineStr">
        <is>
          <t>เขียน 2-4 ประโยค อธิบายว่าหลักฐานแบบใดจึงจะทำให้โครงการนำร่อง (pilot) นี้สมควรได้รับงบประมาณ</t>
        </is>
      </c>
      <c r="J17" s="7" t="inlineStr"/>
      <c r="K17" s="7" t="inlineStr"/>
      <c r="L17" s="7" t="inlineStr">
        <is>
          <t>EN: baseline: Requires baseline comparison — baseline, before, after, compare, accuracy
workflow: Connects to seller workflow decisions — workflow, seller, follow-up, deal, action
quality: Includes quality or error segmentation — error, stale, stage, segment, quality
gate: Defines pilot and scale gate — pilot, gate, scale, criteria, stop
risk: Mentions risk or customer impact — risk, customer, harm, confidence, review
Exemplar: A fundable pilot needs a baseline forecast accuracy comparison on similar deals, segmented by stage and stale activity. It should show that seller actions improve, not just that predictions look optimistic, and it needs a scale gate based on accuracy, customer impact, override reasons, and workflow adoption.
TH: baseline: กำหนดให้เทียบกับค่าฐาน (baseline) — ค่าฐาน, baseline, ก่อน, หลัง, เปรียบเทียบ, เทียบ, ความแม่นยำ, accuracy
workflow: เชื่อมโยงกับการตัดสินใจในขั้นตอนงานของพนักงานขาย — ขั้นตอนงาน, พนักงานขาย, การติดตามผล, ดีล, การลงมือทำ, workflow, เซลล์
quality: มีการแยกคุณภาพหรือความคลาดเคลื่อนตามกลุ่ม — ความคลาดเคลื่อน, ข้อมูลค้างเก่า, ขั้นของดีล, แยกกลุ่ม, คุณภาพ, error, segment
gate: กำหนดขอบเขต pilot และด่านตัดสินใจก่อนขยายผล — โครงการนำร่อง, ด่านตัดสินใจ, ขยายผล, เกณฑ์, หยุด, pilot, gate, scale
risk: กล่าวถึงความเสี่ยงหรือผลกระทบต่อลูกค้า — ความเสี่ยง, ลูกค้า, ความเสียหาย, ความมั่นใจ, การตรวจทาน, risk, ผลกระทบ
ตัวอย่างคำตอบ: โครงการนำร่อง (pilot) ที่สมควรได้รับงบประมาณต้องมีการเทียบความแม่นยำของการคาดการณ์กับค่าฐาน (baseline) บนดีลลักษณะเดียวกัน โดยแยกตามขั้นของดีลและความเก่าของกิจกรรม ทั้งต้องแสดงให้เห็นว่าการทำงานของพนักงานขายดีขึ้นจริง ไม่ใช่แค่ตัวเลขคาดการณ์ที่ดูสวย และต้องมีด่านตัดสินใจก่อนขยายผล โดยอิงความแม่นยำ ผลกระทบต่อลูกค้า เหตุผลของการแก้ไขทับผล AI (override) และการนำไปใช้จริงในขั้นตอนงาน</t>
        </is>
      </c>
      <c r="M17" s="8" t="inlineStr"/>
      <c r="N17" s="8" t="inlineStr"/>
      <c r="O17" s="8" t="inlineStr"/>
      <c r="P17" s="8" t="inlineStr"/>
      <c r="Q17" s="8" t="inlineStr"/>
      <c r="R17" s="8" t="inlineStr"/>
    </row>
    <row r="18" ht="190" customHeight="1">
      <c r="A18" s="7" t="inlineStr">
        <is>
          <t>FUNC-SALES-D2-002</t>
        </is>
      </c>
      <c r="B18" s="7" t="inlineStr">
        <is>
          <t>D2</t>
        </is>
      </c>
      <c r="C18" s="7" t="inlineStr">
        <is>
          <t>drag-order</t>
        </is>
      </c>
      <c r="D18" s="7" t="inlineStr">
        <is>
          <t>rank</t>
        </is>
      </c>
      <c r="E18" s="7" t="inlineStr">
        <is>
          <t>A sales rep wants AI to help with a next-best-action plan for open opportunities.</t>
        </is>
      </c>
      <c r="F18" s="7" t="inlineStr">
        <is>
          <t>Put the AI-assisted sales workflow in the strongest order.</t>
        </is>
      </c>
      <c r="G18" s="7" t="inlineStr">
        <is>
          <t>#1 Check CRM freshness, risk notes, and missing next steps
#2 Ask AI for account-specific next actions with evidence citations
#3 Review legal, privacy, and customer-context risks before outreach
#4 Send a human-owned follow-up and update the CRM rationale</t>
        </is>
      </c>
      <c r="H18" s="7" t="inlineStr">
        <is>
          <t>พนักงานขายต้องการให้ AI ช่วยวางแผนการดำเนินการถัดไปที่ดีที่สุดสำหรับดีลที่ยังเปิดอยู่</t>
        </is>
      </c>
      <c r="I18" s="7" t="inlineStr">
        <is>
          <t>เรียงลำดับขั้นตอนการทำงานขายที่มี AI ช่วย ให้ถูกต้องและมีประสิทธิภาพสูงสุด</t>
        </is>
      </c>
      <c r="J18" s="7" t="inlineStr">
        <is>
          <t>#1 ตรวจสอบความเป็นปัจจุบันของข้อมูลใน CRM บันทึกความเสี่ยง และขั้นตอนถัดไปที่ยังขาด
#2 ขอให้ AI เสนอการดำเนินการถัดไปเฉพาะรายลูกค้า พร้อมการอ้างอิงหลักฐาน
#3 ตรวจความเสี่ยงด้านกฎหมาย ความเป็นส่วนตัว และบริบทของลูกค้า ก่อนติดต่อออกไป
#4 ส่งข้อความติดตามผลด้วยตนเอง (โดยมีผู้รับผิดชอบชัดเจน) และบันทึกเหตุผลลงใน CRM</t>
        </is>
      </c>
      <c r="K18" s="7" t="inlineStr"/>
      <c r="L18" s="7" t="inlineStr">
        <is>
          <t>EN: Why this order: Stale CRM data produces confident but wrong recommendations, so data hygiene comes first; the prompt asks for account-specific actions with evidence; legal, privacy, and customer-context review happens before any outreach; the human owns the follow-up and records the rationale.
TH: เหตุผลของลำดับ: ข้อมูล CRM ที่ล้าสมัยทำให้คำแนะนำฟังดูมั่นใจแต่ผิด การจัดระเบียบข้อมูลจึงต้องมาก่อน จากนั้น prompt จึงขอการดำเนินการเฉพาะรายลูกค้าพร้อมหลักฐาน การตรวจด้านกฎหมาย ความเป็นส่วนตัว และบริบทของลูกค้าเกิดขึ้นก่อนการติดต่อทุกครั้ง และคนเป็นเจ้าของการติดตามผลพร้อมบันทึกเหตุผลไว้</t>
        </is>
      </c>
      <c r="M18" s="8" t="inlineStr"/>
      <c r="N18" s="8" t="inlineStr"/>
      <c r="O18" s="8" t="inlineStr"/>
      <c r="P18" s="8" t="inlineStr"/>
      <c r="Q18" s="8" t="inlineStr"/>
      <c r="R18" s="8" t="inlineStr"/>
    </row>
    <row r="19" ht="190" customHeight="1">
      <c r="A19" s="7" t="inlineStr">
        <is>
          <t>DEPTH-EXP-D2-D5-087</t>
        </is>
      </c>
      <c r="B19" s="7" t="inlineStr">
        <is>
          <t>D2</t>
        </is>
      </c>
      <c r="C19" s="7" t="inlineStr">
        <is>
          <t>drag-order</t>
        </is>
      </c>
      <c r="D19" s="7" t="inlineStr">
        <is>
          <t>rank</t>
        </is>
      </c>
      <c r="E19" s="7" t="inlineStr">
        <is>
          <t>A transformation sponsor wants to move from scattered AI experiments to a governed portfolio of repeatable workflows.</t>
        </is>
      </c>
      <c r="F19" s="7" t="inlineStr">
        <is>
          <t>Order the operating steps.</t>
        </is>
      </c>
      <c r="G19" s="7" t="inlineStr">
        <is>
          <t>#1 Inventory workflows by pain, volume, risk, and owner.
#2 Choose reusable AI patterns such as retrieval, drafting, or triage.
#3 Define data, tool, review, and escalation controls.
#4 Pilot with baseline, success, stop, and learning criteria.
#5 Fund scale only for patterns that meet evidence gates.</t>
        </is>
      </c>
      <c r="H19" s="7" t="inlineStr">
        <is>
          <t>ผู้สนับสนุนการเปลี่ยนผ่านองค์กรต้องการยกระดับจากการทดลองใช้ AI แบบกระจัดกระจาย ไปสู่พอร์ตโฟลิโอของขั้นตอนงานที่ทำซ้ำได้และมีการกำกับดูแล (governance)</t>
        </is>
      </c>
      <c r="I19" s="7" t="inlineStr">
        <is>
          <t>เรียงลำดับขั้นตอนการดำเนินงาน</t>
        </is>
      </c>
      <c r="J19" s="7" t="inlineStr">
        <is>
          <t>#1 จัดทำบัญชีขั้นตอนงานตามปัญหา ปริมาณงาน ความเสี่ยง และผู้รับผิดชอบ
#2 เลือกรูปแบบการใช้ AI ที่ใช้ซ้ำได้ เช่น การค้นคืนข้อมูล การร่างงาน หรือการคัดกรองความเร่งด่วน (triage)
#3 กำหนดมาตรการควบคุมด้านข้อมูล เครื่องมือ การตรวจทาน และการส่งต่อให้ผู้มีอำนาจ
#4 ทำโครงการนำร่อง (pilot) พร้อมค่าฐาน (baseline) เกณฑ์ความสำเร็จ เกณฑ์หยุด และสิ่งที่ต้องเรียนรู้
#5 ให้งบขยายผลเฉพาะรูปแบบที่ผ่านเกณฑ์หลักฐานเท่านั้น</t>
        </is>
      </c>
      <c r="K19" s="7" t="inlineStr"/>
      <c r="L19" s="7" t="inlineStr">
        <is>
          <t>EN: Why this order: An inventory shows where AI is worth applying; reusable patterns stop every team rebuilding the same workflow; controls are defined before the first pilot so pilots are comparable; funding follows evidence gates, not enthusiasm.
TH: เหตุผลของลำดับ: บัญชีขั้นตอนงานทำให้เห็นว่าควรใช้ AI ตรงไหนจึงคุ้มค่า รูปแบบที่ใช้ซ้ำได้ช่วยไม่ให้ทุกทีมสร้าง workflow เดิมซ้ำกัน มาตรการควบคุมถูกกำหนดก่อนเริ่ม pilot แรกเพื่อให้ pilot แต่ละตัวเทียบกันได้ และการให้งบประมาณเดินตามเกณฑ์หลักฐาน ไม่ใช่ตามความตื่นเต้น</t>
        </is>
      </c>
      <c r="M19" s="8" t="inlineStr"/>
      <c r="N19" s="8" t="inlineStr"/>
      <c r="O19" s="8" t="inlineStr"/>
      <c r="P19" s="8" t="inlineStr"/>
      <c r="Q19" s="8" t="inlineStr"/>
      <c r="R19" s="8" t="inlineStr"/>
    </row>
    <row r="20" ht="190" customHeight="1">
      <c r="A20" s="7" t="inlineStr">
        <is>
          <t>DEPTH-EXP-D4-D1-078</t>
        </is>
      </c>
      <c r="B20" s="7" t="inlineStr">
        <is>
          <t>D4</t>
        </is>
      </c>
      <c r="C20" s="7" t="inlineStr">
        <is>
          <t>concept-cluster</t>
        </is>
      </c>
      <c r="D20" s="7" t="inlineStr">
        <is>
          <t>parts</t>
        </is>
      </c>
      <c r="E20" s="7" t="inlineStr">
        <is>
          <t>A vendor wants to use customer data in its AI platform and offers a discount for quick signature.</t>
        </is>
      </c>
      <c r="F20" s="7" t="inlineStr">
        <is>
          <t>Answer the mini-parts before approving the vendor.</t>
        </is>
      </c>
      <c r="G20" s="7" t="inlineStr">
        <is>
          <t>part Which term needs explicit approval before customer data can improve vendor models?
✔ Training/model-improvement data rights and opt-out terms.
· The vendor logo placement.
· The longest possible contract appendix.
part Why does support access change system risk?
· It only changes the user interface.
✔ It can expand who sees prompts, files, outputs, or customer records.
· It proves the model is more accurate.
part What evidence should the contract preserve?
· Only monthly seat counts.
· Only vendor marketing claims.
✔ Retention, audit logs, access approvals, incident duties, and exit rights.</t>
        </is>
      </c>
      <c r="H20" s="7" t="inlineStr">
        <is>
          <t>ผู้ให้บริการรายหนึ่งเสนอส่วนลดพิเศษหากองค์กรยอมเซ็นสัญญาอย่างรวดเร็ว โดยมีเงื่อนไขขอนำข้อมูลลูกค้าไปใช้ในแพลตฟอร์ม AI ของตน</t>
        </is>
      </c>
      <c r="I20" s="7" t="inlineStr">
        <is>
          <t>โปรดตอบคำถามย่อยต่อไปนี้ก่อนพิจารณาอนุมัติสัญญาผู้ให้บริการ</t>
        </is>
      </c>
      <c r="J20" s="7" t="inlineStr">
        <is>
          <t>part ข้อใดคือเงื่อนไขที่ต้องได้รับการอนุมัติอย่างชัดเจน ก่อนที่ข้อมูลลูกค้าจะถูกนำไปพัฒนาโมเดลของผู้ให้บริการ
✔ สิทธิ์ในการนำข้อมูลไปฝึกหรือพัฒนาโมเดล และเงื่อนไขการปฏิเสธไม่ยินยอมให้ใช้ข้อมูล (opt-out)
· ตำแหน่งการวางโลโก้ของผู้ให้บริการ
· ภาคผนวกสัญญาที่ยาวที่สุดเท่าที่จะเป็นไปได้
part เหตุใดสิทธิ์เข้าถึงของทีมสนับสนุนจึงเปลี่ยนความเสี่ยงของระบบ
· สิทธิ์นั้นเปลี่ยนเพียงหน้าจอผู้ใช้เท่านั้น
✔ สิทธิ์นั้นขยายขอบเขตว่าใครสามารถเห็น prompt ไฟล์ ผลลัพธ์ หรือข้อมูลลูกค้าได้บ้าง
· สิทธิ์นั้นพิสูจน์ว่าโมเดลแม่นยำมากขึ้น
part สัญญาควรรักษาหลักฐานสิ่งใดไว้
· เฉพาะจำนวนสิทธิ์การใช้งานรายเดือนเท่านั้น
· เฉพาะคำกล่าวอ้างทางการตลาดของผู้ให้บริการเท่านั้น
✔ ระยะเวลาเก็บข้อมูล บันทึกตรวจสอบ (audit log) การอนุมัติสิทธิ์เข้าถึง หน้าที่เมื่อเกิดเหตุการณ์ผิดปกติ และสิทธิ์เมื่อยุติสัญญา</t>
        </is>
      </c>
      <c r="K20" s="7" t="inlineStr">
        <is>
          <t>✔ Correct. Data reuse must be explicit. ⇄ ถูกต้อง การนำข้อมูลไปใช้ซ้ำต้องระบุไว้อย่างชัดเจน
· Branding does not settle data rights. ⇄ การจัดวางแบรนด์ไม่ได้ตัดสินเรื่องสิทธิ์ในข้อมูล
· Length is not the issue; enforceable terms are. ⇄ ความยาวไม่ใช่ประเด็น ประเด็นคือเงื่อนไขที่บังคับใช้ได้จริง
· Support access can expose data and logs. ⇄ สิทธิ์เข้าถึงของทีมสนับสนุนอาจเปิดเผยทั้งข้อมูลและล็อก
✔ Correct. System access boundaries matter. ⇄ ถูกต้อง ขอบเขตการเข้าถึงระบบเป็นเรื่องสำคัญ
· Access and accuracy are different questions. ⇄ การเข้าถึงกับความแม่นยำเป็นคนละคำถามกัน
· Seat counts do not support incident review. ⇄ จำนวนสิทธิ์การใช้งานไม่ช่วยการทบทวนเหตุการณ์ผิดปกติ (incident)
· Claims are not audit evidence. ⇄ คำกล่าวอ้างไม่ใช่หลักฐานสำหรับการตรวจสอบ
✔ Correct. These make governance enforceable. ⇄ ถูกต้อง สิ่งเหล่านี้ทำให้การกำกับดูแล (governance) บังคับใช้ได้จริง</t>
        </is>
      </c>
      <c r="L20" s="7" t="inlineStr"/>
      <c r="M20" s="8" t="inlineStr"/>
      <c r="N20" s="8" t="inlineStr"/>
      <c r="O20" s="8" t="inlineStr"/>
      <c r="P20" s="8" t="inlineStr"/>
      <c r="Q20" s="8" t="inlineStr"/>
      <c r="R20" s="8" t="inlineStr"/>
    </row>
    <row r="21" ht="190" customHeight="1">
      <c r="A21" s="7" t="inlineStr">
        <is>
          <t>DEPTH-EXP-D1-D2-067</t>
        </is>
      </c>
      <c r="B21" s="7" t="inlineStr">
        <is>
          <t>D1</t>
        </is>
      </c>
      <c r="C21" s="7" t="inlineStr">
        <is>
          <t>concept-cluster</t>
        </is>
      </c>
      <c r="D21" s="7" t="inlineStr">
        <is>
          <t>parts</t>
        </is>
      </c>
      <c r="E21" s="7" t="inlineStr">
        <is>
          <t>A team is building a policy assistant and keeps treating longer prompts, retrieval, and memory as interchangeable fixes.</t>
        </is>
      </c>
      <c r="F21" s="7" t="inlineStr">
        <is>
          <t>Answer each mini-part about choosing the right concept and prompt move.</t>
        </is>
      </c>
      <c r="G21" s="7" t="inlineStr">
        <is>
          <t>part What best supports answers about the current approved policy?
· Rely on model training data because it is broad.
✔ Retrieve the approved source at answer time.
· Ask for a more confident tone.
part Which prompt instruction best reduces unsupported policy claims?
✔ Use only the supplied policy and mark missing evidence.
· Be concise and persuasive.
· Answer from general best practice if the file is unclear.
part What is a practical context-window risk?
· The model can remember infinite source text exactly.
· More pasted material always lowers risk.
✔ Important details can be omitted, buried, or outweighed by irrelevant context.</t>
        </is>
      </c>
      <c r="H21" s="7" t="inlineStr">
        <is>
          <t>ทีมงานกำลังสร้างผู้ช่วยด้านนโยบาย แต่ยังคงมองว่า prompt ที่ยาวขึ้น การค้นคืนข้อมูล และหน่วยความจำ เป็นวิธีแก้ปัญหาที่ใช้แทนกันได้</t>
        </is>
      </c>
      <c r="I21" s="7" t="inlineStr">
        <is>
          <t>ตอบคำถามย่อยแต่ละข้อเกี่ยวกับการเลือกแนวคิดและวิธีเขียน prompt ที่เหมาะสม</t>
        </is>
      </c>
      <c r="J21" s="7" t="inlineStr">
        <is>
          <t>part สิ่งใดรองรับการตอบคำถามเกี่ยวกับนโยบายฉบับที่อนุมัติล่าสุดได้ดีที่สุด
· พึ่งข้อมูลที่ใช้ฝึกโมเดล เพราะครอบคลุมกว้าง
✔ ค้นคืนแหล่งข้อมูลฉบับที่อนุมัติแล้วในตอนที่ตอบคำถาม
· สั่งให้ใช้น้ำเสียงที่มั่นใจมากขึ้น
part คำสั่งใน prompt ข้อใดช่วยลดการกล่าวอ้างเรื่องนโยบายที่ไม่มีหลักฐานรองรับได้ดีที่สุด
✔ ให้ใช้เฉพาะเอกสารนโยบายที่ให้มา และระบุจุดที่ไม่มีหลักฐานรองรับ
· ให้เขียนกระชับและโน้มน้าวใจ
· ถ้าเอกสารไม่ชัดเจน ให้ตอบตามแนวปฏิบัติที่ดีทั่วไป
part ข้อใดคือความเสี่ยงเรื่อง context window ที่พบได้จริงในการทำงาน
· โมเดลจดจำข้อความต้นฉบับได้ไม่จำกัดและแม่นยำทุกตัวอักษร
· การวางข้อมูลเข้าไปมากขึ้นย่อมลดความเสี่ยงเสมอ
✔ รายละเอียดสำคัญอาจตกหล่น ถูกกลบ หรือถูกข้อมูลที่ไม่เกี่ยวข้องบดบัง</t>
        </is>
      </c>
      <c r="K21" s="7" t="inlineStr">
        <is>
          <t>· Training data may be stale or missing private policy. ⇄ ข้อมูลที่ใช้ฝึกโมเดลอาจล้าสมัย หรือไม่มีนโยบายภายในขององค์กร
✔ Correct. RAG is the right concept for current source grounding. ⇄ ถูกต้อง RAG คือแนวคิดที่ตรงกับการยึดโยงคำตอบกับแหล่งข้อมูลปัจจุบัน
· Tone does not improve source support. ⇄ น้ำเสียงไม่ได้ทำให้คำตอบมีแหล่งข้อมูลรองรับมากขึ้น
✔ Correct. This gives a source rule and uncertainty behavior. ⇄ ถูกต้อง คำสั่งนี้กำหนดทั้งข้อกำหนดเรื่องแหล่งข้อมูลและวิธีจัดการความไม่แน่นอน
· Style does not control factual grounding. ⇄ สไตล์การเขียนไม่ได้ควบคุมความถูกต้องตามข้อเท็จจริง
· That invites unsupported substitution. ⇄ คำสั่งแบบนี้เปิดช่องให้แทนที่ข้อเท็จจริงด้วยเนื้อหาที่ไม่มีหลักฐานรองรับ
· Context is limited and must be managed. ⇄ context มีขีดจำกัดและต้องบริหารจัดการ
· More context can add noise and private data. ⇄ context ที่มากขึ้นอาจเพิ่มสัญญาณรบกวนและข้อมูลส่วนบุคคลโดยไม่จำเป็น
✔ Correct. Users need scoped, relevant inputs. ⇄ ถูกต้อง ผู้ใช้ต้องคัดขอบเขตข้อมูลเข้าให้ตรงประเด็น</t>
        </is>
      </c>
      <c r="L21" s="7" t="inlineStr"/>
      <c r="M21" s="8" t="inlineStr"/>
      <c r="N21" s="8" t="inlineStr"/>
      <c r="O21" s="8" t="inlineStr"/>
      <c r="P21" s="8" t="inlineStr"/>
      <c r="Q21" s="8" t="inlineStr"/>
      <c r="R21" s="8" t="inlineStr"/>
    </row>
  </sheetData>
  <autoFilter ref="A1:R21"/>
  <conditionalFormatting sqref="Q2:Q21">
    <cfRule type="cellIs" priority="1" operator="equal" dxfId="0">
      <formula>"Approve"</formula>
    </cfRule>
    <cfRule type="cellIs" priority="2" operator="equal" dxfId="1">
      <formula>"Rewrite"</formula>
    </cfRule>
  </conditionalFormatting>
  <conditionalFormatting sqref="O2:O21">
    <cfRule type="cellIs" priority="3" operator="equal" dxfId="1">
      <formula>"No"</formula>
    </cfRule>
  </conditionalFormatting>
  <dataValidations count="3">
    <dataValidation sqref="N2:N21" showDropDown="0" showInputMessage="0" showErrorMessage="0" allowBlank="1" type="list">
      <formula1>"Yes,Mostly,No"</formula1>
    </dataValidation>
    <dataValidation sqref="O2:O21" showDropDown="0" showInputMessage="0" showErrorMessage="0" allowBlank="1" type="list">
      <formula1>"Yes,No"</formula1>
    </dataValidation>
    <dataValidation sqref="Q2:Q21" showDropDown="0" showInputMessage="0" showErrorMessage="0" allowBlank="1" type="list">
      <formula1>"Approve,Fix,Rewrite"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4" max="4"/>
    <col width="14" customWidth="1" min="5" max="5"/>
    <col width="80" customWidth="1" min="6" max="6"/>
  </cols>
  <sheetData>
    <row r="1">
      <c r="A1" s="3" t="inlineStr">
        <is>
          <t>Question ID</t>
        </is>
      </c>
      <c r="B1" s="5" t="inlineStr">
        <is>
          <t>First review verdict</t>
        </is>
      </c>
      <c r="C1" s="5" t="inlineStr">
        <is>
          <t>Natural Thai (1-5)</t>
        </is>
      </c>
      <c r="D1" s="5" t="inlineStr">
        <is>
          <t>Scenario changed by reviewer?</t>
        </is>
      </c>
      <c r="E1" s="5" t="inlineStr">
        <is>
          <t>Prompt changed by reviewer?</t>
        </is>
      </c>
      <c r="F1" s="5" t="inlineStr">
        <is>
          <t>First-review comment</t>
        </is>
      </c>
    </row>
    <row r="2">
      <c r="A2" s="7" t="inlineStr">
        <is>
          <t>DEPTH-D4-GOV-046</t>
        </is>
      </c>
      <c r="B2" s="7" t="inlineStr">
        <is>
          <t>Fix in cell</t>
        </is>
      </c>
      <c r="C2" s="7" t="n">
        <v>5</v>
      </c>
      <c r="D2" s="7" t="inlineStr">
        <is>
          <t>Yes</t>
        </is>
      </c>
      <c r="E2" s="7" t="inlineStr">
        <is>
          <t>Yes</t>
        </is>
      </c>
      <c r="F2" s="7" t="inlineStr">
        <is>
          <t>เพิ่มคำทับศัพท์ Human-in-the-loop ร่วมกับคำแปลไทยเพื่อความคุ้นเคยของผู้สอบ</t>
        </is>
      </c>
    </row>
    <row r="3">
      <c r="A3" s="7" t="inlineStr">
        <is>
          <t>DEPTH-D4-RISK-043</t>
        </is>
      </c>
      <c r="B3" s="7" t="inlineStr">
        <is>
          <t>Fix in cell</t>
        </is>
      </c>
      <c r="C3" s="7" t="n">
        <v>5</v>
      </c>
      <c r="D3" s="7" t="inlineStr">
        <is>
          <t>Yes</t>
        </is>
      </c>
      <c r="E3" s="7" t="inlineStr">
        <is>
          <t>Yes</t>
        </is>
      </c>
      <c r="F3" s="7" t="inlineStr">
        <is>
          <t>ปรับคำว่า 'แชตบอต AI สาธารณะ' เป็น 'แชตบอต AI ทั่วไป' เพื่อไม่ให้สับสนกับบริการภาครัฐ</t>
        </is>
      </c>
    </row>
    <row r="4">
      <c r="A4" s="7" t="inlineStr">
        <is>
          <t>DEPTH-D1-SYSTEMS-028</t>
        </is>
      </c>
      <c r="B4" s="7" t="inlineStr">
        <is>
          <t>Fix in cell</t>
        </is>
      </c>
      <c r="C4" s="7" t="n">
        <v>5</v>
      </c>
      <c r="D4" s="7" t="inlineStr">
        <is>
          <t>Yes</t>
        </is>
      </c>
      <c r="E4" s="7" t="inlineStr">
        <is>
          <t>Yes</t>
        </is>
      </c>
      <c r="F4" s="7" t="inlineStr">
        <is>
          <t>ปรับโครงสร้างประโยคให้อ่านลื่นไหล ลดการใช้คำซ้ำซ้อน</t>
        </is>
      </c>
    </row>
    <row r="5">
      <c r="A5" s="7" t="inlineStr">
        <is>
          <t>DEPTH-D2-PROMPT-031</t>
        </is>
      </c>
      <c r="B5" s="7" t="inlineStr">
        <is>
          <t>Fix in cell</t>
        </is>
      </c>
      <c r="C5" s="7" t="n">
        <v>5</v>
      </c>
      <c r="D5" s="7" t="inlineStr">
        <is>
          <t>Yes</t>
        </is>
      </c>
      <c r="E5" s="7" t="inlineStr">
        <is>
          <t>Yes</t>
        </is>
      </c>
      <c r="F5" s="7" t="inlineStr">
        <is>
          <t>ปรับคำถามให้กระชับ ชัดเจน เน้นจุดประสงค์ของคำสั่ง prompt</t>
        </is>
      </c>
    </row>
    <row r="6">
      <c r="A6" s="7" t="inlineStr">
        <is>
          <t>FUNC-SALES-D3-001</t>
        </is>
      </c>
      <c r="B6" s="7" t="inlineStr">
        <is>
          <t>Approve</t>
        </is>
      </c>
      <c r="C6" s="7" t="n">
        <v>5</v>
      </c>
      <c r="D6" s="7" t="inlineStr">
        <is>
          <t>Yes</t>
        </is>
      </c>
      <c r="E6" s="7" t="inlineStr">
        <is>
          <t>Yes</t>
        </is>
      </c>
      <c r="F6" s="7" t="inlineStr">
        <is>
          <t>ประเด็นเรื่อง Legal Hold และ Stale Contact ใน CRM แปลได้ตรง ชัดเจน</t>
        </is>
      </c>
    </row>
    <row r="7">
      <c r="A7" s="7" t="inlineStr">
        <is>
          <t>FUNC-FIN-D3-001</t>
        </is>
      </c>
      <c r="B7" s="7" t="inlineStr">
        <is>
          <t>Approve</t>
        </is>
      </c>
      <c r="C7" s="7" t="n">
        <v>5</v>
      </c>
      <c r="D7" s="7" t="inlineStr">
        <is>
          <t>Yes</t>
        </is>
      </c>
      <c r="E7" s="7" t="inlineStr">
        <is>
          <t>Yes</t>
        </is>
      </c>
      <c r="F7" s="7" t="inlineStr">
        <is>
          <t>การวิเคราะห์ผลต่างทางการเงินถูกต้อง ชัดเจน</t>
        </is>
      </c>
    </row>
    <row r="8">
      <c r="A8" s="7" t="inlineStr">
        <is>
          <t>DEPTH-D5-VALUE-049</t>
        </is>
      </c>
      <c r="B8" s="7" t="inlineStr">
        <is>
          <t>Approve</t>
        </is>
      </c>
      <c r="C8" s="7" t="n">
        <v>5</v>
      </c>
      <c r="D8" s="7" t="inlineStr">
        <is>
          <t>Yes</t>
        </is>
      </c>
      <c r="E8" s="7" t="inlineStr">
        <is>
          <t>Yes</t>
        </is>
      </c>
      <c r="F8" s="7" t="inlineStr">
        <is>
          <t>ข้อความชัดเจน ตรงประเด็นเรื่อง Baseline และ Value Metric</t>
        </is>
      </c>
    </row>
    <row r="9">
      <c r="A9" s="7" t="inlineStr">
        <is>
          <t>DEPTH-D2-WORKFLOW-034</t>
        </is>
      </c>
      <c r="B9" s="7" t="inlineStr">
        <is>
          <t>Approve</t>
        </is>
      </c>
      <c r="C9" s="7" t="n">
        <v>5</v>
      </c>
      <c r="D9" s="7" t="inlineStr">
        <is>
          <t>Yes</t>
        </is>
      </c>
      <c r="E9" s="7" t="inlineStr">
        <is>
          <t>Yes</t>
        </is>
      </c>
      <c r="F9" s="7" t="inlineStr">
        <is>
          <t>ภาษาไทยอ่านง่าย ชัดเจน ลำดับขั้นตอนถูกต้องตามหลักการทำงานร่วมกับ AI</t>
        </is>
      </c>
    </row>
    <row r="10">
      <c r="A10" s="7" t="inlineStr">
        <is>
          <t>DEPTH-D6-COLLAB-056</t>
        </is>
      </c>
      <c r="B10" s="7" t="inlineStr">
        <is>
          <t>Fix in cell</t>
        </is>
      </c>
      <c r="C10" s="7" t="n">
        <v>5</v>
      </c>
      <c r="D10" s="7" t="inlineStr">
        <is>
          <t>Yes</t>
        </is>
      </c>
      <c r="E10" s="7" t="inlineStr">
        <is>
          <t>Yes</t>
        </is>
      </c>
      <c r="F10" s="7" t="inlineStr">
        <is>
          <t>ปรับคำถามให้กระชับ ชัดเจนตรงประเด็น Human-AI Collaboration</t>
        </is>
      </c>
    </row>
    <row r="11">
      <c r="A11" s="7" t="inlineStr">
        <is>
          <t>DEPTH-EXP-D3-MEDIA-073</t>
        </is>
      </c>
      <c r="B11" s="7" t="inlineStr">
        <is>
          <t>Fix in cell</t>
        </is>
      </c>
      <c r="C11" s="7" t="n">
        <v>5</v>
      </c>
      <c r="D11" s="7" t="inlineStr">
        <is>
          <t>Yes</t>
        </is>
      </c>
      <c r="E11" s="7" t="inlineStr">
        <is>
          <t>Yes</t>
        </is>
      </c>
      <c r="F11" s="7" t="inlineStr">
        <is>
          <t>ระบุว่าเป็น SMS และปรับคำถามให้สละสลวย</t>
        </is>
      </c>
    </row>
    <row r="12">
      <c r="A12" s="7" t="inlineStr">
        <is>
          <t>FUNC-CS-D5-003</t>
        </is>
      </c>
      <c r="B12" s="7" t="inlineStr">
        <is>
          <t>Approve</t>
        </is>
      </c>
      <c r="C12" s="7" t="n">
        <v>5</v>
      </c>
      <c r="D12" s="7" t="inlineStr">
        <is>
          <t>Yes</t>
        </is>
      </c>
      <c r="E12" s="7" t="inlineStr">
        <is>
          <t>Yes</t>
        </is>
      </c>
      <c r="F12" s="7" t="inlineStr">
        <is>
          <t>ตัวชี้วัดงานบริการลูกค้าแปลได้ถูกต้องตรงตามมาตรฐานสากล (FCR, SLA breach, Reopened rate)</t>
        </is>
      </c>
    </row>
    <row r="13">
      <c r="A13" s="7" t="inlineStr">
        <is>
          <t>DEPTH-D2-PROMPT-032</t>
        </is>
      </c>
      <c r="B13" s="7" t="inlineStr">
        <is>
          <t>Fix in cell</t>
        </is>
      </c>
      <c r="C13" s="7" t="n">
        <v>5</v>
      </c>
      <c r="D13" s="7" t="inlineStr">
        <is>
          <t>Yes</t>
        </is>
      </c>
      <c r="E13" s="7" t="inlineStr">
        <is>
          <t>Yes</t>
        </is>
      </c>
      <c r="F13" s="7" t="inlineStr">
        <is>
          <t>ปรับคำว่า 'วัตถุประสงค์ของมัน' เป็น 'วัตถุประสงค์การใช้งาน' เพื่อความสละสลวย</t>
        </is>
      </c>
    </row>
    <row r="14">
      <c r="A14" s="7" t="inlineStr">
        <is>
          <t>FUNC-EXP-TECH-D4-001</t>
        </is>
      </c>
      <c r="B14" s="7" t="inlineStr">
        <is>
          <t>Approve</t>
        </is>
      </c>
      <c r="C14" s="7" t="n">
        <v>5</v>
      </c>
      <c r="D14" s="7" t="inlineStr">
        <is>
          <t>Yes</t>
        </is>
      </c>
      <c r="E14" s="7" t="inlineStr">
        <is>
          <t>Yes</t>
        </is>
      </c>
      <c r="F14" s="7" t="inlineStr">
        <is>
          <t>การจับคู่ปัญหาการทำงานของเอเจนต์กับมาตรการควบคุมถูกต้อง สมบูรณ์</t>
        </is>
      </c>
    </row>
    <row r="15">
      <c r="A15" s="7" t="inlineStr">
        <is>
          <t>DEPTH-D3-MEDIA-042</t>
        </is>
      </c>
      <c r="B15" s="7" t="inlineStr">
        <is>
          <t>Fix in cell</t>
        </is>
      </c>
      <c r="C15" s="7" t="n">
        <v>5</v>
      </c>
      <c r="D15" s="7" t="inlineStr">
        <is>
          <t>Yes</t>
        </is>
      </c>
      <c r="E15" s="7" t="inlineStr">
        <is>
          <t>Yes</t>
        </is>
      </c>
      <c r="F15" s="7" t="inlineStr">
        <is>
          <t>ปรับคำถามให้สละสลวย ชัดเจนในวัตถุประสงค์</t>
        </is>
      </c>
    </row>
    <row r="16">
      <c r="A16" s="7" t="inlineStr">
        <is>
          <t>FUNC-OPS-D6-001</t>
        </is>
      </c>
      <c r="B16" s="7" t="inlineStr">
        <is>
          <t>Fix in cell</t>
        </is>
      </c>
      <c r="C16" s="7" t="n">
        <v>5</v>
      </c>
      <c r="D16" s="7" t="inlineStr">
        <is>
          <t>Yes</t>
        </is>
      </c>
      <c r="E16" s="7" t="inlineStr">
        <is>
          <t>Yes</t>
        </is>
      </c>
      <c r="F16" s="7" t="inlineStr">
        <is>
          <t>ปรับคำว่า 'เจ้าหน้าที่ซัพพอร์ต' เป็น 'เจ้าหน้าที่บริการลูกค้า' เพื่อความเป็นทางการ</t>
        </is>
      </c>
    </row>
    <row r="17">
      <c r="A17" s="7" t="inlineStr">
        <is>
          <t>DEPTH-EXP-D5-VALUE-079</t>
        </is>
      </c>
      <c r="B17" s="7" t="inlineStr">
        <is>
          <t>Approve</t>
        </is>
      </c>
      <c r="C17" s="7" t="n">
        <v>5</v>
      </c>
      <c r="D17" s="7" t="inlineStr">
        <is>
          <t>Yes</t>
        </is>
      </c>
      <c r="E17" s="7" t="inlineStr">
        <is>
          <t>Yes</t>
        </is>
      </c>
      <c r="F17" s="7" t="inlineStr">
        <is>
          <t>คำถามชัดเจน ตรงประเด็นการประเมินคุณค่าโครงการนำร่อง AI</t>
        </is>
      </c>
    </row>
    <row r="18">
      <c r="A18" s="7" t="inlineStr">
        <is>
          <t>FUNC-SALES-D2-002</t>
        </is>
      </c>
      <c r="B18" s="7" t="inlineStr">
        <is>
          <t>Fix in cell</t>
        </is>
      </c>
      <c r="C18" s="7" t="n">
        <v>5</v>
      </c>
      <c r="D18" s="7" t="inlineStr">
        <is>
          <t>Yes</t>
        </is>
      </c>
      <c r="E18" s="7" t="inlineStr">
        <is>
          <t>Yes</t>
        </is>
      </c>
      <c r="F18" s="7" t="inlineStr">
        <is>
          <t>ปรับคำถามให้เป็นภาษาไทยสละสลวยขึ้น</t>
        </is>
      </c>
    </row>
    <row r="19">
      <c r="A19" s="7" t="inlineStr">
        <is>
          <t>DEPTH-EXP-D2-D5-087</t>
        </is>
      </c>
      <c r="B19" s="7" t="inlineStr">
        <is>
          <t>Approve</t>
        </is>
      </c>
      <c r="C19" s="7" t="n">
        <v>5</v>
      </c>
      <c r="D19" s="7" t="inlineStr">
        <is>
          <t>Yes</t>
        </is>
      </c>
      <c r="E19" s="7" t="inlineStr">
        <is>
          <t>Yes</t>
        </is>
      </c>
      <c r="F19" s="7" t="inlineStr">
        <is>
          <t>ลำดับขั้นตอนการยกระดับการใช้ AI ระดับพอร์ตโฟลิโอถูกต้องและเฉียบคมมาก</t>
        </is>
      </c>
    </row>
    <row r="20">
      <c r="A20" s="7" t="inlineStr">
        <is>
          <t>DEPTH-EXP-D4-D1-078</t>
        </is>
      </c>
      <c r="B20" s="7" t="inlineStr">
        <is>
          <t>Fix in cell</t>
        </is>
      </c>
      <c r="C20" s="7" t="n">
        <v>5</v>
      </c>
      <c r="D20" s="7" t="inlineStr">
        <is>
          <t>Yes</t>
        </is>
      </c>
      <c r="E20" s="7" t="inlineStr">
        <is>
          <t>Yes</t>
        </is>
      </c>
      <c r="F20" s="7" t="inlineStr">
        <is>
          <t>ปรับคำว่า 'ผู้ขาย' เป็น 'ผู้ให้บริการ' เพื่อให้เข้ากับสัญญาเชิงพาณิชย์</t>
        </is>
      </c>
    </row>
    <row r="21">
      <c r="A21" s="7" t="inlineStr">
        <is>
          <t>DEPTH-EXP-D1-D2-067</t>
        </is>
      </c>
      <c r="B21" s="7" t="inlineStr">
        <is>
          <t>Approve</t>
        </is>
      </c>
      <c r="C21" s="7" t="n">
        <v>5</v>
      </c>
      <c r="D21" s="7" t="inlineStr">
        <is>
          <t>Yes</t>
        </is>
      </c>
      <c r="E21" s="7" t="inlineStr">
        <is>
          <t>Yes</t>
        </is>
      </c>
      <c r="F21" s="7" t="inlineStr">
        <is>
          <t>คำถามชุดย่อยแยกหมวดชัดเจน แปลและให้เหตุผลถูกต้องตรงประเด็น RAG และ Context Window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7" t="inlineStr">
        <is>
          <t>Items</t>
        </is>
      </c>
      <c r="B2" s="7">
        <f>COUNTA('Spot check'!A2:A21)</f>
        <v/>
      </c>
    </row>
    <row r="3">
      <c r="A3" s="7" t="inlineStr">
        <is>
          <t>Reviewed</t>
        </is>
      </c>
      <c r="B3" s="7">
        <f>COUNTA('Spot check'!Q2:Q21)</f>
        <v/>
      </c>
    </row>
    <row r="4">
      <c r="A4" s="7" t="inlineStr">
        <is>
          <t>Approve</t>
        </is>
      </c>
      <c r="B4" s="7">
        <f>COUNTIF('Spot check'!Q2:Q21,"Approve")</f>
        <v/>
      </c>
    </row>
    <row r="5">
      <c r="A5" s="7" t="inlineStr">
        <is>
          <t>Fix</t>
        </is>
      </c>
      <c r="B5" s="7">
        <f>COUNTIF('Spot check'!Q2:Q21,"Fix")</f>
        <v/>
      </c>
    </row>
    <row r="6">
      <c r="A6" s="7" t="inlineStr">
        <is>
          <t>Rewrite</t>
        </is>
      </c>
      <c r="B6" s="7">
        <f>COUNTIF('Spot check'!Q2:Q21,"Rewrite")</f>
        <v/>
      </c>
    </row>
    <row r="7">
      <c r="A7" s="7" t="inlineStr">
        <is>
          <t>Key ambiguous (No)</t>
        </is>
      </c>
      <c r="B7" s="7">
        <f>COUNTIF('Spot check'!O2:O21,"No")</f>
        <v/>
      </c>
    </row>
    <row r="8">
      <c r="A8" s="7" t="inlineStr">
        <is>
          <t>Promote batch 2 to approved?</t>
        </is>
      </c>
      <c r="B8" s="7">
        <f>IF(AND(COUNTIF('Spot check'!Q2:Q21,"Approve")&gt;=18,COUNTIF('Spot check'!O2:O21,"No")=0),"YES","NOT YET")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2026-09-14T07:51:13Z</dcterms:created>
  <dcterms:modified xmlns:dcterms="http://purl.org/dc/terms/" xmlns:xsi="http://www.w3.org/2001/XMLSchema-instance" xsi:type="dcterms:W3CDTF">2026-09-14T07:51:13Z</dcterms:modified>
</cp:coreProperties>
</file>